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DATA ANALIST\"/>
    </mc:Choice>
  </mc:AlternateContent>
  <xr:revisionPtr revIDLastSave="0" documentId="13_ncr:1_{A156465B-C964-43C9-B66D-A24E6100208C}" xr6:coauthVersionLast="47" xr6:coauthVersionMax="47" xr10:uidLastSave="{00000000-0000-0000-0000-000000000000}"/>
  <bookViews>
    <workbookView xWindow="-120" yWindow="-120" windowWidth="20730" windowHeight="11160" firstSheet="3" activeTab="6" xr2:uid="{4B5C0400-CFD0-4B26-B24D-14CF11F6C46F}"/>
  </bookViews>
  <sheets>
    <sheet name="PORTADA" sheetId="6" r:id="rId1"/>
    <sheet name="README" sheetId="7" r:id="rId2"/>
    <sheet name="PREGUNTAS Y RESPUESTAS" sheetId="5" r:id="rId3"/>
    <sheet name="DATASET ORIGINAL" sheetId="3" r:id="rId4"/>
    <sheet name="TABLA PRINCIPAL" sheetId="1" r:id="rId5"/>
    <sheet name="TABLA DINAMICA" sheetId="8" r:id="rId6"/>
    <sheet name="DASHBOARD" sheetId="11" r:id="rId7"/>
    <sheet name="AUXILIAR" sheetId="2" r:id="rId8"/>
  </sheets>
  <definedNames>
    <definedName name="_xlnm._FilterDatabase" localSheetId="4" hidden="1">'TABLA PRINCIPAL'!$A$1:$L$504</definedName>
    <definedName name="SegmentaciónDeDatos_CATEGORIA">#N/A</definedName>
    <definedName name="SegmentaciónDeDatos_REGION">#N/A</definedName>
    <definedName name="SegmentaciónDeDatos_TOTAL_VENTA">#N/A</definedName>
    <definedName name="SegmentaciónDeDatos_TOTAL_VENTA1">#N/A</definedName>
    <definedName name="SegmentaciónDeDatos_VENDEDOR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1" l="1"/>
  <c r="G2" i="11"/>
  <c r="B2" i="11"/>
  <c r="N2" i="1"/>
  <c r="N503" i="1"/>
  <c r="N502" i="1"/>
  <c r="N500" i="1"/>
  <c r="N499" i="1"/>
  <c r="N498" i="1"/>
  <c r="N497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0" i="1"/>
  <c r="N479" i="1"/>
  <c r="N478" i="1"/>
  <c r="N476" i="1"/>
  <c r="N475" i="1"/>
  <c r="N473" i="1"/>
  <c r="N472" i="1"/>
  <c r="N471" i="1"/>
  <c r="N470" i="1"/>
  <c r="N469" i="1"/>
  <c r="N468" i="1"/>
  <c r="N467" i="1"/>
  <c r="N466" i="1"/>
  <c r="N463" i="1"/>
  <c r="N462" i="1"/>
  <c r="N461" i="1"/>
  <c r="N460" i="1"/>
  <c r="N459" i="1"/>
  <c r="N458" i="1"/>
  <c r="N457" i="1"/>
  <c r="N455" i="1"/>
  <c r="N454" i="1"/>
  <c r="N453" i="1"/>
  <c r="N452" i="1"/>
  <c r="N451" i="1"/>
  <c r="N450" i="1"/>
  <c r="N448" i="1"/>
  <c r="N447" i="1"/>
  <c r="N446" i="1"/>
  <c r="N445" i="1"/>
  <c r="N444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8" i="1"/>
  <c r="N427" i="1"/>
  <c r="N426" i="1"/>
  <c r="N425" i="1"/>
  <c r="N424" i="1"/>
  <c r="N423" i="1"/>
  <c r="N422" i="1"/>
  <c r="N420" i="1"/>
  <c r="N419" i="1"/>
  <c r="N418" i="1"/>
  <c r="N417" i="1"/>
  <c r="N416" i="1"/>
  <c r="N415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3" i="1"/>
  <c r="N392" i="1"/>
  <c r="N390" i="1"/>
  <c r="N388" i="1"/>
  <c r="N387" i="1"/>
  <c r="N385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49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0" i="1"/>
  <c r="N329" i="1"/>
  <c r="N328" i="1"/>
  <c r="N326" i="1"/>
  <c r="N325" i="1"/>
  <c r="N324" i="1"/>
  <c r="N322" i="1"/>
  <c r="N320" i="1"/>
  <c r="N319" i="1"/>
  <c r="N317" i="1"/>
  <c r="N316" i="1"/>
  <c r="N315" i="1"/>
  <c r="N314" i="1"/>
  <c r="N313" i="1"/>
  <c r="N312" i="1"/>
  <c r="N311" i="1"/>
  <c r="N310" i="1"/>
  <c r="N309" i="1"/>
  <c r="N305" i="1"/>
  <c r="N304" i="1"/>
  <c r="N302" i="1"/>
  <c r="N301" i="1"/>
  <c r="N300" i="1"/>
  <c r="N299" i="1"/>
  <c r="N298" i="1"/>
  <c r="N297" i="1"/>
  <c r="N296" i="1"/>
  <c r="N293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6" i="1"/>
  <c r="N255" i="1"/>
  <c r="N254" i="1"/>
  <c r="N253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8" i="1"/>
  <c r="N237" i="1"/>
  <c r="N236" i="1"/>
  <c r="N235" i="1"/>
  <c r="N234" i="1"/>
  <c r="N232" i="1"/>
  <c r="N231" i="1"/>
  <c r="N229" i="1"/>
  <c r="N228" i="1"/>
  <c r="N227" i="1"/>
  <c r="N226" i="1"/>
  <c r="N224" i="1"/>
  <c r="N223" i="1"/>
  <c r="N222" i="1"/>
  <c r="N221" i="1"/>
  <c r="N220" i="1"/>
  <c r="N218" i="1"/>
  <c r="N217" i="1"/>
  <c r="N216" i="1"/>
  <c r="N215" i="1"/>
  <c r="N214" i="1"/>
  <c r="N213" i="1"/>
  <c r="N212" i="1"/>
  <c r="N211" i="1"/>
  <c r="N210" i="1"/>
  <c r="N209" i="1"/>
  <c r="N208" i="1"/>
  <c r="N206" i="1"/>
  <c r="N205" i="1"/>
  <c r="N202" i="1"/>
  <c r="N201" i="1"/>
  <c r="N200" i="1"/>
  <c r="N199" i="1"/>
  <c r="N198" i="1"/>
  <c r="N197" i="1"/>
  <c r="N195" i="1"/>
  <c r="N194" i="1"/>
  <c r="N193" i="1"/>
  <c r="N192" i="1"/>
  <c r="N191" i="1"/>
  <c r="N190" i="1"/>
  <c r="N189" i="1"/>
  <c r="N188" i="1"/>
  <c r="N187" i="1"/>
  <c r="N186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8" i="1"/>
  <c r="N167" i="1"/>
  <c r="N166" i="1"/>
  <c r="N163" i="1"/>
  <c r="N162" i="1"/>
  <c r="N161" i="1"/>
  <c r="N159" i="1"/>
  <c r="N158" i="1"/>
  <c r="N157" i="1"/>
  <c r="N156" i="1"/>
  <c r="N155" i="1"/>
  <c r="N154" i="1"/>
  <c r="N153" i="1"/>
  <c r="N152" i="1"/>
  <c r="N151" i="1"/>
  <c r="N150" i="1"/>
  <c r="N149" i="1"/>
  <c r="N147" i="1"/>
  <c r="N146" i="1"/>
  <c r="N145" i="1"/>
  <c r="N144" i="1"/>
  <c r="N141" i="1"/>
  <c r="N140" i="1"/>
  <c r="N138" i="1"/>
  <c r="N137" i="1"/>
  <c r="N136" i="1"/>
  <c r="N134" i="1"/>
  <c r="N133" i="1"/>
  <c r="N131" i="1"/>
  <c r="N129" i="1"/>
  <c r="N128" i="1"/>
  <c r="N126" i="1"/>
  <c r="N125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0" i="1"/>
  <c r="N109" i="1"/>
  <c r="N108" i="1"/>
  <c r="N107" i="1"/>
  <c r="N105" i="1"/>
  <c r="N104" i="1"/>
  <c r="N103" i="1"/>
  <c r="N102" i="1"/>
  <c r="N100" i="1"/>
  <c r="N99" i="1"/>
  <c r="N98" i="1"/>
  <c r="N97" i="1"/>
  <c r="N96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0" i="1"/>
  <c r="N79" i="1"/>
  <c r="N78" i="1"/>
  <c r="N77" i="1"/>
  <c r="N74" i="1"/>
  <c r="N73" i="1"/>
  <c r="N71" i="1"/>
  <c r="N69" i="1"/>
  <c r="N68" i="1"/>
  <c r="N67" i="1"/>
  <c r="N66" i="1"/>
  <c r="N65" i="1"/>
  <c r="N63" i="1"/>
  <c r="N62" i="1"/>
  <c r="N61" i="1"/>
  <c r="N58" i="1"/>
  <c r="N57" i="1"/>
  <c r="N56" i="1"/>
  <c r="N55" i="1"/>
  <c r="N54" i="1"/>
  <c r="N53" i="1"/>
  <c r="N52" i="1"/>
  <c r="N51" i="1"/>
  <c r="N50" i="1"/>
  <c r="N49" i="1"/>
  <c r="N47" i="1"/>
  <c r="N46" i="1"/>
  <c r="N45" i="1"/>
  <c r="N44" i="1"/>
  <c r="N42" i="1"/>
  <c r="N41" i="1"/>
  <c r="N40" i="1"/>
  <c r="N39" i="1"/>
  <c r="N36" i="1"/>
  <c r="N35" i="1"/>
  <c r="N33" i="1"/>
  <c r="N32" i="1"/>
  <c r="N30" i="1"/>
  <c r="N29" i="1"/>
  <c r="N28" i="1"/>
  <c r="N27" i="1"/>
  <c r="N26" i="1"/>
  <c r="N25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5" i="1"/>
  <c r="L45" i="1"/>
  <c r="L12" i="1"/>
  <c r="L416" i="1"/>
  <c r="L156" i="1"/>
  <c r="L351" i="1"/>
  <c r="L444" i="1"/>
  <c r="L490" i="1"/>
  <c r="L180" i="1"/>
  <c r="L134" i="1"/>
  <c r="L446" i="1"/>
  <c r="L491" i="1"/>
  <c r="L18" i="1"/>
  <c r="L282" i="1"/>
  <c r="L365" i="1"/>
  <c r="L83" i="1"/>
  <c r="L177" i="1"/>
  <c r="L159" i="1"/>
  <c r="L24" i="1"/>
  <c r="L100" i="1"/>
  <c r="L301" i="1"/>
  <c r="L205" i="1"/>
  <c r="L84" i="1"/>
  <c r="L92" i="1"/>
  <c r="L468" i="1"/>
  <c r="L31" i="1"/>
  <c r="L322" i="1"/>
  <c r="L128" i="1"/>
  <c r="L34" i="1"/>
  <c r="L349" i="1"/>
  <c r="L181" i="1"/>
  <c r="L37" i="1"/>
  <c r="L38" i="1"/>
  <c r="L325" i="1"/>
  <c r="L17" i="1"/>
  <c r="L441" i="1"/>
  <c r="L66" i="1"/>
  <c r="L43" i="1"/>
  <c r="L68" i="1"/>
  <c r="L112" i="1"/>
  <c r="L49" i="1"/>
  <c r="L161" i="1"/>
  <c r="L48" i="1"/>
  <c r="L435" i="1"/>
  <c r="L29" i="1"/>
  <c r="L26" i="1"/>
  <c r="L300" i="1"/>
  <c r="L420" i="1"/>
  <c r="L174" i="1"/>
  <c r="L493" i="1"/>
  <c r="L399" i="1"/>
  <c r="L402" i="1"/>
  <c r="L129" i="1"/>
  <c r="L59" i="1"/>
  <c r="L60" i="1"/>
  <c r="L278" i="1"/>
  <c r="L485" i="1"/>
  <c r="L222" i="1"/>
  <c r="L64" i="1"/>
  <c r="L448" i="1"/>
  <c r="L118" i="1"/>
  <c r="L455" i="1"/>
  <c r="L170" i="1"/>
  <c r="L234" i="1"/>
  <c r="L70" i="1"/>
  <c r="L404" i="1"/>
  <c r="L72" i="1"/>
  <c r="L213" i="1"/>
  <c r="L276" i="1"/>
  <c r="L75" i="1"/>
  <c r="L76" i="1"/>
  <c r="L167" i="1"/>
  <c r="L248" i="1"/>
  <c r="L117" i="1"/>
  <c r="L432" i="1"/>
  <c r="L81" i="1"/>
  <c r="L313" i="1"/>
  <c r="L69" i="1"/>
  <c r="L126" i="1"/>
  <c r="L195" i="1"/>
  <c r="L87" i="1"/>
  <c r="L105" i="1"/>
  <c r="L284" i="1"/>
  <c r="L61" i="1"/>
  <c r="L484" i="1"/>
  <c r="L5" i="1"/>
  <c r="L296" i="1"/>
  <c r="L102" i="1"/>
  <c r="L46" i="1"/>
  <c r="L95" i="1"/>
  <c r="L245" i="1"/>
  <c r="L11" i="1"/>
  <c r="L10" i="1"/>
  <c r="L269" i="1"/>
  <c r="L335" i="1"/>
  <c r="L101" i="1"/>
  <c r="L499" i="1"/>
  <c r="L338" i="1"/>
  <c r="L190" i="1"/>
  <c r="L339" i="1"/>
  <c r="L106" i="1"/>
  <c r="L56" i="1"/>
  <c r="L125" i="1"/>
  <c r="L97" i="1"/>
  <c r="L123" i="1"/>
  <c r="L111" i="1"/>
  <c r="L430" i="1"/>
  <c r="L201" i="1"/>
  <c r="L342" i="1"/>
  <c r="L211" i="1"/>
  <c r="L434" i="1"/>
  <c r="L175" i="1"/>
  <c r="L431" i="1"/>
  <c r="L453" i="1"/>
  <c r="L202" i="1"/>
  <c r="L408" i="1"/>
  <c r="L90" i="1"/>
  <c r="L176" i="1"/>
  <c r="L124" i="1"/>
  <c r="L192" i="1"/>
  <c r="L28" i="1"/>
  <c r="L127" i="1"/>
  <c r="L341" i="1"/>
  <c r="L189" i="1"/>
  <c r="L130" i="1"/>
  <c r="L54" i="1"/>
  <c r="L132" i="1"/>
  <c r="L486" i="1"/>
  <c r="L388" i="1"/>
  <c r="L135" i="1"/>
  <c r="L360" i="1"/>
  <c r="L334" i="1"/>
  <c r="L41" i="1"/>
  <c r="L139" i="1"/>
  <c r="L146" i="1"/>
  <c r="L9" i="1"/>
  <c r="L142" i="1"/>
  <c r="L143" i="1"/>
  <c r="L178" i="1"/>
  <c r="L243" i="1"/>
  <c r="L15" i="1"/>
  <c r="L158" i="1"/>
  <c r="L148" i="1"/>
  <c r="L265" i="1"/>
  <c r="L198" i="1"/>
  <c r="L361" i="1"/>
  <c r="L385" i="1"/>
  <c r="L290" i="1"/>
  <c r="L466" i="1"/>
  <c r="L23" i="1"/>
  <c r="L36" i="1"/>
  <c r="L114" i="1"/>
  <c r="L359" i="1"/>
  <c r="L442" i="1"/>
  <c r="L160" i="1"/>
  <c r="L168" i="1"/>
  <c r="L116" i="1"/>
  <c r="L122" i="1"/>
  <c r="L164" i="1"/>
  <c r="L165" i="1"/>
  <c r="L217" i="1"/>
  <c r="L362" i="1"/>
  <c r="L82" i="1"/>
  <c r="L169" i="1"/>
  <c r="L235" i="1"/>
  <c r="L8" i="1"/>
  <c r="L120" i="1"/>
  <c r="L373" i="1"/>
  <c r="L457" i="1"/>
  <c r="L312" i="1"/>
  <c r="L472" i="1"/>
  <c r="L2" i="1"/>
  <c r="L483" i="1"/>
  <c r="L259" i="1"/>
  <c r="L329" i="1"/>
  <c r="L162" i="1"/>
  <c r="L495" i="1"/>
  <c r="L439" i="1"/>
  <c r="L184" i="1"/>
  <c r="L185" i="1"/>
  <c r="L302" i="1"/>
  <c r="L374" i="1"/>
  <c r="L332" i="1"/>
  <c r="L297" i="1"/>
  <c r="L352" i="1"/>
  <c r="L405" i="1"/>
  <c r="L157" i="1"/>
  <c r="L287" i="1"/>
  <c r="L115" i="1"/>
  <c r="L206" i="1"/>
  <c r="L196" i="1"/>
  <c r="L280" i="1"/>
  <c r="L33" i="1"/>
  <c r="L260" i="1"/>
  <c r="L173" i="1"/>
  <c r="L314" i="1"/>
  <c r="L358" i="1"/>
  <c r="L203" i="1"/>
  <c r="L204" i="1"/>
  <c r="L316" i="1"/>
  <c r="L418" i="1"/>
  <c r="L207" i="1"/>
  <c r="L425" i="1"/>
  <c r="L25" i="1"/>
  <c r="L21" i="1"/>
  <c r="L74" i="1"/>
  <c r="L186" i="1"/>
  <c r="L44" i="1"/>
  <c r="L30" i="1"/>
  <c r="L251" i="1"/>
  <c r="L458" i="1"/>
  <c r="L108" i="1"/>
  <c r="L343" i="1"/>
  <c r="L219" i="1"/>
  <c r="L247" i="1"/>
  <c r="L254" i="1"/>
  <c r="L78" i="1"/>
  <c r="L475" i="1"/>
  <c r="L344" i="1"/>
  <c r="L225" i="1"/>
  <c r="L367" i="1"/>
  <c r="L450" i="1"/>
  <c r="L50" i="1"/>
  <c r="L85" i="1"/>
  <c r="L230" i="1"/>
  <c r="L488" i="1"/>
  <c r="L336" i="1"/>
  <c r="L233" i="1"/>
  <c r="L319" i="1"/>
  <c r="L498" i="1"/>
  <c r="L285" i="1"/>
  <c r="L401" i="1"/>
  <c r="L107" i="1"/>
  <c r="L239" i="1"/>
  <c r="L415" i="1"/>
  <c r="L411" i="1"/>
  <c r="L16" i="1"/>
  <c r="L357" i="1"/>
  <c r="L171" i="1"/>
  <c r="L480" i="1"/>
  <c r="L200" i="1"/>
  <c r="L440" i="1"/>
  <c r="L19" i="1"/>
  <c r="L228" i="1"/>
  <c r="L363" i="1"/>
  <c r="L451" i="1"/>
  <c r="L252" i="1"/>
  <c r="L462" i="1"/>
  <c r="L364" i="1"/>
  <c r="L212" i="1"/>
  <c r="L354" i="1"/>
  <c r="L257" i="1"/>
  <c r="L258" i="1"/>
  <c r="L88" i="1"/>
  <c r="L52" i="1"/>
  <c r="L154" i="1"/>
  <c r="L427" i="1"/>
  <c r="L51" i="1"/>
  <c r="L109" i="1"/>
  <c r="L492" i="1"/>
  <c r="L237" i="1"/>
  <c r="L191" i="1"/>
  <c r="L141" i="1"/>
  <c r="L423" i="1"/>
  <c r="L397" i="1"/>
  <c r="L40" i="1"/>
  <c r="L32" i="1"/>
  <c r="L333" i="1"/>
  <c r="L53" i="1"/>
  <c r="L375" i="1"/>
  <c r="L304" i="1"/>
  <c r="L277" i="1"/>
  <c r="L263" i="1"/>
  <c r="L266" i="1"/>
  <c r="L379" i="1"/>
  <c r="L459" i="1"/>
  <c r="L96" i="1"/>
  <c r="L283" i="1"/>
  <c r="L271" i="1"/>
  <c r="L20" i="1"/>
  <c r="L62" i="1"/>
  <c r="L463" i="1"/>
  <c r="L268" i="1"/>
  <c r="L410" i="1"/>
  <c r="L199" i="1"/>
  <c r="L267" i="1"/>
  <c r="L292" i="1"/>
  <c r="L240" i="1"/>
  <c r="L294" i="1"/>
  <c r="L295" i="1"/>
  <c r="L356" i="1"/>
  <c r="L138" i="1"/>
  <c r="L55" i="1"/>
  <c r="L224" i="1"/>
  <c r="L355" i="1"/>
  <c r="L409" i="1"/>
  <c r="L494" i="1"/>
  <c r="L303" i="1"/>
  <c r="L214" i="1"/>
  <c r="L110" i="1"/>
  <c r="L306" i="1"/>
  <c r="L307" i="1"/>
  <c r="L308" i="1"/>
  <c r="L289" i="1"/>
  <c r="L497" i="1"/>
  <c r="L320" i="1"/>
  <c r="L77" i="1"/>
  <c r="L216" i="1"/>
  <c r="L315" i="1"/>
  <c r="L288" i="1"/>
  <c r="L136" i="1"/>
  <c r="L452" i="1"/>
  <c r="L318" i="1"/>
  <c r="L152" i="1"/>
  <c r="L345" i="1"/>
  <c r="L321" i="1"/>
  <c r="L298" i="1"/>
  <c r="L323" i="1"/>
  <c r="L299" i="1"/>
  <c r="L145" i="1"/>
  <c r="L291" i="1"/>
  <c r="L327" i="1"/>
  <c r="L57" i="1"/>
  <c r="L264" i="1"/>
  <c r="L309" i="1"/>
  <c r="L331" i="1"/>
  <c r="L80" i="1"/>
  <c r="L193" i="1"/>
  <c r="L98" i="1"/>
  <c r="L272" i="1"/>
  <c r="L400" i="1"/>
  <c r="L438" i="1"/>
  <c r="L119" i="1"/>
  <c r="L471" i="1"/>
  <c r="L346" i="1"/>
  <c r="L461" i="1"/>
  <c r="L104" i="1"/>
  <c r="L328" i="1"/>
  <c r="L353" i="1"/>
  <c r="L293" i="1"/>
  <c r="L163" i="1"/>
  <c r="L347" i="1"/>
  <c r="L348" i="1"/>
  <c r="L208" i="1"/>
  <c r="L350" i="1"/>
  <c r="L369" i="1"/>
  <c r="L253" i="1"/>
  <c r="L393" i="1"/>
  <c r="L377" i="1"/>
  <c r="L39" i="1"/>
  <c r="L286" i="1"/>
  <c r="L392" i="1"/>
  <c r="L470" i="1"/>
  <c r="L218" i="1"/>
  <c r="L422" i="1"/>
  <c r="L71" i="1"/>
  <c r="L311" i="1"/>
  <c r="L151" i="1"/>
  <c r="L479" i="1"/>
  <c r="L226" i="1"/>
  <c r="L326" i="1"/>
  <c r="L35" i="1"/>
  <c r="L368" i="1"/>
  <c r="L383" i="1"/>
  <c r="L487" i="1"/>
  <c r="L371" i="1"/>
  <c r="L305" i="1"/>
  <c r="L281" i="1"/>
  <c r="L232" i="1"/>
  <c r="L99" i="1"/>
  <c r="L42" i="1"/>
  <c r="L250" i="1"/>
  <c r="L417" i="1"/>
  <c r="L155" i="1"/>
  <c r="L89" i="1"/>
  <c r="L500" i="1"/>
  <c r="L426" i="1"/>
  <c r="L22" i="1"/>
  <c r="L384" i="1"/>
  <c r="L489" i="1"/>
  <c r="L386" i="1"/>
  <c r="L220" i="1"/>
  <c r="L406" i="1"/>
  <c r="L389" i="1"/>
  <c r="L503" i="1"/>
  <c r="L391" i="1"/>
  <c r="L403" i="1"/>
  <c r="L246" i="1"/>
  <c r="L394" i="1"/>
  <c r="L395" i="1"/>
  <c r="L396" i="1"/>
  <c r="L324" i="1"/>
  <c r="L398" i="1"/>
  <c r="L372" i="1"/>
  <c r="L436" i="1"/>
  <c r="L210" i="1"/>
  <c r="L273" i="1"/>
  <c r="L378" i="1"/>
  <c r="L137" i="1"/>
  <c r="L366" i="1"/>
  <c r="L231" i="1"/>
  <c r="L86" i="1"/>
  <c r="L274" i="1"/>
  <c r="L227" i="1"/>
  <c r="L73" i="1"/>
  <c r="L279" i="1"/>
  <c r="L412" i="1"/>
  <c r="L413" i="1"/>
  <c r="L414" i="1"/>
  <c r="L376" i="1"/>
  <c r="L150" i="1"/>
  <c r="L13" i="1"/>
  <c r="L215" i="1"/>
  <c r="L337" i="1"/>
  <c r="L255" i="1"/>
  <c r="L421" i="1"/>
  <c r="L317" i="1"/>
  <c r="L242" i="1"/>
  <c r="L256" i="1"/>
  <c r="L58" i="1"/>
  <c r="L113" i="1"/>
  <c r="L188" i="1"/>
  <c r="L502" i="1"/>
  <c r="L429" i="1"/>
  <c r="L187" i="1"/>
  <c r="L460" i="1"/>
  <c r="L445" i="1"/>
  <c r="L424" i="1"/>
  <c r="L67" i="1"/>
  <c r="L249" i="1"/>
  <c r="L370" i="1"/>
  <c r="L147" i="1"/>
  <c r="L197" i="1"/>
  <c r="L221" i="1"/>
  <c r="L261" i="1"/>
  <c r="L473" i="1"/>
  <c r="L270" i="1"/>
  <c r="L443" i="1"/>
  <c r="L478" i="1"/>
  <c r="L437" i="1"/>
  <c r="L476" i="1"/>
  <c r="L131" i="1"/>
  <c r="L209" i="1"/>
  <c r="L449" i="1"/>
  <c r="L144" i="1"/>
  <c r="L179" i="1"/>
  <c r="L467" i="1"/>
  <c r="L447" i="1"/>
  <c r="L236" i="1"/>
  <c r="L140" i="1"/>
  <c r="L456" i="1"/>
  <c r="L310" i="1"/>
  <c r="L7" i="1"/>
  <c r="L27" i="1"/>
  <c r="L47" i="1"/>
  <c r="L330" i="1"/>
  <c r="L149" i="1"/>
  <c r="L407" i="1"/>
  <c r="L464" i="1"/>
  <c r="L465" i="1"/>
  <c r="L153" i="1"/>
  <c r="L91" i="1"/>
  <c r="L94" i="1"/>
  <c r="L223" i="1"/>
  <c r="L238" i="1"/>
  <c r="L262" i="1"/>
  <c r="L182" i="1"/>
  <c r="L387" i="1"/>
  <c r="L474" i="1"/>
  <c r="L229" i="1"/>
  <c r="L428" i="1"/>
  <c r="L477" i="1"/>
  <c r="L433" i="1"/>
  <c r="L241" i="1"/>
  <c r="L454" i="1"/>
  <c r="L481" i="1"/>
  <c r="L469" i="1"/>
  <c r="L14" i="1"/>
  <c r="L390" i="1"/>
  <c r="L482" i="1"/>
  <c r="L172" i="1"/>
  <c r="L381" i="1"/>
  <c r="L65" i="1"/>
  <c r="L93" i="1"/>
  <c r="L194" i="1"/>
  <c r="L121" i="1"/>
  <c r="L63" i="1"/>
  <c r="L183" i="1"/>
  <c r="L133" i="1"/>
  <c r="L340" i="1"/>
  <c r="L496" i="1"/>
  <c r="L275" i="1"/>
  <c r="L103" i="1"/>
  <c r="L244" i="1"/>
  <c r="L382" i="1"/>
  <c r="L501" i="1"/>
  <c r="L166" i="1"/>
  <c r="L419" i="1"/>
  <c r="L3" i="1"/>
  <c r="L4" i="1"/>
  <c r="L79" i="1"/>
  <c r="L6" i="1"/>
  <c r="L380" i="1"/>
  <c r="J134" i="1"/>
  <c r="K134" i="1" s="1"/>
  <c r="J446" i="1"/>
  <c r="M446" i="1" s="1"/>
  <c r="J491" i="1"/>
  <c r="M491" i="1" s="1"/>
  <c r="J18" i="1"/>
  <c r="K18" i="1" s="1"/>
  <c r="J282" i="1"/>
  <c r="M282" i="1" s="1"/>
  <c r="J365" i="1"/>
  <c r="M365" i="1" s="1"/>
  <c r="J83" i="1"/>
  <c r="M83" i="1" s="1"/>
  <c r="J177" i="1"/>
  <c r="M177" i="1" s="1"/>
  <c r="J159" i="1"/>
  <c r="K159" i="1" s="1"/>
  <c r="J24" i="1"/>
  <c r="K24" i="1" s="1"/>
  <c r="J100" i="1"/>
  <c r="M100" i="1" s="1"/>
  <c r="J301" i="1"/>
  <c r="M301" i="1" s="1"/>
  <c r="J205" i="1"/>
  <c r="M205" i="1" s="1"/>
  <c r="J84" i="1"/>
  <c r="M84" i="1" s="1"/>
  <c r="J92" i="1"/>
  <c r="K92" i="1" s="1"/>
  <c r="J468" i="1"/>
  <c r="M468" i="1" s="1"/>
  <c r="J31" i="1"/>
  <c r="K31" i="1" s="1"/>
  <c r="J322" i="1"/>
  <c r="M322" i="1" s="1"/>
  <c r="J128" i="1"/>
  <c r="K128" i="1" s="1"/>
  <c r="J34" i="1"/>
  <c r="K34" i="1" s="1"/>
  <c r="J349" i="1"/>
  <c r="M349" i="1" s="1"/>
  <c r="J181" i="1"/>
  <c r="M181" i="1" s="1"/>
  <c r="J37" i="1"/>
  <c r="K37" i="1" s="1"/>
  <c r="J38" i="1"/>
  <c r="K38" i="1" s="1"/>
  <c r="J325" i="1"/>
  <c r="M325" i="1" s="1"/>
  <c r="J17" i="1"/>
  <c r="M17" i="1" s="1"/>
  <c r="J441" i="1"/>
  <c r="M441" i="1" s="1"/>
  <c r="J66" i="1"/>
  <c r="M66" i="1" s="1"/>
  <c r="J43" i="1"/>
  <c r="K43" i="1" s="1"/>
  <c r="J68" i="1"/>
  <c r="M68" i="1" s="1"/>
  <c r="J112" i="1"/>
  <c r="K112" i="1" s="1"/>
  <c r="J49" i="1"/>
  <c r="M49" i="1" s="1"/>
  <c r="J161" i="1"/>
  <c r="M161" i="1" s="1"/>
  <c r="J48" i="1"/>
  <c r="K48" i="1" s="1"/>
  <c r="J435" i="1"/>
  <c r="M435" i="1" s="1"/>
  <c r="J29" i="1"/>
  <c r="M29" i="1" s="1"/>
  <c r="J26" i="1"/>
  <c r="K26" i="1" s="1"/>
  <c r="J300" i="1"/>
  <c r="M300" i="1" s="1"/>
  <c r="J420" i="1"/>
  <c r="M420" i="1" s="1"/>
  <c r="J174" i="1"/>
  <c r="M174" i="1" s="1"/>
  <c r="J493" i="1"/>
  <c r="M493" i="1" s="1"/>
  <c r="J399" i="1"/>
  <c r="M399" i="1" s="1"/>
  <c r="J402" i="1"/>
  <c r="M402" i="1" s="1"/>
  <c r="J129" i="1"/>
  <c r="M129" i="1" s="1"/>
  <c r="J59" i="1"/>
  <c r="K59" i="1" s="1"/>
  <c r="J60" i="1"/>
  <c r="K60" i="1" s="1"/>
  <c r="J278" i="1"/>
  <c r="M278" i="1" s="1"/>
  <c r="J485" i="1"/>
  <c r="M485" i="1" s="1"/>
  <c r="J222" i="1"/>
  <c r="M222" i="1" s="1"/>
  <c r="J64" i="1"/>
  <c r="K64" i="1" s="1"/>
  <c r="J448" i="1"/>
  <c r="M448" i="1" s="1"/>
  <c r="J118" i="1"/>
  <c r="K118" i="1" s="1"/>
  <c r="J455" i="1"/>
  <c r="M455" i="1" s="1"/>
  <c r="J170" i="1"/>
  <c r="M170" i="1" s="1"/>
  <c r="J234" i="1"/>
  <c r="M234" i="1" s="1"/>
  <c r="J70" i="1"/>
  <c r="K70" i="1" s="1"/>
  <c r="J404" i="1"/>
  <c r="M404" i="1" s="1"/>
  <c r="J72" i="1"/>
  <c r="K72" i="1" s="1"/>
  <c r="J213" i="1"/>
  <c r="M213" i="1" s="1"/>
  <c r="J276" i="1"/>
  <c r="M276" i="1" s="1"/>
  <c r="J75" i="1"/>
  <c r="K75" i="1" s="1"/>
  <c r="J76" i="1"/>
  <c r="K76" i="1" s="1"/>
  <c r="J167" i="1"/>
  <c r="M167" i="1" s="1"/>
  <c r="J248" i="1"/>
  <c r="M248" i="1" s="1"/>
  <c r="J117" i="1"/>
  <c r="M117" i="1" s="1"/>
  <c r="J432" i="1"/>
  <c r="M432" i="1" s="1"/>
  <c r="J81" i="1"/>
  <c r="K81" i="1" s="1"/>
  <c r="J313" i="1"/>
  <c r="M313" i="1" s="1"/>
  <c r="J69" i="1"/>
  <c r="K69" i="1" s="1"/>
  <c r="J126" i="1"/>
  <c r="M126" i="1" s="1"/>
  <c r="J195" i="1"/>
  <c r="K195" i="1" s="1"/>
  <c r="J87" i="1"/>
  <c r="M87" i="1" s="1"/>
  <c r="J105" i="1"/>
  <c r="M105" i="1" s="1"/>
  <c r="J284" i="1"/>
  <c r="M284" i="1" s="1"/>
  <c r="J61" i="1"/>
  <c r="M61" i="1" s="1"/>
  <c r="J484" i="1"/>
  <c r="M484" i="1" s="1"/>
  <c r="J5" i="1"/>
  <c r="K5" i="1" s="1"/>
  <c r="J296" i="1"/>
  <c r="M296" i="1" s="1"/>
  <c r="J102" i="1"/>
  <c r="K102" i="1" s="1"/>
  <c r="J46" i="1"/>
  <c r="M46" i="1" s="1"/>
  <c r="J95" i="1"/>
  <c r="K95" i="1" s="1"/>
  <c r="J245" i="1"/>
  <c r="M245" i="1" s="1"/>
  <c r="J11" i="1"/>
  <c r="M11" i="1" s="1"/>
  <c r="J10" i="1"/>
  <c r="M10" i="1" s="1"/>
  <c r="J269" i="1"/>
  <c r="M269" i="1" s="1"/>
  <c r="J335" i="1"/>
  <c r="M335" i="1" s="1"/>
  <c r="J101" i="1"/>
  <c r="K101" i="1" s="1"/>
  <c r="J499" i="1"/>
  <c r="M499" i="1" s="1"/>
  <c r="J338" i="1"/>
  <c r="M338" i="1" s="1"/>
  <c r="J190" i="1"/>
  <c r="M190" i="1" s="1"/>
  <c r="J339" i="1"/>
  <c r="M339" i="1" s="1"/>
  <c r="J106" i="1"/>
  <c r="K106" i="1" s="1"/>
  <c r="J56" i="1"/>
  <c r="K56" i="1" s="1"/>
  <c r="J125" i="1"/>
  <c r="M125" i="1" s="1"/>
  <c r="J97" i="1"/>
  <c r="K97" i="1" s="1"/>
  <c r="J123" i="1"/>
  <c r="M123" i="1" s="1"/>
  <c r="J111" i="1"/>
  <c r="K111" i="1" s="1"/>
  <c r="J430" i="1"/>
  <c r="M430" i="1" s="1"/>
  <c r="J201" i="1"/>
  <c r="M201" i="1" s="1"/>
  <c r="J342" i="1"/>
  <c r="M342" i="1" s="1"/>
  <c r="J211" i="1"/>
  <c r="M211" i="1" s="1"/>
  <c r="J434" i="1"/>
  <c r="M434" i="1" s="1"/>
  <c r="J175" i="1"/>
  <c r="K175" i="1" s="1"/>
  <c r="J431" i="1"/>
  <c r="M431" i="1" s="1"/>
  <c r="J453" i="1"/>
  <c r="M453" i="1" s="1"/>
  <c r="J202" i="1"/>
  <c r="M202" i="1" s="1"/>
  <c r="J408" i="1"/>
  <c r="M408" i="1" s="1"/>
  <c r="J90" i="1"/>
  <c r="K90" i="1" s="1"/>
  <c r="J176" i="1"/>
  <c r="M176" i="1" s="1"/>
  <c r="J124" i="1"/>
  <c r="K124" i="1" s="1"/>
  <c r="J192" i="1"/>
  <c r="M192" i="1" s="1"/>
  <c r="J28" i="1"/>
  <c r="M28" i="1" s="1"/>
  <c r="J127" i="1"/>
  <c r="K127" i="1" s="1"/>
  <c r="J341" i="1"/>
  <c r="M341" i="1" s="1"/>
  <c r="J189" i="1"/>
  <c r="K189" i="1" s="1"/>
  <c r="J130" i="1"/>
  <c r="K130" i="1" s="1"/>
  <c r="J54" i="1"/>
  <c r="K54" i="1" s="1"/>
  <c r="J132" i="1"/>
  <c r="K132" i="1" s="1"/>
  <c r="J486" i="1"/>
  <c r="M486" i="1" s="1"/>
  <c r="J388" i="1"/>
  <c r="M388" i="1" s="1"/>
  <c r="J135" i="1"/>
  <c r="K135" i="1" s="1"/>
  <c r="J360" i="1"/>
  <c r="M360" i="1" s="1"/>
  <c r="J334" i="1"/>
  <c r="M334" i="1" s="1"/>
  <c r="J41" i="1"/>
  <c r="M41" i="1" s="1"/>
  <c r="J139" i="1"/>
  <c r="K139" i="1" s="1"/>
  <c r="J146" i="1"/>
  <c r="K146" i="1" s="1"/>
  <c r="J9" i="1"/>
  <c r="M9" i="1" s="1"/>
  <c r="J142" i="1"/>
  <c r="K142" i="1" s="1"/>
  <c r="J143" i="1"/>
  <c r="K143" i="1" s="1"/>
  <c r="J178" i="1"/>
  <c r="M178" i="1" s="1"/>
  <c r="J243" i="1"/>
  <c r="M243" i="1" s="1"/>
  <c r="J15" i="1"/>
  <c r="M15" i="1" s="1"/>
  <c r="J158" i="1"/>
  <c r="M158" i="1" s="1"/>
  <c r="J148" i="1"/>
  <c r="K148" i="1" s="1"/>
  <c r="J265" i="1"/>
  <c r="M265" i="1" s="1"/>
  <c r="J198" i="1"/>
  <c r="M198" i="1" s="1"/>
  <c r="J361" i="1"/>
  <c r="M361" i="1" s="1"/>
  <c r="J385" i="1"/>
  <c r="M385" i="1" s="1"/>
  <c r="J290" i="1"/>
  <c r="M290" i="1" s="1"/>
  <c r="J466" i="1"/>
  <c r="M466" i="1" s="1"/>
  <c r="J23" i="1"/>
  <c r="K23" i="1" s="1"/>
  <c r="J36" i="1"/>
  <c r="M36" i="1" s="1"/>
  <c r="J114" i="1"/>
  <c r="K114" i="1" s="1"/>
  <c r="J359" i="1"/>
  <c r="M359" i="1" s="1"/>
  <c r="J442" i="1"/>
  <c r="M442" i="1" s="1"/>
  <c r="J160" i="1"/>
  <c r="K160" i="1" s="1"/>
  <c r="J168" i="1"/>
  <c r="K168" i="1" s="1"/>
  <c r="J116" i="1"/>
  <c r="M116" i="1" s="1"/>
  <c r="J122" i="1"/>
  <c r="K122" i="1" s="1"/>
  <c r="J164" i="1"/>
  <c r="K164" i="1" s="1"/>
  <c r="J165" i="1"/>
  <c r="K165" i="1" s="1"/>
  <c r="J217" i="1"/>
  <c r="M217" i="1" s="1"/>
  <c r="J362" i="1"/>
  <c r="M362" i="1" s="1"/>
  <c r="J82" i="1"/>
  <c r="K82" i="1" s="1"/>
  <c r="J169" i="1"/>
  <c r="K169" i="1" s="1"/>
  <c r="J235" i="1"/>
  <c r="M235" i="1" s="1"/>
  <c r="J8" i="1"/>
  <c r="K8" i="1" s="1"/>
  <c r="J120" i="1"/>
  <c r="M120" i="1" s="1"/>
  <c r="J373" i="1"/>
  <c r="M373" i="1" s="1"/>
  <c r="J457" i="1"/>
  <c r="M457" i="1" s="1"/>
  <c r="J312" i="1"/>
  <c r="M312" i="1" s="1"/>
  <c r="J472" i="1"/>
  <c r="M472" i="1" s="1"/>
  <c r="J2" i="1"/>
  <c r="J483" i="1"/>
  <c r="M483" i="1" s="1"/>
  <c r="J259" i="1"/>
  <c r="M259" i="1" s="1"/>
  <c r="J329" i="1"/>
  <c r="M329" i="1" s="1"/>
  <c r="J162" i="1"/>
  <c r="K162" i="1" s="1"/>
  <c r="J495" i="1"/>
  <c r="M495" i="1" s="1"/>
  <c r="J439" i="1"/>
  <c r="M439" i="1" s="1"/>
  <c r="J184" i="1"/>
  <c r="K184" i="1" s="1"/>
  <c r="J185" i="1"/>
  <c r="K185" i="1" s="1"/>
  <c r="J302" i="1"/>
  <c r="M302" i="1" s="1"/>
  <c r="J374" i="1"/>
  <c r="M374" i="1" s="1"/>
  <c r="J332" i="1"/>
  <c r="M332" i="1" s="1"/>
  <c r="J297" i="1"/>
  <c r="M297" i="1" s="1"/>
  <c r="J352" i="1"/>
  <c r="M352" i="1" s="1"/>
  <c r="J405" i="1"/>
  <c r="M405" i="1" s="1"/>
  <c r="J157" i="1"/>
  <c r="M157" i="1" s="1"/>
  <c r="J287" i="1"/>
  <c r="M287" i="1" s="1"/>
  <c r="J115" i="1"/>
  <c r="M115" i="1" s="1"/>
  <c r="J206" i="1"/>
  <c r="M206" i="1" s="1"/>
  <c r="J196" i="1"/>
  <c r="K196" i="1" s="1"/>
  <c r="J280" i="1"/>
  <c r="M280" i="1" s="1"/>
  <c r="J33" i="1"/>
  <c r="M33" i="1" s="1"/>
  <c r="J260" i="1"/>
  <c r="M260" i="1" s="1"/>
  <c r="J173" i="1"/>
  <c r="M173" i="1" s="1"/>
  <c r="J314" i="1"/>
  <c r="M314" i="1" s="1"/>
  <c r="J358" i="1"/>
  <c r="M358" i="1" s="1"/>
  <c r="J203" i="1"/>
  <c r="K203" i="1" s="1"/>
  <c r="J204" i="1"/>
  <c r="K204" i="1" s="1"/>
  <c r="J316" i="1"/>
  <c r="M316" i="1" s="1"/>
  <c r="J418" i="1"/>
  <c r="M418" i="1" s="1"/>
  <c r="J207" i="1"/>
  <c r="K207" i="1" s="1"/>
  <c r="J425" i="1"/>
  <c r="M425" i="1" s="1"/>
  <c r="J25" i="1"/>
  <c r="M25" i="1" s="1"/>
  <c r="J21" i="1"/>
  <c r="M21" i="1" s="1"/>
  <c r="J74" i="1"/>
  <c r="M74" i="1" s="1"/>
  <c r="J186" i="1"/>
  <c r="M186" i="1" s="1"/>
  <c r="J44" i="1"/>
  <c r="M44" i="1" s="1"/>
  <c r="J30" i="1"/>
  <c r="M30" i="1" s="1"/>
  <c r="J251" i="1"/>
  <c r="M251" i="1" s="1"/>
  <c r="J458" i="1"/>
  <c r="M458" i="1" s="1"/>
  <c r="J108" i="1"/>
  <c r="M108" i="1" s="1"/>
  <c r="J343" i="1"/>
  <c r="M343" i="1" s="1"/>
  <c r="J219" i="1"/>
  <c r="K219" i="1" s="1"/>
  <c r="J247" i="1"/>
  <c r="M247" i="1" s="1"/>
  <c r="J254" i="1"/>
  <c r="M254" i="1" s="1"/>
  <c r="J78" i="1"/>
  <c r="M78" i="1" s="1"/>
  <c r="J475" i="1"/>
  <c r="M475" i="1" s="1"/>
  <c r="J344" i="1"/>
  <c r="M344" i="1" s="1"/>
  <c r="J225" i="1"/>
  <c r="K225" i="1" s="1"/>
  <c r="J367" i="1"/>
  <c r="M367" i="1" s="1"/>
  <c r="J450" i="1"/>
  <c r="M450" i="1" s="1"/>
  <c r="J50" i="1"/>
  <c r="M50" i="1" s="1"/>
  <c r="J85" i="1"/>
  <c r="M85" i="1" s="1"/>
  <c r="J230" i="1"/>
  <c r="K230" i="1" s="1"/>
  <c r="J488" i="1"/>
  <c r="M488" i="1" s="1"/>
  <c r="J336" i="1"/>
  <c r="M336" i="1" s="1"/>
  <c r="J233" i="1"/>
  <c r="K233" i="1" s="1"/>
  <c r="J319" i="1"/>
  <c r="M319" i="1" s="1"/>
  <c r="J498" i="1"/>
  <c r="M498" i="1" s="1"/>
  <c r="J285" i="1"/>
  <c r="M285" i="1" s="1"/>
  <c r="J401" i="1"/>
  <c r="M401" i="1" s="1"/>
  <c r="J107" i="1"/>
  <c r="M107" i="1" s="1"/>
  <c r="J239" i="1"/>
  <c r="K239" i="1" s="1"/>
  <c r="J415" i="1"/>
  <c r="M415" i="1" s="1"/>
  <c r="J411" i="1"/>
  <c r="M411" i="1" s="1"/>
  <c r="J16" i="1"/>
  <c r="M16" i="1" s="1"/>
  <c r="J357" i="1"/>
  <c r="M357" i="1" s="1"/>
  <c r="J171" i="1"/>
  <c r="K171" i="1" s="1"/>
  <c r="J480" i="1"/>
  <c r="M480" i="1" s="1"/>
  <c r="J200" i="1"/>
  <c r="M200" i="1" s="1"/>
  <c r="J440" i="1"/>
  <c r="M440" i="1" s="1"/>
  <c r="J19" i="1"/>
  <c r="M19" i="1" s="1"/>
  <c r="J228" i="1"/>
  <c r="M228" i="1" s="1"/>
  <c r="J363" i="1"/>
  <c r="M363" i="1" s="1"/>
  <c r="J451" i="1"/>
  <c r="M451" i="1" s="1"/>
  <c r="J252" i="1"/>
  <c r="K252" i="1" s="1"/>
  <c r="J462" i="1"/>
  <c r="M462" i="1" s="1"/>
  <c r="J364" i="1"/>
  <c r="M364" i="1" s="1"/>
  <c r="J212" i="1"/>
  <c r="M212" i="1" s="1"/>
  <c r="J354" i="1"/>
  <c r="M354" i="1" s="1"/>
  <c r="J257" i="1"/>
  <c r="K257" i="1" s="1"/>
  <c r="J258" i="1"/>
  <c r="K258" i="1" s="1"/>
  <c r="J88" i="1"/>
  <c r="K88" i="1" s="1"/>
  <c r="J52" i="1"/>
  <c r="M52" i="1" s="1"/>
  <c r="J154" i="1"/>
  <c r="M154" i="1" s="1"/>
  <c r="J427" i="1"/>
  <c r="M427" i="1" s="1"/>
  <c r="J51" i="1"/>
  <c r="M51" i="1" s="1"/>
  <c r="J109" i="1"/>
  <c r="K109" i="1" s="1"/>
  <c r="J492" i="1"/>
  <c r="M492" i="1" s="1"/>
  <c r="J237" i="1"/>
  <c r="M237" i="1" s="1"/>
  <c r="J191" i="1"/>
  <c r="K191" i="1" s="1"/>
  <c r="J141" i="1"/>
  <c r="M141" i="1" s="1"/>
  <c r="J423" i="1"/>
  <c r="M423" i="1" s="1"/>
  <c r="J397" i="1"/>
  <c r="M397" i="1" s="1"/>
  <c r="J40" i="1"/>
  <c r="K40" i="1" s="1"/>
  <c r="J32" i="1"/>
  <c r="M32" i="1" s="1"/>
  <c r="J333" i="1"/>
  <c r="M333" i="1" s="1"/>
  <c r="J53" i="1"/>
  <c r="M53" i="1" s="1"/>
  <c r="J375" i="1"/>
  <c r="M375" i="1" s="1"/>
  <c r="J304" i="1"/>
  <c r="M304" i="1" s="1"/>
  <c r="J277" i="1"/>
  <c r="K277" i="1" s="1"/>
  <c r="J263" i="1"/>
  <c r="M263" i="1" s="1"/>
  <c r="J266" i="1"/>
  <c r="M266" i="1" s="1"/>
  <c r="J379" i="1"/>
  <c r="M379" i="1" s="1"/>
  <c r="J459" i="1"/>
  <c r="M459" i="1" s="1"/>
  <c r="J96" i="1"/>
  <c r="M96" i="1" s="1"/>
  <c r="J283" i="1"/>
  <c r="K283" i="1" s="1"/>
  <c r="J271" i="1"/>
  <c r="M271" i="1" s="1"/>
  <c r="J20" i="1"/>
  <c r="M20" i="1" s="1"/>
  <c r="J62" i="1"/>
  <c r="M62" i="1" s="1"/>
  <c r="J463" i="1"/>
  <c r="M463" i="1" s="1"/>
  <c r="J268" i="1"/>
  <c r="M268" i="1" s="1"/>
  <c r="J410" i="1"/>
  <c r="M410" i="1" s="1"/>
  <c r="J199" i="1"/>
  <c r="M199" i="1" s="1"/>
  <c r="J267" i="1"/>
  <c r="M267" i="1" s="1"/>
  <c r="J292" i="1"/>
  <c r="K292" i="1" s="1"/>
  <c r="J240" i="1"/>
  <c r="M240" i="1" s="1"/>
  <c r="J294" i="1"/>
  <c r="K294" i="1" s="1"/>
  <c r="J295" i="1"/>
  <c r="K295" i="1" s="1"/>
  <c r="J356" i="1"/>
  <c r="M356" i="1" s="1"/>
  <c r="J138" i="1"/>
  <c r="M138" i="1" s="1"/>
  <c r="J55" i="1"/>
  <c r="M55" i="1" s="1"/>
  <c r="J224" i="1"/>
  <c r="M224" i="1" s="1"/>
  <c r="J355" i="1"/>
  <c r="M355" i="1" s="1"/>
  <c r="J409" i="1"/>
  <c r="M409" i="1" s="1"/>
  <c r="J494" i="1"/>
  <c r="M494" i="1" s="1"/>
  <c r="J303" i="1"/>
  <c r="K303" i="1" s="1"/>
  <c r="J214" i="1"/>
  <c r="M214" i="1" s="1"/>
  <c r="J110" i="1"/>
  <c r="M110" i="1" s="1"/>
  <c r="J306" i="1"/>
  <c r="K306" i="1" s="1"/>
  <c r="J307" i="1"/>
  <c r="K307" i="1" s="1"/>
  <c r="J308" i="1"/>
  <c r="K308" i="1" s="1"/>
  <c r="J289" i="1"/>
  <c r="M289" i="1" s="1"/>
  <c r="J497" i="1"/>
  <c r="M497" i="1" s="1"/>
  <c r="J320" i="1"/>
  <c r="M320" i="1" s="1"/>
  <c r="J77" i="1"/>
  <c r="M77" i="1" s="1"/>
  <c r="J216" i="1"/>
  <c r="M216" i="1" s="1"/>
  <c r="J315" i="1"/>
  <c r="M315" i="1" s="1"/>
  <c r="J288" i="1"/>
  <c r="M288" i="1" s="1"/>
  <c r="J136" i="1"/>
  <c r="M136" i="1" s="1"/>
  <c r="J452" i="1"/>
  <c r="M452" i="1" s="1"/>
  <c r="J318" i="1"/>
  <c r="K318" i="1" s="1"/>
  <c r="J152" i="1"/>
  <c r="M152" i="1" s="1"/>
  <c r="J345" i="1"/>
  <c r="M345" i="1" s="1"/>
  <c r="J321" i="1"/>
  <c r="K321" i="1" s="1"/>
  <c r="J298" i="1"/>
  <c r="M298" i="1" s="1"/>
  <c r="J323" i="1"/>
  <c r="K323" i="1" s="1"/>
  <c r="J299" i="1"/>
  <c r="M299" i="1" s="1"/>
  <c r="J145" i="1"/>
  <c r="M145" i="1" s="1"/>
  <c r="J291" i="1"/>
  <c r="M291" i="1" s="1"/>
  <c r="J327" i="1"/>
  <c r="K327" i="1" s="1"/>
  <c r="J57" i="1"/>
  <c r="M57" i="1" s="1"/>
  <c r="J264" i="1"/>
  <c r="M264" i="1" s="1"/>
  <c r="J309" i="1"/>
  <c r="M309" i="1" s="1"/>
  <c r="J331" i="1"/>
  <c r="K331" i="1" s="1"/>
  <c r="J80" i="1"/>
  <c r="M80" i="1" s="1"/>
  <c r="J193" i="1"/>
  <c r="K193" i="1" s="1"/>
  <c r="J98" i="1"/>
  <c r="M98" i="1" s="1"/>
  <c r="J272" i="1"/>
  <c r="M272" i="1" s="1"/>
  <c r="J400" i="1"/>
  <c r="M400" i="1" s="1"/>
  <c r="J438" i="1"/>
  <c r="M438" i="1" s="1"/>
  <c r="J119" i="1"/>
  <c r="M119" i="1" s="1"/>
  <c r="J471" i="1"/>
  <c r="M471" i="1" s="1"/>
  <c r="J346" i="1"/>
  <c r="M346" i="1" s="1"/>
  <c r="J461" i="1"/>
  <c r="M461" i="1" s="1"/>
  <c r="J104" i="1"/>
  <c r="K104" i="1" s="1"/>
  <c r="J328" i="1"/>
  <c r="M328" i="1" s="1"/>
  <c r="J353" i="1"/>
  <c r="M353" i="1" s="1"/>
  <c r="J293" i="1"/>
  <c r="M293" i="1" s="1"/>
  <c r="J163" i="1"/>
  <c r="M163" i="1" s="1"/>
  <c r="J347" i="1"/>
  <c r="K347" i="1" s="1"/>
  <c r="J348" i="1"/>
  <c r="K348" i="1" s="1"/>
  <c r="J208" i="1"/>
  <c r="M208" i="1" s="1"/>
  <c r="J350" i="1"/>
  <c r="K350" i="1" s="1"/>
  <c r="J369" i="1"/>
  <c r="M369" i="1" s="1"/>
  <c r="J253" i="1"/>
  <c r="M253" i="1" s="1"/>
  <c r="J393" i="1"/>
  <c r="M393" i="1" s="1"/>
  <c r="J377" i="1"/>
  <c r="M377" i="1" s="1"/>
  <c r="J39" i="1"/>
  <c r="M39" i="1" s="1"/>
  <c r="J286" i="1"/>
  <c r="M286" i="1" s="1"/>
  <c r="J392" i="1"/>
  <c r="M392" i="1" s="1"/>
  <c r="J470" i="1"/>
  <c r="M470" i="1" s="1"/>
  <c r="J218" i="1"/>
  <c r="M218" i="1" s="1"/>
  <c r="J422" i="1"/>
  <c r="M422" i="1" s="1"/>
  <c r="J71" i="1"/>
  <c r="M71" i="1" s="1"/>
  <c r="J311" i="1"/>
  <c r="M311" i="1" s="1"/>
  <c r="J151" i="1"/>
  <c r="K151" i="1" s="1"/>
  <c r="J479" i="1"/>
  <c r="M479" i="1" s="1"/>
  <c r="J226" i="1"/>
  <c r="M226" i="1" s="1"/>
  <c r="J326" i="1"/>
  <c r="M326" i="1" s="1"/>
  <c r="J35" i="1"/>
  <c r="M35" i="1" s="1"/>
  <c r="J368" i="1"/>
  <c r="K368" i="1" s="1"/>
  <c r="J383" i="1"/>
  <c r="M383" i="1" s="1"/>
  <c r="J487" i="1"/>
  <c r="M487" i="1" s="1"/>
  <c r="J371" i="1"/>
  <c r="K371" i="1" s="1"/>
  <c r="J305" i="1"/>
  <c r="M305" i="1" s="1"/>
  <c r="J281" i="1"/>
  <c r="M281" i="1" s="1"/>
  <c r="J232" i="1"/>
  <c r="M232" i="1" s="1"/>
  <c r="J99" i="1"/>
  <c r="K99" i="1" s="1"/>
  <c r="J42" i="1"/>
  <c r="M42" i="1" s="1"/>
  <c r="J250" i="1"/>
  <c r="M250" i="1" s="1"/>
  <c r="J417" i="1"/>
  <c r="M417" i="1" s="1"/>
  <c r="J155" i="1"/>
  <c r="K155" i="1" s="1"/>
  <c r="J89" i="1"/>
  <c r="M89" i="1" s="1"/>
  <c r="J500" i="1"/>
  <c r="M500" i="1" s="1"/>
  <c r="J426" i="1"/>
  <c r="M426" i="1" s="1"/>
  <c r="J22" i="1"/>
  <c r="M22" i="1" s="1"/>
  <c r="J384" i="1"/>
  <c r="K384" i="1" s="1"/>
  <c r="J489" i="1"/>
  <c r="M489" i="1" s="1"/>
  <c r="J386" i="1"/>
  <c r="K386" i="1" s="1"/>
  <c r="J220" i="1"/>
  <c r="M220" i="1" s="1"/>
  <c r="J406" i="1"/>
  <c r="M406" i="1" s="1"/>
  <c r="J389" i="1"/>
  <c r="K389" i="1" s="1"/>
  <c r="J503" i="1"/>
  <c r="M503" i="1" s="1"/>
  <c r="J391" i="1"/>
  <c r="K391" i="1" s="1"/>
  <c r="J403" i="1"/>
  <c r="M403" i="1" s="1"/>
  <c r="J246" i="1"/>
  <c r="M246" i="1" s="1"/>
  <c r="J394" i="1"/>
  <c r="K394" i="1" s="1"/>
  <c r="J395" i="1"/>
  <c r="K395" i="1" s="1"/>
  <c r="J396" i="1"/>
  <c r="K396" i="1" s="1"/>
  <c r="J324" i="1"/>
  <c r="M324" i="1" s="1"/>
  <c r="J398" i="1"/>
  <c r="M398" i="1" s="1"/>
  <c r="J372" i="1"/>
  <c r="M372" i="1" s="1"/>
  <c r="J436" i="1"/>
  <c r="M436" i="1" s="1"/>
  <c r="J210" i="1"/>
  <c r="M210" i="1" s="1"/>
  <c r="J273" i="1"/>
  <c r="M273" i="1" s="1"/>
  <c r="J378" i="1"/>
  <c r="M378" i="1" s="1"/>
  <c r="J137" i="1"/>
  <c r="M137" i="1" s="1"/>
  <c r="J366" i="1"/>
  <c r="M366" i="1" s="1"/>
  <c r="J231" i="1"/>
  <c r="M231" i="1" s="1"/>
  <c r="J86" i="1"/>
  <c r="K86" i="1" s="1"/>
  <c r="J274" i="1"/>
  <c r="M274" i="1" s="1"/>
  <c r="J227" i="1"/>
  <c r="M227" i="1" s="1"/>
  <c r="J73" i="1"/>
  <c r="M73" i="1" s="1"/>
  <c r="J279" i="1"/>
  <c r="M279" i="1" s="1"/>
  <c r="J412" i="1"/>
  <c r="K412" i="1" s="1"/>
  <c r="J413" i="1"/>
  <c r="K413" i="1" s="1"/>
  <c r="J414" i="1"/>
  <c r="K414" i="1" s="1"/>
  <c r="J376" i="1"/>
  <c r="M376" i="1" s="1"/>
  <c r="J150" i="1"/>
  <c r="M150" i="1" s="1"/>
  <c r="J13" i="1"/>
  <c r="M13" i="1" s="1"/>
  <c r="J215" i="1"/>
  <c r="M215" i="1" s="1"/>
  <c r="J337" i="1"/>
  <c r="M337" i="1" s="1"/>
  <c r="J255" i="1"/>
  <c r="M255" i="1" s="1"/>
  <c r="J421" i="1"/>
  <c r="K421" i="1" s="1"/>
  <c r="J317" i="1"/>
  <c r="M317" i="1" s="1"/>
  <c r="J242" i="1"/>
  <c r="M242" i="1" s="1"/>
  <c r="J256" i="1"/>
  <c r="M256" i="1" s="1"/>
  <c r="J58" i="1"/>
  <c r="K58" i="1" s="1"/>
  <c r="J113" i="1"/>
  <c r="M113" i="1" s="1"/>
  <c r="J188" i="1"/>
  <c r="M188" i="1" s="1"/>
  <c r="J502" i="1"/>
  <c r="M502" i="1" s="1"/>
  <c r="J429" i="1"/>
  <c r="K429" i="1" s="1"/>
  <c r="J187" i="1"/>
  <c r="M187" i="1" s="1"/>
  <c r="J460" i="1"/>
  <c r="M460" i="1" s="1"/>
  <c r="J445" i="1"/>
  <c r="M445" i="1" s="1"/>
  <c r="J424" i="1"/>
  <c r="M424" i="1" s="1"/>
  <c r="J67" i="1"/>
  <c r="M67" i="1" s="1"/>
  <c r="J249" i="1"/>
  <c r="M249" i="1" s="1"/>
  <c r="J370" i="1"/>
  <c r="M370" i="1" s="1"/>
  <c r="J147" i="1"/>
  <c r="M147" i="1" s="1"/>
  <c r="J197" i="1"/>
  <c r="M197" i="1" s="1"/>
  <c r="J221" i="1"/>
  <c r="M221" i="1" s="1"/>
  <c r="J261" i="1"/>
  <c r="M261" i="1" s="1"/>
  <c r="J473" i="1"/>
  <c r="M473" i="1" s="1"/>
  <c r="J270" i="1"/>
  <c r="M270" i="1" s="1"/>
  <c r="J443" i="1"/>
  <c r="K443" i="1" s="1"/>
  <c r="J478" i="1"/>
  <c r="M478" i="1" s="1"/>
  <c r="J437" i="1"/>
  <c r="M437" i="1" s="1"/>
  <c r="J476" i="1"/>
  <c r="M476" i="1" s="1"/>
  <c r="J131" i="1"/>
  <c r="K131" i="1" s="1"/>
  <c r="J209" i="1"/>
  <c r="M209" i="1" s="1"/>
  <c r="J449" i="1"/>
  <c r="K449" i="1" s="1"/>
  <c r="J144" i="1"/>
  <c r="M144" i="1" s="1"/>
  <c r="J179" i="1"/>
  <c r="K179" i="1" s="1"/>
  <c r="J467" i="1"/>
  <c r="M467" i="1" s="1"/>
  <c r="J447" i="1"/>
  <c r="M447" i="1" s="1"/>
  <c r="J236" i="1"/>
  <c r="M236" i="1" s="1"/>
  <c r="J140" i="1"/>
  <c r="K140" i="1" s="1"/>
  <c r="J456" i="1"/>
  <c r="K456" i="1" s="1"/>
  <c r="J310" i="1"/>
  <c r="M310" i="1" s="1"/>
  <c r="J7" i="1"/>
  <c r="M7" i="1" s="1"/>
  <c r="J27" i="1"/>
  <c r="M27" i="1" s="1"/>
  <c r="J47" i="1"/>
  <c r="M47" i="1" s="1"/>
  <c r="J330" i="1"/>
  <c r="M330" i="1" s="1"/>
  <c r="J149" i="1"/>
  <c r="M149" i="1" s="1"/>
  <c r="J407" i="1"/>
  <c r="M407" i="1" s="1"/>
  <c r="J464" i="1"/>
  <c r="K464" i="1" s="1"/>
  <c r="J465" i="1"/>
  <c r="K465" i="1" s="1"/>
  <c r="J153" i="1"/>
  <c r="M153" i="1" s="1"/>
  <c r="J91" i="1"/>
  <c r="M91" i="1" s="1"/>
  <c r="J94" i="1"/>
  <c r="K94" i="1" s="1"/>
  <c r="J223" i="1"/>
  <c r="M223" i="1" s="1"/>
  <c r="J238" i="1"/>
  <c r="M238" i="1" s="1"/>
  <c r="J262" i="1"/>
  <c r="M262" i="1" s="1"/>
  <c r="J182" i="1"/>
  <c r="M182" i="1" s="1"/>
  <c r="J387" i="1"/>
  <c r="M387" i="1" s="1"/>
  <c r="J474" i="1"/>
  <c r="K474" i="1" s="1"/>
  <c r="J229" i="1"/>
  <c r="M229" i="1" s="1"/>
  <c r="J428" i="1"/>
  <c r="M428" i="1" s="1"/>
  <c r="J477" i="1"/>
  <c r="K477" i="1" s="1"/>
  <c r="J433" i="1"/>
  <c r="M433" i="1" s="1"/>
  <c r="J241" i="1"/>
  <c r="M241" i="1" s="1"/>
  <c r="J454" i="1"/>
  <c r="M454" i="1" s="1"/>
  <c r="J481" i="1"/>
  <c r="K481" i="1" s="1"/>
  <c r="J469" i="1"/>
  <c r="M469" i="1" s="1"/>
  <c r="J14" i="1"/>
  <c r="K14" i="1" s="1"/>
  <c r="J390" i="1"/>
  <c r="M390" i="1" s="1"/>
  <c r="J482" i="1"/>
  <c r="M482" i="1" s="1"/>
  <c r="J172" i="1"/>
  <c r="M172" i="1" s="1"/>
  <c r="J381" i="1"/>
  <c r="M381" i="1" s="1"/>
  <c r="J65" i="1"/>
  <c r="M65" i="1" s="1"/>
  <c r="J93" i="1"/>
  <c r="M93" i="1" s="1"/>
  <c r="J194" i="1"/>
  <c r="M194" i="1" s="1"/>
  <c r="J121" i="1"/>
  <c r="M121" i="1" s="1"/>
  <c r="J63" i="1"/>
  <c r="M63" i="1" s="1"/>
  <c r="J183" i="1"/>
  <c r="K183" i="1" s="1"/>
  <c r="J133" i="1"/>
  <c r="M133" i="1" s="1"/>
  <c r="J340" i="1"/>
  <c r="M340" i="1" s="1"/>
  <c r="J496" i="1"/>
  <c r="K496" i="1" s="1"/>
  <c r="J275" i="1"/>
  <c r="M275" i="1" s="1"/>
  <c r="J103" i="1"/>
  <c r="M103" i="1" s="1"/>
  <c r="J244" i="1"/>
  <c r="M244" i="1" s="1"/>
  <c r="J382" i="1"/>
  <c r="M382" i="1" s="1"/>
  <c r="J501" i="1"/>
  <c r="K501" i="1" s="1"/>
  <c r="J166" i="1"/>
  <c r="K166" i="1" s="1"/>
  <c r="J419" i="1"/>
  <c r="M419" i="1" s="1"/>
  <c r="K504" i="3"/>
  <c r="J504" i="3"/>
  <c r="K503" i="3"/>
  <c r="J503" i="3"/>
  <c r="K502" i="3"/>
  <c r="J502" i="3"/>
  <c r="K501" i="3"/>
  <c r="J501" i="3"/>
  <c r="K500" i="3"/>
  <c r="J500" i="3"/>
  <c r="K499" i="3"/>
  <c r="J499" i="3"/>
  <c r="K498" i="3"/>
  <c r="J498" i="3"/>
  <c r="K497" i="3"/>
  <c r="J497" i="3"/>
  <c r="K496" i="3"/>
  <c r="J496" i="3"/>
  <c r="K495" i="3"/>
  <c r="J495" i="3"/>
  <c r="K494" i="3"/>
  <c r="J494" i="3"/>
  <c r="K493" i="3"/>
  <c r="J493" i="3"/>
  <c r="K492" i="3"/>
  <c r="J492" i="3"/>
  <c r="K491" i="3"/>
  <c r="J491" i="3"/>
  <c r="K490" i="3"/>
  <c r="J490" i="3"/>
  <c r="K489" i="3"/>
  <c r="J489" i="3"/>
  <c r="K488" i="3"/>
  <c r="J488" i="3"/>
  <c r="K487" i="3"/>
  <c r="J487" i="3"/>
  <c r="K486" i="3"/>
  <c r="J486" i="3"/>
  <c r="K485" i="3"/>
  <c r="J485" i="3"/>
  <c r="K484" i="3"/>
  <c r="J484" i="3"/>
  <c r="K483" i="3"/>
  <c r="J483" i="3"/>
  <c r="K482" i="3"/>
  <c r="J482" i="3"/>
  <c r="K481" i="3"/>
  <c r="J481" i="3"/>
  <c r="K480" i="3"/>
  <c r="J480" i="3"/>
  <c r="K479" i="3"/>
  <c r="J479" i="3"/>
  <c r="K478" i="3"/>
  <c r="J478" i="3"/>
  <c r="K477" i="3"/>
  <c r="J477" i="3"/>
  <c r="K476" i="3"/>
  <c r="J476" i="3"/>
  <c r="K475" i="3"/>
  <c r="J475" i="3"/>
  <c r="K474" i="3"/>
  <c r="J474" i="3"/>
  <c r="K473" i="3"/>
  <c r="J473" i="3"/>
  <c r="K472" i="3"/>
  <c r="J472" i="3"/>
  <c r="K471" i="3"/>
  <c r="J471" i="3"/>
  <c r="K470" i="3"/>
  <c r="J470" i="3"/>
  <c r="K469" i="3"/>
  <c r="J469" i="3"/>
  <c r="K468" i="3"/>
  <c r="J468" i="3"/>
  <c r="K467" i="3"/>
  <c r="J467" i="3"/>
  <c r="K466" i="3"/>
  <c r="J466" i="3"/>
  <c r="K465" i="3"/>
  <c r="J465" i="3"/>
  <c r="K464" i="3"/>
  <c r="J464" i="3"/>
  <c r="K463" i="3"/>
  <c r="J463" i="3"/>
  <c r="K462" i="3"/>
  <c r="J462" i="3"/>
  <c r="K461" i="3"/>
  <c r="J461" i="3"/>
  <c r="K460" i="3"/>
  <c r="J460" i="3"/>
  <c r="K459" i="3"/>
  <c r="J459" i="3"/>
  <c r="K458" i="3"/>
  <c r="J458" i="3"/>
  <c r="K457" i="3"/>
  <c r="J457" i="3"/>
  <c r="K456" i="3"/>
  <c r="J456" i="3"/>
  <c r="K455" i="3"/>
  <c r="J455" i="3"/>
  <c r="K454" i="3"/>
  <c r="J454" i="3"/>
  <c r="K453" i="3"/>
  <c r="J453" i="3"/>
  <c r="K452" i="3"/>
  <c r="J452" i="3"/>
  <c r="K451" i="3"/>
  <c r="J451" i="3"/>
  <c r="K450" i="3"/>
  <c r="J450" i="3"/>
  <c r="K449" i="3"/>
  <c r="J449" i="3"/>
  <c r="K448" i="3"/>
  <c r="J448" i="3"/>
  <c r="K447" i="3"/>
  <c r="J447" i="3"/>
  <c r="K446" i="3"/>
  <c r="J446" i="3"/>
  <c r="K445" i="3"/>
  <c r="J445" i="3"/>
  <c r="K444" i="3"/>
  <c r="J444" i="3"/>
  <c r="K443" i="3"/>
  <c r="J443" i="3"/>
  <c r="K442" i="3"/>
  <c r="J442" i="3"/>
  <c r="K441" i="3"/>
  <c r="J441" i="3"/>
  <c r="K440" i="3"/>
  <c r="J440" i="3"/>
  <c r="K439" i="3"/>
  <c r="J439" i="3"/>
  <c r="K438" i="3"/>
  <c r="J438" i="3"/>
  <c r="K437" i="3"/>
  <c r="J437" i="3"/>
  <c r="K436" i="3"/>
  <c r="J436" i="3"/>
  <c r="K435" i="3"/>
  <c r="J435" i="3"/>
  <c r="K434" i="3"/>
  <c r="J434" i="3"/>
  <c r="K433" i="3"/>
  <c r="J433" i="3"/>
  <c r="K432" i="3"/>
  <c r="J432" i="3"/>
  <c r="K431" i="3"/>
  <c r="J431" i="3"/>
  <c r="K430" i="3"/>
  <c r="J430" i="3"/>
  <c r="K429" i="3"/>
  <c r="J429" i="3"/>
  <c r="K428" i="3"/>
  <c r="J428" i="3"/>
  <c r="K427" i="3"/>
  <c r="J427" i="3"/>
  <c r="K426" i="3"/>
  <c r="J426" i="3"/>
  <c r="K425" i="3"/>
  <c r="J425" i="3"/>
  <c r="K424" i="3"/>
  <c r="J424" i="3"/>
  <c r="K423" i="3"/>
  <c r="J423" i="3"/>
  <c r="K422" i="3"/>
  <c r="J422" i="3"/>
  <c r="K421" i="3"/>
  <c r="J421" i="3"/>
  <c r="K420" i="3"/>
  <c r="J420" i="3"/>
  <c r="K419" i="3"/>
  <c r="J419" i="3"/>
  <c r="K418" i="3"/>
  <c r="J418" i="3"/>
  <c r="K417" i="3"/>
  <c r="J417" i="3"/>
  <c r="K416" i="3"/>
  <c r="J416" i="3"/>
  <c r="K415" i="3"/>
  <c r="J415" i="3"/>
  <c r="K414" i="3"/>
  <c r="J414" i="3"/>
  <c r="K413" i="3"/>
  <c r="J413" i="3"/>
  <c r="K412" i="3"/>
  <c r="J412" i="3"/>
  <c r="K411" i="3"/>
  <c r="J411" i="3"/>
  <c r="K410" i="3"/>
  <c r="J410" i="3"/>
  <c r="K409" i="3"/>
  <c r="J409" i="3"/>
  <c r="K408" i="3"/>
  <c r="J408" i="3"/>
  <c r="K407" i="3"/>
  <c r="J407" i="3"/>
  <c r="K406" i="3"/>
  <c r="J406" i="3"/>
  <c r="K405" i="3"/>
  <c r="J405" i="3"/>
  <c r="K404" i="3"/>
  <c r="J404" i="3"/>
  <c r="K403" i="3"/>
  <c r="J403" i="3"/>
  <c r="K402" i="3"/>
  <c r="J402" i="3"/>
  <c r="K401" i="3"/>
  <c r="J401" i="3"/>
  <c r="K400" i="3"/>
  <c r="J400" i="3"/>
  <c r="K399" i="3"/>
  <c r="J399" i="3"/>
  <c r="K398" i="3"/>
  <c r="J398" i="3"/>
  <c r="K397" i="3"/>
  <c r="J397" i="3"/>
  <c r="K396" i="3"/>
  <c r="J396" i="3"/>
  <c r="K395" i="3"/>
  <c r="J395" i="3"/>
  <c r="K394" i="3"/>
  <c r="J394" i="3"/>
  <c r="K393" i="3"/>
  <c r="J393" i="3"/>
  <c r="K392" i="3"/>
  <c r="J392" i="3"/>
  <c r="K391" i="3"/>
  <c r="J391" i="3"/>
  <c r="K390" i="3"/>
  <c r="J390" i="3"/>
  <c r="K389" i="3"/>
  <c r="J389" i="3"/>
  <c r="K388" i="3"/>
  <c r="J388" i="3"/>
  <c r="K387" i="3"/>
  <c r="J387" i="3"/>
  <c r="K386" i="3"/>
  <c r="J386" i="3"/>
  <c r="K385" i="3"/>
  <c r="J385" i="3"/>
  <c r="K384" i="3"/>
  <c r="J384" i="3"/>
  <c r="K383" i="3"/>
  <c r="J383" i="3"/>
  <c r="K382" i="3"/>
  <c r="J382" i="3"/>
  <c r="K381" i="3"/>
  <c r="J381" i="3"/>
  <c r="K380" i="3"/>
  <c r="J380" i="3"/>
  <c r="K379" i="3"/>
  <c r="J379" i="3"/>
  <c r="K378" i="3"/>
  <c r="J378" i="3"/>
  <c r="K377" i="3"/>
  <c r="J377" i="3"/>
  <c r="K376" i="3"/>
  <c r="J376" i="3"/>
  <c r="K375" i="3"/>
  <c r="J375" i="3"/>
  <c r="K374" i="3"/>
  <c r="J374" i="3"/>
  <c r="K373" i="3"/>
  <c r="J373" i="3"/>
  <c r="K372" i="3"/>
  <c r="J372" i="3"/>
  <c r="K371" i="3"/>
  <c r="J371" i="3"/>
  <c r="K370" i="3"/>
  <c r="J370" i="3"/>
  <c r="K369" i="3"/>
  <c r="J369" i="3"/>
  <c r="K368" i="3"/>
  <c r="J368" i="3"/>
  <c r="K367" i="3"/>
  <c r="J367" i="3"/>
  <c r="K366" i="3"/>
  <c r="J366" i="3"/>
  <c r="K365" i="3"/>
  <c r="J365" i="3"/>
  <c r="K364" i="3"/>
  <c r="J364" i="3"/>
  <c r="K363" i="3"/>
  <c r="J363" i="3"/>
  <c r="K362" i="3"/>
  <c r="J362" i="3"/>
  <c r="K361" i="3"/>
  <c r="J361" i="3"/>
  <c r="K360" i="3"/>
  <c r="J360" i="3"/>
  <c r="K359" i="3"/>
  <c r="J359" i="3"/>
  <c r="K358" i="3"/>
  <c r="J358" i="3"/>
  <c r="K357" i="3"/>
  <c r="J357" i="3"/>
  <c r="K356" i="3"/>
  <c r="J356" i="3"/>
  <c r="K355" i="3"/>
  <c r="J355" i="3"/>
  <c r="K354" i="3"/>
  <c r="J354" i="3"/>
  <c r="K353" i="3"/>
  <c r="J353" i="3"/>
  <c r="K352" i="3"/>
  <c r="J352" i="3"/>
  <c r="K351" i="3"/>
  <c r="J351" i="3"/>
  <c r="K350" i="3"/>
  <c r="J350" i="3"/>
  <c r="K349" i="3"/>
  <c r="J349" i="3"/>
  <c r="K348" i="3"/>
  <c r="J348" i="3"/>
  <c r="K347" i="3"/>
  <c r="J347" i="3"/>
  <c r="K346" i="3"/>
  <c r="J346" i="3"/>
  <c r="K345" i="3"/>
  <c r="J345" i="3"/>
  <c r="K344" i="3"/>
  <c r="J344" i="3"/>
  <c r="K343" i="3"/>
  <c r="J343" i="3"/>
  <c r="K342" i="3"/>
  <c r="J342" i="3"/>
  <c r="K341" i="3"/>
  <c r="J341" i="3"/>
  <c r="K340" i="3"/>
  <c r="J340" i="3"/>
  <c r="K339" i="3"/>
  <c r="J339" i="3"/>
  <c r="K338" i="3"/>
  <c r="J338" i="3"/>
  <c r="K337" i="3"/>
  <c r="J337" i="3"/>
  <c r="K336" i="3"/>
  <c r="J336" i="3"/>
  <c r="K335" i="3"/>
  <c r="J335" i="3"/>
  <c r="K334" i="3"/>
  <c r="J334" i="3"/>
  <c r="K333" i="3"/>
  <c r="J333" i="3"/>
  <c r="K332" i="3"/>
  <c r="J332" i="3"/>
  <c r="K331" i="3"/>
  <c r="J331" i="3"/>
  <c r="K330" i="3"/>
  <c r="J330" i="3"/>
  <c r="K329" i="3"/>
  <c r="J329" i="3"/>
  <c r="K328" i="3"/>
  <c r="J328" i="3"/>
  <c r="K327" i="3"/>
  <c r="J327" i="3"/>
  <c r="K326" i="3"/>
  <c r="J326" i="3"/>
  <c r="K325" i="3"/>
  <c r="J325" i="3"/>
  <c r="K324" i="3"/>
  <c r="J324" i="3"/>
  <c r="K323" i="3"/>
  <c r="J323" i="3"/>
  <c r="K322" i="3"/>
  <c r="J322" i="3"/>
  <c r="K321" i="3"/>
  <c r="J321" i="3"/>
  <c r="K320" i="3"/>
  <c r="J320" i="3"/>
  <c r="K319" i="3"/>
  <c r="J319" i="3"/>
  <c r="K318" i="3"/>
  <c r="J318" i="3"/>
  <c r="K317" i="3"/>
  <c r="J317" i="3"/>
  <c r="K316" i="3"/>
  <c r="J316" i="3"/>
  <c r="K315" i="3"/>
  <c r="J315" i="3"/>
  <c r="K314" i="3"/>
  <c r="J314" i="3"/>
  <c r="K313" i="3"/>
  <c r="J313" i="3"/>
  <c r="K312" i="3"/>
  <c r="J312" i="3"/>
  <c r="K311" i="3"/>
  <c r="J311" i="3"/>
  <c r="K310" i="3"/>
  <c r="J310" i="3"/>
  <c r="K309" i="3"/>
  <c r="J309" i="3"/>
  <c r="K308" i="3"/>
  <c r="J308" i="3"/>
  <c r="K307" i="3"/>
  <c r="J307" i="3"/>
  <c r="K306" i="3"/>
  <c r="J306" i="3"/>
  <c r="K305" i="3"/>
  <c r="J305" i="3"/>
  <c r="K304" i="3"/>
  <c r="J304" i="3"/>
  <c r="K303" i="3"/>
  <c r="J303" i="3"/>
  <c r="K302" i="3"/>
  <c r="J302" i="3"/>
  <c r="K301" i="3"/>
  <c r="J301" i="3"/>
  <c r="K300" i="3"/>
  <c r="J300" i="3"/>
  <c r="K299" i="3"/>
  <c r="J299" i="3"/>
  <c r="K298" i="3"/>
  <c r="J298" i="3"/>
  <c r="K297" i="3"/>
  <c r="J297" i="3"/>
  <c r="K296" i="3"/>
  <c r="J296" i="3"/>
  <c r="K295" i="3"/>
  <c r="J295" i="3"/>
  <c r="K294" i="3"/>
  <c r="J294" i="3"/>
  <c r="K293" i="3"/>
  <c r="J293" i="3"/>
  <c r="K292" i="3"/>
  <c r="J292" i="3"/>
  <c r="K291" i="3"/>
  <c r="J291" i="3"/>
  <c r="K290" i="3"/>
  <c r="J290" i="3"/>
  <c r="K289" i="3"/>
  <c r="J289" i="3"/>
  <c r="K288" i="3"/>
  <c r="J288" i="3"/>
  <c r="K287" i="3"/>
  <c r="J287" i="3"/>
  <c r="K286" i="3"/>
  <c r="J286" i="3"/>
  <c r="K285" i="3"/>
  <c r="J285" i="3"/>
  <c r="K284" i="3"/>
  <c r="J284" i="3"/>
  <c r="K283" i="3"/>
  <c r="J283" i="3"/>
  <c r="K282" i="3"/>
  <c r="J282" i="3"/>
  <c r="K281" i="3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3" i="3"/>
  <c r="J273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J265" i="3"/>
  <c r="K264" i="3"/>
  <c r="J264" i="3"/>
  <c r="K263" i="3"/>
  <c r="J263" i="3"/>
  <c r="K262" i="3"/>
  <c r="J262" i="3"/>
  <c r="K261" i="3"/>
  <c r="J261" i="3"/>
  <c r="K260" i="3"/>
  <c r="J260" i="3"/>
  <c r="K259" i="3"/>
  <c r="J259" i="3"/>
  <c r="K258" i="3"/>
  <c r="J258" i="3"/>
  <c r="K257" i="3"/>
  <c r="J257" i="3"/>
  <c r="K256" i="3"/>
  <c r="J256" i="3"/>
  <c r="K255" i="3"/>
  <c r="J255" i="3"/>
  <c r="K254" i="3"/>
  <c r="J254" i="3"/>
  <c r="K253" i="3"/>
  <c r="J253" i="3"/>
  <c r="K252" i="3"/>
  <c r="J252" i="3"/>
  <c r="K251" i="3"/>
  <c r="J251" i="3"/>
  <c r="K250" i="3"/>
  <c r="J250" i="3"/>
  <c r="K249" i="3"/>
  <c r="J249" i="3"/>
  <c r="K248" i="3"/>
  <c r="J248" i="3"/>
  <c r="K247" i="3"/>
  <c r="J247" i="3"/>
  <c r="K246" i="3"/>
  <c r="J246" i="3"/>
  <c r="K245" i="3"/>
  <c r="J245" i="3"/>
  <c r="K244" i="3"/>
  <c r="J244" i="3"/>
  <c r="K243" i="3"/>
  <c r="J243" i="3"/>
  <c r="K242" i="3"/>
  <c r="J242" i="3"/>
  <c r="K241" i="3"/>
  <c r="J241" i="3"/>
  <c r="K240" i="3"/>
  <c r="J240" i="3"/>
  <c r="K239" i="3"/>
  <c r="J239" i="3"/>
  <c r="K238" i="3"/>
  <c r="J238" i="3"/>
  <c r="K237" i="3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25" i="3"/>
  <c r="J225" i="3"/>
  <c r="K224" i="3"/>
  <c r="J224" i="3"/>
  <c r="K223" i="3"/>
  <c r="J223" i="3"/>
  <c r="K222" i="3"/>
  <c r="J222" i="3"/>
  <c r="K221" i="3"/>
  <c r="J221" i="3"/>
  <c r="K220" i="3"/>
  <c r="J220" i="3"/>
  <c r="K219" i="3"/>
  <c r="J219" i="3"/>
  <c r="K218" i="3"/>
  <c r="J218" i="3"/>
  <c r="K217" i="3"/>
  <c r="J217" i="3"/>
  <c r="K216" i="3"/>
  <c r="J216" i="3"/>
  <c r="K215" i="3"/>
  <c r="J215" i="3"/>
  <c r="K214" i="3"/>
  <c r="J214" i="3"/>
  <c r="K213" i="3"/>
  <c r="J213" i="3"/>
  <c r="K212" i="3"/>
  <c r="J212" i="3"/>
  <c r="K211" i="3"/>
  <c r="J211" i="3"/>
  <c r="K210" i="3"/>
  <c r="J210" i="3"/>
  <c r="K209" i="3"/>
  <c r="J209" i="3"/>
  <c r="K208" i="3"/>
  <c r="J208" i="3"/>
  <c r="K207" i="3"/>
  <c r="J207" i="3"/>
  <c r="K206" i="3"/>
  <c r="J206" i="3"/>
  <c r="K205" i="3"/>
  <c r="J205" i="3"/>
  <c r="K204" i="3"/>
  <c r="J204" i="3"/>
  <c r="K203" i="3"/>
  <c r="J203" i="3"/>
  <c r="K202" i="3"/>
  <c r="J202" i="3"/>
  <c r="K201" i="3"/>
  <c r="J201" i="3"/>
  <c r="K200" i="3"/>
  <c r="J200" i="3"/>
  <c r="K199" i="3"/>
  <c r="J199" i="3"/>
  <c r="K198" i="3"/>
  <c r="J198" i="3"/>
  <c r="K197" i="3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J156" i="1"/>
  <c r="M156" i="1" s="1"/>
  <c r="J444" i="1"/>
  <c r="M444" i="1" s="1"/>
  <c r="J12" i="1"/>
  <c r="M12" i="1" s="1"/>
  <c r="J180" i="1"/>
  <c r="M180" i="1" s="1"/>
  <c r="J79" i="1"/>
  <c r="M79" i="1" s="1"/>
  <c r="J3" i="1"/>
  <c r="K3" i="1" s="1"/>
  <c r="J45" i="1"/>
  <c r="M45" i="1" s="1"/>
  <c r="K2" i="1" l="1"/>
  <c r="M2" i="1"/>
  <c r="M8" i="1"/>
  <c r="M26" i="1"/>
  <c r="M56" i="1"/>
  <c r="M88" i="1"/>
  <c r="M92" i="1"/>
  <c r="M97" i="1"/>
  <c r="M102" i="1"/>
  <c r="M112" i="1"/>
  <c r="M131" i="1"/>
  <c r="M162" i="1"/>
  <c r="M168" i="1"/>
  <c r="M191" i="1"/>
  <c r="M195" i="1"/>
  <c r="M5" i="1"/>
  <c r="M14" i="1"/>
  <c r="M23" i="1"/>
  <c r="M40" i="1"/>
  <c r="M54" i="1"/>
  <c r="M58" i="1"/>
  <c r="M69" i="1"/>
  <c r="M82" i="1"/>
  <c r="M86" i="1"/>
  <c r="M90" i="1"/>
  <c r="M94" i="1"/>
  <c r="M99" i="1"/>
  <c r="M104" i="1"/>
  <c r="M109" i="1"/>
  <c r="M114" i="1"/>
  <c r="M118" i="1"/>
  <c r="M122" i="1"/>
  <c r="M128" i="1"/>
  <c r="M134" i="1"/>
  <c r="M140" i="1"/>
  <c r="M146" i="1"/>
  <c r="M151" i="1"/>
  <c r="M155" i="1"/>
  <c r="M159" i="1"/>
  <c r="M166" i="1"/>
  <c r="M171" i="1"/>
  <c r="M175" i="1"/>
  <c r="M179" i="1"/>
  <c r="M183" i="1"/>
  <c r="M189" i="1"/>
  <c r="M193" i="1"/>
  <c r="K45" i="1"/>
  <c r="K79" i="1"/>
  <c r="K12" i="1"/>
  <c r="K65" i="1"/>
  <c r="K153" i="1"/>
  <c r="K149" i="1"/>
  <c r="K47" i="1"/>
  <c r="K144" i="1"/>
  <c r="K67" i="1"/>
  <c r="K187" i="1"/>
  <c r="K73" i="1"/>
  <c r="K137" i="1"/>
  <c r="K42" i="1"/>
  <c r="K77" i="1"/>
  <c r="K62" i="1"/>
  <c r="K52" i="1"/>
  <c r="K19" i="1"/>
  <c r="K16" i="1"/>
  <c r="K107" i="1"/>
  <c r="K50" i="1"/>
  <c r="K30" i="1"/>
  <c r="K21" i="1"/>
  <c r="K173" i="1"/>
  <c r="K33" i="1"/>
  <c r="K157" i="1"/>
  <c r="K120" i="1"/>
  <c r="K116" i="1"/>
  <c r="K36" i="1"/>
  <c r="K28" i="1"/>
  <c r="K125" i="1"/>
  <c r="K10" i="1"/>
  <c r="K181" i="1"/>
  <c r="K84" i="1"/>
  <c r="K177" i="1"/>
  <c r="K180" i="1"/>
  <c r="K444" i="1"/>
  <c r="K419" i="1"/>
  <c r="K244" i="1"/>
  <c r="K275" i="1"/>
  <c r="K340" i="1"/>
  <c r="K121" i="1"/>
  <c r="K93" i="1"/>
  <c r="K381" i="1"/>
  <c r="K482" i="1"/>
  <c r="K241" i="1"/>
  <c r="K229" i="1"/>
  <c r="K387" i="1"/>
  <c r="K262" i="1"/>
  <c r="K223" i="1"/>
  <c r="K91" i="1"/>
  <c r="K407" i="1"/>
  <c r="K330" i="1"/>
  <c r="K27" i="1"/>
  <c r="K310" i="1"/>
  <c r="K447" i="1"/>
  <c r="K437" i="1"/>
  <c r="K473" i="1"/>
  <c r="K221" i="1"/>
  <c r="K147" i="1"/>
  <c r="K249" i="1"/>
  <c r="K424" i="1"/>
  <c r="K460" i="1"/>
  <c r="K188" i="1"/>
  <c r="K242" i="1"/>
  <c r="K337" i="1"/>
  <c r="K13" i="1"/>
  <c r="K376" i="1"/>
  <c r="K279" i="1"/>
  <c r="K227" i="1"/>
  <c r="K366" i="1"/>
  <c r="K378" i="1"/>
  <c r="K210" i="1"/>
  <c r="K372" i="1"/>
  <c r="K324" i="1"/>
  <c r="K246" i="1"/>
  <c r="K220" i="1"/>
  <c r="K489" i="1"/>
  <c r="K22" i="1"/>
  <c r="K500" i="1"/>
  <c r="K250" i="1"/>
  <c r="K281" i="1"/>
  <c r="K383" i="1"/>
  <c r="K35" i="1"/>
  <c r="K226" i="1"/>
  <c r="K71" i="1"/>
  <c r="K218" i="1"/>
  <c r="K392" i="1"/>
  <c r="K39" i="1"/>
  <c r="K393" i="1"/>
  <c r="K369" i="1"/>
  <c r="K208" i="1"/>
  <c r="K293" i="1"/>
  <c r="K328" i="1"/>
  <c r="K461" i="1"/>
  <c r="K471" i="1"/>
  <c r="K438" i="1"/>
  <c r="K272" i="1"/>
  <c r="K264" i="1"/>
  <c r="K145" i="1"/>
  <c r="K152" i="1"/>
  <c r="K452" i="1"/>
  <c r="K288" i="1"/>
  <c r="K216" i="1"/>
  <c r="K320" i="1"/>
  <c r="K289" i="1"/>
  <c r="K110" i="1"/>
  <c r="K409" i="1"/>
  <c r="K224" i="1"/>
  <c r="K138" i="1"/>
  <c r="K240" i="1"/>
  <c r="K267" i="1"/>
  <c r="K410" i="1"/>
  <c r="K463" i="1"/>
  <c r="K20" i="1"/>
  <c r="K459" i="1"/>
  <c r="K266" i="1"/>
  <c r="K375" i="1"/>
  <c r="K333" i="1"/>
  <c r="K423" i="1"/>
  <c r="K492" i="1"/>
  <c r="K51" i="1"/>
  <c r="K154" i="1"/>
  <c r="K212" i="1"/>
  <c r="K462" i="1"/>
  <c r="K451" i="1"/>
  <c r="K228" i="1"/>
  <c r="K440" i="1"/>
  <c r="K480" i="1"/>
  <c r="K357" i="1"/>
  <c r="K411" i="1"/>
  <c r="K401" i="1"/>
  <c r="K498" i="1"/>
  <c r="K488" i="1"/>
  <c r="K85" i="1"/>
  <c r="K450" i="1"/>
  <c r="K475" i="1"/>
  <c r="K254" i="1"/>
  <c r="K108" i="1"/>
  <c r="K251" i="1"/>
  <c r="K44" i="1"/>
  <c r="K74" i="1"/>
  <c r="K25" i="1"/>
  <c r="K316" i="1"/>
  <c r="K314" i="1"/>
  <c r="K260" i="1"/>
  <c r="K280" i="1"/>
  <c r="K206" i="1"/>
  <c r="K287" i="1"/>
  <c r="K405" i="1"/>
  <c r="K297" i="1"/>
  <c r="K374" i="1"/>
  <c r="K439" i="1"/>
  <c r="K259" i="1"/>
  <c r="K312" i="1"/>
  <c r="K373" i="1"/>
  <c r="K362" i="1"/>
  <c r="K442" i="1"/>
  <c r="K290" i="1"/>
  <c r="K361" i="1"/>
  <c r="K265" i="1"/>
  <c r="K158" i="1"/>
  <c r="K243" i="1"/>
  <c r="K9" i="1"/>
  <c r="K334" i="1"/>
  <c r="K486" i="1"/>
  <c r="K192" i="1"/>
  <c r="K176" i="1"/>
  <c r="K408" i="1"/>
  <c r="K453" i="1"/>
  <c r="K211" i="1"/>
  <c r="K201" i="1"/>
  <c r="K339" i="1"/>
  <c r="K338" i="1"/>
  <c r="K269" i="1"/>
  <c r="K11" i="1"/>
  <c r="K61" i="1"/>
  <c r="K105" i="1"/>
  <c r="K117" i="1"/>
  <c r="K167" i="1"/>
  <c r="K213" i="1"/>
  <c r="K404" i="1"/>
  <c r="K234" i="1"/>
  <c r="K455" i="1"/>
  <c r="K448" i="1"/>
  <c r="K222" i="1"/>
  <c r="K278" i="1"/>
  <c r="K402" i="1"/>
  <c r="K493" i="1"/>
  <c r="K420" i="1"/>
  <c r="K435" i="1"/>
  <c r="K161" i="1"/>
  <c r="K441" i="1"/>
  <c r="K325" i="1"/>
  <c r="K349" i="1"/>
  <c r="K205" i="1"/>
  <c r="K100" i="1"/>
  <c r="K83" i="1"/>
  <c r="K282" i="1"/>
  <c r="K491" i="1"/>
  <c r="K156" i="1"/>
  <c r="K382" i="1"/>
  <c r="K103" i="1"/>
  <c r="K133" i="1"/>
  <c r="K63" i="1"/>
  <c r="K194" i="1"/>
  <c r="K172" i="1"/>
  <c r="K390" i="1"/>
  <c r="K469" i="1"/>
  <c r="K454" i="1"/>
  <c r="K433" i="1"/>
  <c r="K428" i="1"/>
  <c r="K182" i="1"/>
  <c r="K238" i="1"/>
  <c r="K7" i="1"/>
  <c r="K236" i="1"/>
  <c r="K467" i="1"/>
  <c r="K209" i="1"/>
  <c r="K476" i="1"/>
  <c r="K478" i="1"/>
  <c r="K270" i="1"/>
  <c r="K261" i="1"/>
  <c r="K197" i="1"/>
  <c r="K370" i="1"/>
  <c r="K445" i="1"/>
  <c r="K502" i="1"/>
  <c r="K113" i="1"/>
  <c r="K256" i="1"/>
  <c r="K317" i="1"/>
  <c r="K255" i="1"/>
  <c r="K215" i="1"/>
  <c r="K150" i="1"/>
  <c r="K274" i="1"/>
  <c r="K231" i="1"/>
  <c r="K273" i="1"/>
  <c r="K436" i="1"/>
  <c r="K398" i="1"/>
  <c r="K403" i="1"/>
  <c r="K503" i="1"/>
  <c r="K406" i="1"/>
  <c r="K426" i="1"/>
  <c r="K89" i="1"/>
  <c r="K417" i="1"/>
  <c r="K232" i="1"/>
  <c r="K305" i="1"/>
  <c r="K487" i="1"/>
  <c r="K326" i="1"/>
  <c r="K479" i="1"/>
  <c r="K311" i="1"/>
  <c r="K422" i="1"/>
  <c r="K470" i="1"/>
  <c r="K286" i="1"/>
  <c r="K377" i="1"/>
  <c r="K253" i="1"/>
  <c r="K163" i="1"/>
  <c r="K353" i="1"/>
  <c r="K346" i="1"/>
  <c r="K119" i="1"/>
  <c r="K400" i="1"/>
  <c r="K98" i="1"/>
  <c r="K80" i="1"/>
  <c r="K309" i="1"/>
  <c r="K57" i="1"/>
  <c r="K291" i="1"/>
  <c r="K299" i="1"/>
  <c r="K298" i="1"/>
  <c r="K345" i="1"/>
  <c r="K136" i="1"/>
  <c r="K315" i="1"/>
  <c r="K497" i="1"/>
  <c r="K214" i="1"/>
  <c r="K494" i="1"/>
  <c r="K355" i="1"/>
  <c r="K55" i="1"/>
  <c r="K356" i="1"/>
  <c r="K199" i="1"/>
  <c r="K268" i="1"/>
  <c r="K271" i="1"/>
  <c r="K96" i="1"/>
  <c r="K379" i="1"/>
  <c r="K263" i="1"/>
  <c r="K304" i="1"/>
  <c r="K53" i="1"/>
  <c r="K32" i="1"/>
  <c r="K397" i="1"/>
  <c r="K141" i="1"/>
  <c r="K237" i="1"/>
  <c r="K427" i="1"/>
  <c r="K354" i="1"/>
  <c r="K364" i="1"/>
  <c r="K363" i="1"/>
  <c r="K200" i="1"/>
  <c r="K415" i="1"/>
  <c r="K285" i="1"/>
  <c r="K319" i="1"/>
  <c r="K336" i="1"/>
  <c r="K367" i="1"/>
  <c r="K344" i="1"/>
  <c r="K78" i="1"/>
  <c r="K247" i="1"/>
  <c r="K343" i="1"/>
  <c r="K458" i="1"/>
  <c r="K186" i="1"/>
  <c r="K425" i="1"/>
  <c r="K418" i="1"/>
  <c r="K358" i="1"/>
  <c r="K115" i="1"/>
  <c r="K352" i="1"/>
  <c r="K332" i="1"/>
  <c r="K302" i="1"/>
  <c r="K495" i="1"/>
  <c r="K329" i="1"/>
  <c r="K483" i="1"/>
  <c r="K472" i="1"/>
  <c r="K457" i="1"/>
  <c r="K235" i="1"/>
  <c r="K217" i="1"/>
  <c r="K359" i="1"/>
  <c r="K466" i="1"/>
  <c r="K385" i="1"/>
  <c r="K198" i="1"/>
  <c r="K15" i="1"/>
  <c r="K178" i="1"/>
  <c r="K41" i="1"/>
  <c r="K360" i="1"/>
  <c r="K388" i="1"/>
  <c r="K341" i="1"/>
  <c r="K202" i="1"/>
  <c r="K431" i="1"/>
  <c r="K434" i="1"/>
  <c r="K342" i="1"/>
  <c r="K430" i="1"/>
  <c r="K123" i="1"/>
  <c r="K190" i="1"/>
  <c r="K499" i="1"/>
  <c r="K335" i="1"/>
  <c r="K245" i="1"/>
  <c r="K46" i="1"/>
  <c r="K296" i="1"/>
  <c r="K484" i="1"/>
  <c r="K284" i="1"/>
  <c r="K87" i="1"/>
  <c r="K126" i="1"/>
  <c r="K313" i="1"/>
  <c r="K432" i="1"/>
  <c r="K248" i="1"/>
  <c r="K276" i="1"/>
  <c r="K170" i="1"/>
  <c r="K485" i="1"/>
  <c r="K129" i="1"/>
  <c r="K399" i="1"/>
  <c r="K174" i="1"/>
  <c r="K300" i="1"/>
  <c r="K29" i="1"/>
  <c r="K49" i="1"/>
  <c r="K68" i="1"/>
  <c r="K66" i="1"/>
  <c r="K17" i="1"/>
  <c r="K322" i="1"/>
  <c r="K468" i="1"/>
  <c r="K301" i="1"/>
  <c r="K365" i="1"/>
  <c r="K446" i="1"/>
  <c r="J351" i="1"/>
  <c r="M351" i="1" s="1"/>
  <c r="J4" i="1"/>
  <c r="K4" i="1" s="1"/>
  <c r="J6" i="1"/>
  <c r="K6" i="1" s="1"/>
  <c r="J490" i="1"/>
  <c r="M490" i="1" s="1"/>
  <c r="J416" i="1"/>
  <c r="M416" i="1" s="1"/>
  <c r="J380" i="1"/>
  <c r="M380" i="1" s="1"/>
  <c r="K380" i="1" l="1"/>
  <c r="K490" i="1"/>
  <c r="K416" i="1"/>
  <c r="K351" i="1"/>
  <c r="J504" i="1"/>
</calcChain>
</file>

<file path=xl/sharedStrings.xml><?xml version="1.0" encoding="utf-8"?>
<sst xmlns="http://schemas.openxmlformats.org/spreadsheetml/2006/main" count="4628" uniqueCount="591">
  <si>
    <t>ID_VENTA</t>
  </si>
  <si>
    <t xml:space="preserve">FECHA </t>
  </si>
  <si>
    <t>VENDEDOR</t>
  </si>
  <si>
    <t>PRODUCTO</t>
  </si>
  <si>
    <t xml:space="preserve">CATEGORIA </t>
  </si>
  <si>
    <t xml:space="preserve">REGION </t>
  </si>
  <si>
    <t>CANTIDAD</t>
  </si>
  <si>
    <t>PRECIO_UNITARIO</t>
  </si>
  <si>
    <t>DESCUENTO</t>
  </si>
  <si>
    <t>TOTAL_VENTA</t>
  </si>
  <si>
    <t>CARLOS</t>
  </si>
  <si>
    <t>LUIS</t>
  </si>
  <si>
    <t>PEDRO</t>
  </si>
  <si>
    <t>OSCAR</t>
  </si>
  <si>
    <t>JUAN</t>
  </si>
  <si>
    <t>Categoría</t>
  </si>
  <si>
    <t>Tecnología</t>
  </si>
  <si>
    <t>Hogar</t>
  </si>
  <si>
    <t>Oficina</t>
  </si>
  <si>
    <t>CENTRO</t>
  </si>
  <si>
    <t>ESTE</t>
  </si>
  <si>
    <t>OESTE</t>
  </si>
  <si>
    <t>SUR</t>
  </si>
  <si>
    <t>Producto</t>
  </si>
  <si>
    <t>Celular Samsung</t>
  </si>
  <si>
    <t>Cafetera Eléctrica</t>
  </si>
  <si>
    <t>Monitor 24"</t>
  </si>
  <si>
    <t>Auriculares Bluetooth</t>
  </si>
  <si>
    <t>Aspiradora Robot</t>
  </si>
  <si>
    <t>Silla Ergonómica</t>
  </si>
  <si>
    <t>Tablet Lenovo</t>
  </si>
  <si>
    <t>Licuadora de Mano</t>
  </si>
  <si>
    <t>Teclado Mecánico</t>
  </si>
  <si>
    <t>Smart TV 50"</t>
  </si>
  <si>
    <t>Norte</t>
  </si>
  <si>
    <t>Sur</t>
  </si>
  <si>
    <t>Centro</t>
  </si>
  <si>
    <t>Este</t>
  </si>
  <si>
    <t>Oeste</t>
  </si>
  <si>
    <t>Samsung Oficial</t>
  </si>
  <si>
    <t>LG Electronics</t>
  </si>
  <si>
    <t>Office Design</t>
  </si>
  <si>
    <t xml:space="preserve">Proveedor </t>
  </si>
  <si>
    <t xml:space="preserve">Producto </t>
  </si>
  <si>
    <t>CALIFICACION</t>
  </si>
  <si>
    <t>PROVEEDOR</t>
  </si>
  <si>
    <t>ANALISIS DE DATOS</t>
  </si>
  <si>
    <t>01/017/2024</t>
  </si>
  <si>
    <t>01/017/2025</t>
  </si>
  <si>
    <t>01/017/2026</t>
  </si>
  <si>
    <t>01/017/2027</t>
  </si>
  <si>
    <t>01/017/2028</t>
  </si>
  <si>
    <t>01/017/2029</t>
  </si>
  <si>
    <t>01/017/2030</t>
  </si>
  <si>
    <t>01/017/2031</t>
  </si>
  <si>
    <t>01/017/2032</t>
  </si>
  <si>
    <t>01/017/2033</t>
  </si>
  <si>
    <t>01/017/2034</t>
  </si>
  <si>
    <t>01/017/2035</t>
  </si>
  <si>
    <t>01/017/2036</t>
  </si>
  <si>
    <t>01/017/2037</t>
  </si>
  <si>
    <t>01/017/2038</t>
  </si>
  <si>
    <t>01/017/2039</t>
  </si>
  <si>
    <t>01/017/2040</t>
  </si>
  <si>
    <t>01/017/2041</t>
  </si>
  <si>
    <t>01/017/2042</t>
  </si>
  <si>
    <t>01/017/2043</t>
  </si>
  <si>
    <t>01/017/2044</t>
  </si>
  <si>
    <t>01/017/2045</t>
  </si>
  <si>
    <t>01/017/2046</t>
  </si>
  <si>
    <t>01/017/2047</t>
  </si>
  <si>
    <t>01/017/2048</t>
  </si>
  <si>
    <t>01/017/2049</t>
  </si>
  <si>
    <t>01/017/2050</t>
  </si>
  <si>
    <t>01/017/2051</t>
  </si>
  <si>
    <t>01/017/2052</t>
  </si>
  <si>
    <t>01/017/2053</t>
  </si>
  <si>
    <t>01/017/2054</t>
  </si>
  <si>
    <t>01/017/2055</t>
  </si>
  <si>
    <t>01/017/2056</t>
  </si>
  <si>
    <t>01/017/2057</t>
  </si>
  <si>
    <t>01/017/2058</t>
  </si>
  <si>
    <t>01/017/2059</t>
  </si>
  <si>
    <t>01/017/2060</t>
  </si>
  <si>
    <t>01/017/2061</t>
  </si>
  <si>
    <t>01/017/2062</t>
  </si>
  <si>
    <t>01/017/2063</t>
  </si>
  <si>
    <t>01/017/2064</t>
  </si>
  <si>
    <t>01/017/2065</t>
  </si>
  <si>
    <t>01/017/2066</t>
  </si>
  <si>
    <t>01/017/2067</t>
  </si>
  <si>
    <t>01/017/2068</t>
  </si>
  <si>
    <t>01/017/2069</t>
  </si>
  <si>
    <t>01/017/2070</t>
  </si>
  <si>
    <t>01/017/2071</t>
  </si>
  <si>
    <t>01/017/2072</t>
  </si>
  <si>
    <t>01/017/2073</t>
  </si>
  <si>
    <t>01/017/2074</t>
  </si>
  <si>
    <t>01/017/2075</t>
  </si>
  <si>
    <t>01/017/2076</t>
  </si>
  <si>
    <t>01/017/2077</t>
  </si>
  <si>
    <t>01/017/2078</t>
  </si>
  <si>
    <t>01/017/2079</t>
  </si>
  <si>
    <t>01/017/2080</t>
  </si>
  <si>
    <t>01/017/2081</t>
  </si>
  <si>
    <t>01/017/2082</t>
  </si>
  <si>
    <t>01/017/2083</t>
  </si>
  <si>
    <t>01/017/2084</t>
  </si>
  <si>
    <t>01/017/2085</t>
  </si>
  <si>
    <t>01/017/2086</t>
  </si>
  <si>
    <t>01/017/2087</t>
  </si>
  <si>
    <t>01/017/2088</t>
  </si>
  <si>
    <t>01/017/2089</t>
  </si>
  <si>
    <t>01/017/2090</t>
  </si>
  <si>
    <t>01/017/2091</t>
  </si>
  <si>
    <t>01/017/2092</t>
  </si>
  <si>
    <t>01/017/2093</t>
  </si>
  <si>
    <t>01/017/2094</t>
  </si>
  <si>
    <t>01/017/2095</t>
  </si>
  <si>
    <t>01/017/2096</t>
  </si>
  <si>
    <t>01/017/2097</t>
  </si>
  <si>
    <t>01/017/2098</t>
  </si>
  <si>
    <t>01/017/2099</t>
  </si>
  <si>
    <t>01/017/2100</t>
  </si>
  <si>
    <t>01/017/2101</t>
  </si>
  <si>
    <t>01/017/2102</t>
  </si>
  <si>
    <t>01/017/2103</t>
  </si>
  <si>
    <t>01/017/2104</t>
  </si>
  <si>
    <t>01/017/2105</t>
  </si>
  <si>
    <t>01/017/2106</t>
  </si>
  <si>
    <t>01/017/2107</t>
  </si>
  <si>
    <t>01/017/2108</t>
  </si>
  <si>
    <t>01/017/2109</t>
  </si>
  <si>
    <t>01/017/2110</t>
  </si>
  <si>
    <t>01/017/2111</t>
  </si>
  <si>
    <t>01/017/2112</t>
  </si>
  <si>
    <t>01/017/2113</t>
  </si>
  <si>
    <t>01/017/2114</t>
  </si>
  <si>
    <t>01/017/2115</t>
  </si>
  <si>
    <t>01/017/2116</t>
  </si>
  <si>
    <t>01/017/2117</t>
  </si>
  <si>
    <t>01/017/2118</t>
  </si>
  <si>
    <t>01/017/2119</t>
  </si>
  <si>
    <t>01/017/2120</t>
  </si>
  <si>
    <t>01/017/2121</t>
  </si>
  <si>
    <t>01/017/2122</t>
  </si>
  <si>
    <t>01/017/2123</t>
  </si>
  <si>
    <t>01/017/2124</t>
  </si>
  <si>
    <t>01/017/2125</t>
  </si>
  <si>
    <t>01/017/2126</t>
  </si>
  <si>
    <t>01/017/2127</t>
  </si>
  <si>
    <t>01/017/2128</t>
  </si>
  <si>
    <t>01/017/2129</t>
  </si>
  <si>
    <t>01/017/2130</t>
  </si>
  <si>
    <t>01/017/2131</t>
  </si>
  <si>
    <t>01/017/2132</t>
  </si>
  <si>
    <t>01/017/2133</t>
  </si>
  <si>
    <t>01/017/2134</t>
  </si>
  <si>
    <t>01/017/2135</t>
  </si>
  <si>
    <t>01/017/2136</t>
  </si>
  <si>
    <t>01/017/2137</t>
  </si>
  <si>
    <t>01/017/2138</t>
  </si>
  <si>
    <t>01/017/2139</t>
  </si>
  <si>
    <t>01/017/2140</t>
  </si>
  <si>
    <t>01/017/2141</t>
  </si>
  <si>
    <t>01/017/2142</t>
  </si>
  <si>
    <t>01/017/2143</t>
  </si>
  <si>
    <t>01/017/2144</t>
  </si>
  <si>
    <t>01/017/2145</t>
  </si>
  <si>
    <t>01/017/2146</t>
  </si>
  <si>
    <t>01/017/2147</t>
  </si>
  <si>
    <t>01/017/2148</t>
  </si>
  <si>
    <t>01/017/2149</t>
  </si>
  <si>
    <t>01/017/2150</t>
  </si>
  <si>
    <t>01/017/2151</t>
  </si>
  <si>
    <t>01/017/2152</t>
  </si>
  <si>
    <t>01/017/2153</t>
  </si>
  <si>
    <t>01/017/2154</t>
  </si>
  <si>
    <t>01/017/2155</t>
  </si>
  <si>
    <t>01/017/2156</t>
  </si>
  <si>
    <t>01/017/2157</t>
  </si>
  <si>
    <t>01/017/2158</t>
  </si>
  <si>
    <t>01/017/2159</t>
  </si>
  <si>
    <t>01/017/2160</t>
  </si>
  <si>
    <t>01/017/2161</t>
  </si>
  <si>
    <t>01/017/2162</t>
  </si>
  <si>
    <t>01/017/2163</t>
  </si>
  <si>
    <t>01/017/2164</t>
  </si>
  <si>
    <t>01/017/2165</t>
  </si>
  <si>
    <t>01/017/2166</t>
  </si>
  <si>
    <t>01/017/2167</t>
  </si>
  <si>
    <t>01/017/2168</t>
  </si>
  <si>
    <t>01/017/2169</t>
  </si>
  <si>
    <t>01/017/2170</t>
  </si>
  <si>
    <t>01/017/2171</t>
  </si>
  <si>
    <t>01/017/2172</t>
  </si>
  <si>
    <t>01/017/2173</t>
  </si>
  <si>
    <t>01/017/2174</t>
  </si>
  <si>
    <t>01/017/2175</t>
  </si>
  <si>
    <t>01/017/2176</t>
  </si>
  <si>
    <t>01/017/2177</t>
  </si>
  <si>
    <t>01/017/2178</t>
  </si>
  <si>
    <t>01/017/2179</t>
  </si>
  <si>
    <t>01/017/2180</t>
  </si>
  <si>
    <t>01/017/2181</t>
  </si>
  <si>
    <t>01/017/2182</t>
  </si>
  <si>
    <t>01/017/2183</t>
  </si>
  <si>
    <t>01/017/2184</t>
  </si>
  <si>
    <t>01/017/2185</t>
  </si>
  <si>
    <t>01/017/2186</t>
  </si>
  <si>
    <t>01/017/2187</t>
  </si>
  <si>
    <t>01/017/2188</t>
  </si>
  <si>
    <t>01/017/2189</t>
  </si>
  <si>
    <t>01/017/2190</t>
  </si>
  <si>
    <t>01/017/2191</t>
  </si>
  <si>
    <t>01/017/2192</t>
  </si>
  <si>
    <t>01/017/2193</t>
  </si>
  <si>
    <t>01/017/2194</t>
  </si>
  <si>
    <t>01/017/2195</t>
  </si>
  <si>
    <t>01/017/2196</t>
  </si>
  <si>
    <t>01/017/2197</t>
  </si>
  <si>
    <t>01/017/2198</t>
  </si>
  <si>
    <t>01/017/2199</t>
  </si>
  <si>
    <t>01/017/2200</t>
  </si>
  <si>
    <t>01/017/2201</t>
  </si>
  <si>
    <t>01/017/2202</t>
  </si>
  <si>
    <t>01/017/2203</t>
  </si>
  <si>
    <t>01/017/2204</t>
  </si>
  <si>
    <t>01/017/2205</t>
  </si>
  <si>
    <t>01/017/2206</t>
  </si>
  <si>
    <t>01/017/2207</t>
  </si>
  <si>
    <t>01/017/2208</t>
  </si>
  <si>
    <t>01/017/2209</t>
  </si>
  <si>
    <t>01/017/2210</t>
  </si>
  <si>
    <t>01/017/2211</t>
  </si>
  <si>
    <t>01/017/2212</t>
  </si>
  <si>
    <t>01/017/2213</t>
  </si>
  <si>
    <t>01/017/2214</t>
  </si>
  <si>
    <t>01/017/2215</t>
  </si>
  <si>
    <t>01/017/2216</t>
  </si>
  <si>
    <t>01/017/2217</t>
  </si>
  <si>
    <t>01/017/2218</t>
  </si>
  <si>
    <t>01/017/2219</t>
  </si>
  <si>
    <t>01/017/2220</t>
  </si>
  <si>
    <t>01/017/2221</t>
  </si>
  <si>
    <t>01/017/2222</t>
  </si>
  <si>
    <t>01/017/2223</t>
  </si>
  <si>
    <t>01/017/2224</t>
  </si>
  <si>
    <t>01/017/2225</t>
  </si>
  <si>
    <t>01/017/2226</t>
  </si>
  <si>
    <t>01/017/2227</t>
  </si>
  <si>
    <t>01/017/2228</t>
  </si>
  <si>
    <t>01/017/2229</t>
  </si>
  <si>
    <t>01/017/2230</t>
  </si>
  <si>
    <t>01/017/2231</t>
  </si>
  <si>
    <t>01/017/2232</t>
  </si>
  <si>
    <t>01/017/2233</t>
  </si>
  <si>
    <t>01/017/2234</t>
  </si>
  <si>
    <t>01/017/2235</t>
  </si>
  <si>
    <t>01/017/2236</t>
  </si>
  <si>
    <t>01/017/2237</t>
  </si>
  <si>
    <t>01/017/2238</t>
  </si>
  <si>
    <t>01/017/2239</t>
  </si>
  <si>
    <t>01/017/2240</t>
  </si>
  <si>
    <t>01/017/2241</t>
  </si>
  <si>
    <t>01/017/2242</t>
  </si>
  <si>
    <t>01/017/2243</t>
  </si>
  <si>
    <t>01/017/2244</t>
  </si>
  <si>
    <t>01/017/2245</t>
  </si>
  <si>
    <t>01/017/2246</t>
  </si>
  <si>
    <t>01/017/2247</t>
  </si>
  <si>
    <t>01/017/2248</t>
  </si>
  <si>
    <t>01/017/2249</t>
  </si>
  <si>
    <t>01/017/2250</t>
  </si>
  <si>
    <t>01/017/2251</t>
  </si>
  <si>
    <t>01/017/2252</t>
  </si>
  <si>
    <t>01/017/2253</t>
  </si>
  <si>
    <t>01/017/2254</t>
  </si>
  <si>
    <t>01/017/2255</t>
  </si>
  <si>
    <t>01/017/2256</t>
  </si>
  <si>
    <t>01/017/2257</t>
  </si>
  <si>
    <t>01/017/2258</t>
  </si>
  <si>
    <t>01/017/2259</t>
  </si>
  <si>
    <t>01/017/2260</t>
  </si>
  <si>
    <t>01/017/2261</t>
  </si>
  <si>
    <t>01/017/2262</t>
  </si>
  <si>
    <t>01/017/2263</t>
  </si>
  <si>
    <t>01/017/2264</t>
  </si>
  <si>
    <t>01/017/2265</t>
  </si>
  <si>
    <t>01/017/2266</t>
  </si>
  <si>
    <t>01/017/2267</t>
  </si>
  <si>
    <t>01/017/2268</t>
  </si>
  <si>
    <t>01/017/2269</t>
  </si>
  <si>
    <t>01/017/2270</t>
  </si>
  <si>
    <t>01/017/2271</t>
  </si>
  <si>
    <t>01/017/2272</t>
  </si>
  <si>
    <t>01/017/2273</t>
  </si>
  <si>
    <t>01/017/2274</t>
  </si>
  <si>
    <t>01/017/2275</t>
  </si>
  <si>
    <t>01/017/2276</t>
  </si>
  <si>
    <t>01/017/2277</t>
  </si>
  <si>
    <t>01/017/2278</t>
  </si>
  <si>
    <t>01/017/2279</t>
  </si>
  <si>
    <t>01/017/2280</t>
  </si>
  <si>
    <t>01/017/2281</t>
  </si>
  <si>
    <t>01/017/2282</t>
  </si>
  <si>
    <t>01/017/2283</t>
  </si>
  <si>
    <t>01/017/2284</t>
  </si>
  <si>
    <t>01/017/2285</t>
  </si>
  <si>
    <t>01/017/2286</t>
  </si>
  <si>
    <t>01/017/2287</t>
  </si>
  <si>
    <t>01/017/2288</t>
  </si>
  <si>
    <t>01/017/2289</t>
  </si>
  <si>
    <t>01/017/2290</t>
  </si>
  <si>
    <t>01/017/2291</t>
  </si>
  <si>
    <t>01/017/2292</t>
  </si>
  <si>
    <t>01/017/2293</t>
  </si>
  <si>
    <t>01/017/2294</t>
  </si>
  <si>
    <t>01/017/2295</t>
  </si>
  <si>
    <t>01/017/2296</t>
  </si>
  <si>
    <t>01/017/2297</t>
  </si>
  <si>
    <t>01/017/2298</t>
  </si>
  <si>
    <t>01/017/2299</t>
  </si>
  <si>
    <t>01/017/2300</t>
  </si>
  <si>
    <t>01/017/2301</t>
  </si>
  <si>
    <t>01/017/2302</t>
  </si>
  <si>
    <t>01/017/2303</t>
  </si>
  <si>
    <t>01/017/2304</t>
  </si>
  <si>
    <t>01/017/2305</t>
  </si>
  <si>
    <t>01/017/2306</t>
  </si>
  <si>
    <t>01/017/2307</t>
  </si>
  <si>
    <t>01/017/2308</t>
  </si>
  <si>
    <t>01/017/2309</t>
  </si>
  <si>
    <t>01/017/2310</t>
  </si>
  <si>
    <t>01/017/2311</t>
  </si>
  <si>
    <t>01/017/2312</t>
  </si>
  <si>
    <t>01/017/2313</t>
  </si>
  <si>
    <t>01/017/2314</t>
  </si>
  <si>
    <t>01/017/2315</t>
  </si>
  <si>
    <t>01/017/2316</t>
  </si>
  <si>
    <t>01/017/2317</t>
  </si>
  <si>
    <t>01/017/2318</t>
  </si>
  <si>
    <t>01/017/2319</t>
  </si>
  <si>
    <t>01/017/2320</t>
  </si>
  <si>
    <t>01/017/2321</t>
  </si>
  <si>
    <t>01/017/2322</t>
  </si>
  <si>
    <t>01/017/2323</t>
  </si>
  <si>
    <t>01/017/2324</t>
  </si>
  <si>
    <t>01/017/2325</t>
  </si>
  <si>
    <t>01/017/2326</t>
  </si>
  <si>
    <t>01/017/2327</t>
  </si>
  <si>
    <t>01/017/2328</t>
  </si>
  <si>
    <t>01/017/2329</t>
  </si>
  <si>
    <t>01/017/2330</t>
  </si>
  <si>
    <t>01/017/2331</t>
  </si>
  <si>
    <t>01/017/2332</t>
  </si>
  <si>
    <t>01/017/2333</t>
  </si>
  <si>
    <t>01/017/2334</t>
  </si>
  <si>
    <t>01/017/2335</t>
  </si>
  <si>
    <t>01/017/2336</t>
  </si>
  <si>
    <t>01/017/2337</t>
  </si>
  <si>
    <t>01/017/2338</t>
  </si>
  <si>
    <t>01/017/2339</t>
  </si>
  <si>
    <t>01/017/2340</t>
  </si>
  <si>
    <t>01/017/2341</t>
  </si>
  <si>
    <t>01/017/2342</t>
  </si>
  <si>
    <t>01/017/2343</t>
  </si>
  <si>
    <t>01/017/2344</t>
  </si>
  <si>
    <t>01/017/2345</t>
  </si>
  <si>
    <t>01/017/2346</t>
  </si>
  <si>
    <t>01/017/2347</t>
  </si>
  <si>
    <t>01/017/2348</t>
  </si>
  <si>
    <t>01/017/2349</t>
  </si>
  <si>
    <t>01/017/2350</t>
  </si>
  <si>
    <t>01/017/2351</t>
  </si>
  <si>
    <t>01/017/2352</t>
  </si>
  <si>
    <t>01/017/2353</t>
  </si>
  <si>
    <t>01/017/2354</t>
  </si>
  <si>
    <t>01/017/2355</t>
  </si>
  <si>
    <t>01/017/2356</t>
  </si>
  <si>
    <t>01/017/2357</t>
  </si>
  <si>
    <t>01/017/2358</t>
  </si>
  <si>
    <t>01/017/2359</t>
  </si>
  <si>
    <t>01/017/2360</t>
  </si>
  <si>
    <t>01/017/2361</t>
  </si>
  <si>
    <t>01/017/2362</t>
  </si>
  <si>
    <t>01/017/2363</t>
  </si>
  <si>
    <t>01/017/2364</t>
  </si>
  <si>
    <t>01/017/2365</t>
  </si>
  <si>
    <t>01/017/2366</t>
  </si>
  <si>
    <t>01/017/2367</t>
  </si>
  <si>
    <t>01/017/2368</t>
  </si>
  <si>
    <t>01/017/2369</t>
  </si>
  <si>
    <t>01/017/2370</t>
  </si>
  <si>
    <t>01/017/2371</t>
  </si>
  <si>
    <t>01/017/2372</t>
  </si>
  <si>
    <t>01/017/2373</t>
  </si>
  <si>
    <t>01/017/2374</t>
  </si>
  <si>
    <t>01/017/2375</t>
  </si>
  <si>
    <t>01/017/2376</t>
  </si>
  <si>
    <t>01/017/2377</t>
  </si>
  <si>
    <t>01/017/2378</t>
  </si>
  <si>
    <t>01/017/2379</t>
  </si>
  <si>
    <t>01/017/2380</t>
  </si>
  <si>
    <t>01/017/2381</t>
  </si>
  <si>
    <t>01/017/2382</t>
  </si>
  <si>
    <t>01/017/2383</t>
  </si>
  <si>
    <t>01/017/2384</t>
  </si>
  <si>
    <t>01/017/2385</t>
  </si>
  <si>
    <t>01/017/2386</t>
  </si>
  <si>
    <t>01/017/2387</t>
  </si>
  <si>
    <t>01/017/2388</t>
  </si>
  <si>
    <t>01/017/2389</t>
  </si>
  <si>
    <t>01/017/2390</t>
  </si>
  <si>
    <t>01/017/2391</t>
  </si>
  <si>
    <t>01/017/2392</t>
  </si>
  <si>
    <t>01/017/2393</t>
  </si>
  <si>
    <t>01/017/2394</t>
  </si>
  <si>
    <t>01/017/2395</t>
  </si>
  <si>
    <t>01/017/2396</t>
  </si>
  <si>
    <t>01/017/2397</t>
  </si>
  <si>
    <t>01/017/2398</t>
  </si>
  <si>
    <t>01/017/2399</t>
  </si>
  <si>
    <t>01/017/2400</t>
  </si>
  <si>
    <t>01/017/2401</t>
  </si>
  <si>
    <t>01/017/2402</t>
  </si>
  <si>
    <t>01/017/2403</t>
  </si>
  <si>
    <t>01/017/2404</t>
  </si>
  <si>
    <t>01/017/2405</t>
  </si>
  <si>
    <t>01/017/2406</t>
  </si>
  <si>
    <t>01/017/2407</t>
  </si>
  <si>
    <t>01/017/2408</t>
  </si>
  <si>
    <t>01/017/2409</t>
  </si>
  <si>
    <t>01/017/2410</t>
  </si>
  <si>
    <t>01/017/2411</t>
  </si>
  <si>
    <t>01/017/2412</t>
  </si>
  <si>
    <t>01/017/2413</t>
  </si>
  <si>
    <t>01/017/2414</t>
  </si>
  <si>
    <t>01/017/2415</t>
  </si>
  <si>
    <t>01/017/2416</t>
  </si>
  <si>
    <t>01/017/2417</t>
  </si>
  <si>
    <t>01/017/2418</t>
  </si>
  <si>
    <t>01/017/2419</t>
  </si>
  <si>
    <t>01/017/2420</t>
  </si>
  <si>
    <t>01/017/2421</t>
  </si>
  <si>
    <t>01/017/2422</t>
  </si>
  <si>
    <t>01/017/2423</t>
  </si>
  <si>
    <t>01/017/2424</t>
  </si>
  <si>
    <t>01/017/2425</t>
  </si>
  <si>
    <t>01/017/2426</t>
  </si>
  <si>
    <t>01/017/2427</t>
  </si>
  <si>
    <t>01/017/2428</t>
  </si>
  <si>
    <t>01/017/2429</t>
  </si>
  <si>
    <t>01/017/2430</t>
  </si>
  <si>
    <t>01/017/2431</t>
  </si>
  <si>
    <t>01/017/2432</t>
  </si>
  <si>
    <t>01/017/2433</t>
  </si>
  <si>
    <t>01/017/2434</t>
  </si>
  <si>
    <t>01/017/2435</t>
  </si>
  <si>
    <t>01/017/2436</t>
  </si>
  <si>
    <t>01/017/2437</t>
  </si>
  <si>
    <t>01/017/2438</t>
  </si>
  <si>
    <t>01/017/2439</t>
  </si>
  <si>
    <t>01/017/2440</t>
  </si>
  <si>
    <t>01/017/2441</t>
  </si>
  <si>
    <t>01/017/2442</t>
  </si>
  <si>
    <t>01/017/2443</t>
  </si>
  <si>
    <t>01/017/2444</t>
  </si>
  <si>
    <t>01/017/2445</t>
  </si>
  <si>
    <t>01/017/2446</t>
  </si>
  <si>
    <t>01/017/2447</t>
  </si>
  <si>
    <t>01/017/2448</t>
  </si>
  <si>
    <t>01/017/2449</t>
  </si>
  <si>
    <t>01/017/2450</t>
  </si>
  <si>
    <t>01/017/2451</t>
  </si>
  <si>
    <t>01/017/2452</t>
  </si>
  <si>
    <t>01/017/2453</t>
  </si>
  <si>
    <t>01/017/2454</t>
  </si>
  <si>
    <t>01/017/2455</t>
  </si>
  <si>
    <t>01/017/2456</t>
  </si>
  <si>
    <t>01/017/2457</t>
  </si>
  <si>
    <t>01/017/2458</t>
  </si>
  <si>
    <t>01/017/2459</t>
  </si>
  <si>
    <t>01/017/2460</t>
  </si>
  <si>
    <t>01/017/2461</t>
  </si>
  <si>
    <t>01/017/2462</t>
  </si>
  <si>
    <t>01/017/2463</t>
  </si>
  <si>
    <t>01/017/2464</t>
  </si>
  <si>
    <t>01/017/2465</t>
  </si>
  <si>
    <t>01/017/2466</t>
  </si>
  <si>
    <t>01/017/2467</t>
  </si>
  <si>
    <t>01/017/2468</t>
  </si>
  <si>
    <t>01/017/2469</t>
  </si>
  <si>
    <t>01/017/2470</t>
  </si>
  <si>
    <t>01/017/2471</t>
  </si>
  <si>
    <t>01/017/2472</t>
  </si>
  <si>
    <t>01/017/2473</t>
  </si>
  <si>
    <t>01/017/2474</t>
  </si>
  <si>
    <t>01/017/2475</t>
  </si>
  <si>
    <t>01/017/2476</t>
  </si>
  <si>
    <t>01/017/2477</t>
  </si>
  <si>
    <t>01/017/2478</t>
  </si>
  <si>
    <t>01/017/2479</t>
  </si>
  <si>
    <t>01/017/2480</t>
  </si>
  <si>
    <t>01/017/2481</t>
  </si>
  <si>
    <t>01/017/2482</t>
  </si>
  <si>
    <t>01/017/2483</t>
  </si>
  <si>
    <t>01/017/2484</t>
  </si>
  <si>
    <t>01/017/2485</t>
  </si>
  <si>
    <t>01/017/2486</t>
  </si>
  <si>
    <t>01/017/2487</t>
  </si>
  <si>
    <t>01/017/2488</t>
  </si>
  <si>
    <t>01/017/2489</t>
  </si>
  <si>
    <t>01/017/2490</t>
  </si>
  <si>
    <t>01/017/2491</t>
  </si>
  <si>
    <t>01/017/2492</t>
  </si>
  <si>
    <t>01/017/2493</t>
  </si>
  <si>
    <t>01/017/2494</t>
  </si>
  <si>
    <t>01/017/2495</t>
  </si>
  <si>
    <t>01/017/2496</t>
  </si>
  <si>
    <t>01/017/2497</t>
  </si>
  <si>
    <t>01/017/2498</t>
  </si>
  <si>
    <t>01/017/2499</t>
  </si>
  <si>
    <t>01/017/2500</t>
  </si>
  <si>
    <t>01/017/2501</t>
  </si>
  <si>
    <t>01/017/2502</t>
  </si>
  <si>
    <t>01/017/2503</t>
  </si>
  <si>
    <t>01/017/2504</t>
  </si>
  <si>
    <t>01/017/2505</t>
  </si>
  <si>
    <t>01/017/2506</t>
  </si>
  <si>
    <t>01/017/2507</t>
  </si>
  <si>
    <t>01/017/2508</t>
  </si>
  <si>
    <t>01/017/2509</t>
  </si>
  <si>
    <t>01/017/2510</t>
  </si>
  <si>
    <t>01/017/2511</t>
  </si>
  <si>
    <t>01/017/2512</t>
  </si>
  <si>
    <t>01/017/2513</t>
  </si>
  <si>
    <t>01/017/2514</t>
  </si>
  <si>
    <t>01/017/2515</t>
  </si>
  <si>
    <t>01/017/2516</t>
  </si>
  <si>
    <t>01/017/2517</t>
  </si>
  <si>
    <t>01/017/2518</t>
  </si>
  <si>
    <t>01/017/2519</t>
  </si>
  <si>
    <t>01/017/2520</t>
  </si>
  <si>
    <t>01/017/2521</t>
  </si>
  <si>
    <t>01/017/2522</t>
  </si>
  <si>
    <t>01/017/2523</t>
  </si>
  <si>
    <t>01/017/2524</t>
  </si>
  <si>
    <t>01/017/2525</t>
  </si>
  <si>
    <t>Título: "Proyecto Final - Curso de Excel".</t>
  </si>
  <si>
    <t xml:space="preserve"> Nombre: Romina Ríos.</t>
  </si>
  <si>
    <t>Febrero 2025.</t>
  </si>
  <si>
    <r>
      <rPr>
        <b/>
        <sz val="14"/>
        <color theme="1"/>
        <rFont val="Times New Roman"/>
        <family val="1"/>
      </rPr>
      <t>Enriquecimiento:</t>
    </r>
    <r>
      <rPr>
        <sz val="12"/>
        <color theme="1"/>
        <rFont val="Times New Roman"/>
        <family val="1"/>
      </rPr>
      <t xml:space="preserve"> Creación de columnas calculadas usando funciones lógicas (SI, Y, O) y de búsqueda (BUSCARX o BUSCARV).</t>
    </r>
  </si>
  <si>
    <r>
      <rPr>
        <b/>
        <sz val="14"/>
        <color theme="1"/>
        <rFont val="Times New Roman"/>
        <family val="1"/>
      </rPr>
      <t>Depuración:</t>
    </r>
    <r>
      <rPr>
        <sz val="12"/>
        <color theme="1"/>
        <rFont val="Times New Roman"/>
        <family val="1"/>
      </rPr>
      <t xml:space="preserve"> Limpieza de duplicados y normalización de formatos en la Tabla Principal.</t>
    </r>
  </si>
  <si>
    <r>
      <rPr>
        <b/>
        <sz val="14"/>
        <color theme="1"/>
        <rFont val="Times New Roman"/>
        <family val="1"/>
      </rPr>
      <t>Procesamiento:</t>
    </r>
    <r>
      <rPr>
        <sz val="12"/>
        <color theme="1"/>
        <rFont val="Times New Roman"/>
        <family val="1"/>
      </rPr>
      <t xml:space="preserve"> Generación de Tablas Dinámicas para agrupar ventas por categoría y país.</t>
    </r>
  </si>
  <si>
    <r>
      <rPr>
        <b/>
        <sz val="14"/>
        <color theme="1"/>
        <rFont val="Times New Roman"/>
        <family val="1"/>
      </rPr>
      <t>Visualización:</t>
    </r>
    <r>
      <rPr>
        <sz val="12"/>
        <color theme="1"/>
        <rFont val="Times New Roman"/>
        <family val="1"/>
      </rPr>
      <t xml:space="preserve"> Diseño de un Dashboard con segmentadores de datos para permitir filtros rápidos por el usuario final.</t>
    </r>
  </si>
  <si>
    <r>
      <rPr>
        <b/>
        <sz val="14"/>
        <color theme="1"/>
        <rFont val="Times New Roman"/>
        <family val="1"/>
      </rPr>
      <t>Objetivo:</t>
    </r>
    <r>
      <rPr>
        <sz val="14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Aplicar herramientas avanzadas de Excel para transformar datos brutos en un Dashboard interactivo que responda a preguntas de negocio.</t>
    </r>
  </si>
  <si>
    <r>
      <rPr>
        <b/>
        <sz val="14"/>
        <color theme="1"/>
        <rFont val="Times New Roman"/>
        <family val="1"/>
      </rPr>
      <t>Fuente de los Datos:</t>
    </r>
    <r>
      <rPr>
        <sz val="12"/>
        <color theme="1"/>
        <rFont val="Times New Roman"/>
        <family val="1"/>
      </rPr>
      <t xml:space="preserve"> Dataset de ventas de tecnología (período 2023-2024).</t>
    </r>
  </si>
  <si>
    <r>
      <rPr>
        <b/>
        <sz val="14"/>
        <color theme="1"/>
        <rFont val="Times New Roman"/>
        <family val="1"/>
      </rPr>
      <t>Versión de Excel utilizada:</t>
    </r>
    <r>
      <rPr>
        <sz val="12"/>
        <color theme="1"/>
        <rFont val="Times New Roman"/>
        <family val="1"/>
      </rPr>
      <t xml:space="preserve"> Microsoft Excel 2021.</t>
    </r>
  </si>
  <si>
    <t>Pregunta Central</t>
  </si>
  <si>
    <t>Objetivo de Negocio</t>
  </si>
  <si>
    <t>Herramienta / Resolución</t>
  </si>
  <si>
    <t>1. ¿Cuál es el rendimiento de ventas por categoría?</t>
  </si>
  <si>
    <t>Identificar los productos estrella que generan más ingresos.</t>
  </si>
  <si>
    <t>Tabla Dinámica + Gráfico de Barras.</t>
  </si>
  <si>
    <t>2. ¿Cómo se distribuyen las ventas por país?</t>
  </si>
  <si>
    <t>Determinar la presencia de mercado en cada región.</t>
  </si>
  <si>
    <t>Función SUMAR.SI.CONJUNTO y Segmentadores.</t>
  </si>
  <si>
    <t>3. ¿Qué pedidos requieren gestión de envío prioritaria?</t>
  </si>
  <si>
    <t>Optimizar la logística para productos de alto valor.</t>
  </si>
  <si>
    <t>Función SI anidada (SI con Y).</t>
  </si>
  <si>
    <t>4. ¿Cuál es el precio promedio por categoría?</t>
  </si>
  <si>
    <t>Analizar el posicionamiento de precios en el catálogo.</t>
  </si>
  <si>
    <t>Función PROMEDIO.SI + Gráfico Circular.</t>
  </si>
  <si>
    <t>PRIORIDAD DE ENVIO</t>
  </si>
  <si>
    <t>ALM-01</t>
  </si>
  <si>
    <t>ALM-02</t>
  </si>
  <si>
    <t>ALM-03</t>
  </si>
  <si>
    <t>Celda E (Categoría)</t>
  </si>
  <si>
    <t>Celda F (ID_Almacén)</t>
  </si>
  <si>
    <t>ID ALMACEN</t>
  </si>
  <si>
    <t>Etiquetas de fila</t>
  </si>
  <si>
    <t>Total general</t>
  </si>
  <si>
    <t>Suma de TOTAL_VENTA</t>
  </si>
  <si>
    <t>Prioridad Alta</t>
  </si>
  <si>
    <t>Prioridad Media</t>
  </si>
  <si>
    <r>
      <rPr>
        <b/>
        <i/>
        <u/>
        <sz val="18"/>
        <color theme="1"/>
        <rFont val="Times New Roman"/>
        <family val="1"/>
      </rPr>
      <t>Información del Proyecto:</t>
    </r>
    <r>
      <rPr>
        <sz val="16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Análisis de ventas y desempeño de productos de tecnología para la toma de decisiones comerciales.</t>
    </r>
  </si>
  <si>
    <r>
      <t>Criterios de Análisis y Pasos realizados:</t>
    </r>
    <r>
      <rPr>
        <i/>
        <u/>
        <sz val="18"/>
        <color theme="1"/>
        <rFont val="Times New Roman"/>
        <family val="1"/>
      </rPr>
      <t xml:space="preserve"> </t>
    </r>
  </si>
  <si>
    <t>VENTAS TOTALES</t>
  </si>
  <si>
    <t>PRODUCTOS VENDIDOS</t>
  </si>
  <si>
    <t>TOTAL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</si>
</sst>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b/>
      <i/>
      <u/>
      <sz val="18"/>
      <color theme="1"/>
      <name val="Times New Roman"/>
      <family val="1"/>
    </font>
    <font>
      <i/>
      <u/>
      <sz val="1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6"/>
      <color theme="0"/>
      <name val="Amasis MT Pro"/>
      <family val="1"/>
    </font>
    <font>
      <sz val="9"/>
      <color theme="1"/>
      <name val="Calibri"/>
      <family val="2"/>
      <scheme val="minor"/>
    </font>
    <font>
      <b/>
      <sz val="12"/>
      <color theme="0"/>
      <name val="Amasis MT Pro"/>
      <family val="1"/>
    </font>
    <font>
      <b/>
      <sz val="11"/>
      <color theme="0"/>
      <name val="Amasis MT Pro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DDF6"/>
        <bgColor indexed="64"/>
      </patternFill>
    </fill>
    <fill>
      <patternFill patternType="solid">
        <fgColor theme="2" tint="-0.74999237037263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</borders>
  <cellStyleXfs count="2">
    <xf numFmtId="0" fontId="0" fillId="0" borderId="0"/>
    <xf numFmtId="0" fontId="7" fillId="7" borderId="0" applyNumberFormat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4" fillId="3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2" xfId="0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 indent="1" readingOrder="1"/>
    </xf>
    <xf numFmtId="0" fontId="0" fillId="5" borderId="8" xfId="0" applyFill="1" applyBorder="1" applyAlignment="1">
      <alignment horizontal="center"/>
    </xf>
    <xf numFmtId="0" fontId="1" fillId="5" borderId="9" xfId="0" applyFont="1" applyFill="1" applyBorder="1" applyAlignment="1">
      <alignment horizontal="left" vertical="center" wrapText="1" indent="1" readingOrder="1"/>
    </xf>
    <xf numFmtId="0" fontId="2" fillId="6" borderId="5" xfId="0" applyFont="1" applyFill="1" applyBorder="1" applyAlignment="1">
      <alignment horizontal="center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3" fillId="5" borderId="12" xfId="0" applyFont="1" applyFill="1" applyBorder="1"/>
    <xf numFmtId="0" fontId="0" fillId="2" borderId="14" xfId="0" applyFill="1" applyBorder="1"/>
    <xf numFmtId="0" fontId="0" fillId="0" borderId="6" xfId="0" applyBorder="1"/>
    <xf numFmtId="0" fontId="0" fillId="2" borderId="24" xfId="0" applyFill="1" applyBorder="1"/>
    <xf numFmtId="0" fontId="2" fillId="8" borderId="26" xfId="0" applyFont="1" applyFill="1" applyBorder="1" applyAlignment="1">
      <alignment horizontal="left" vertical="center" wrapText="1" indent="1" readingOrder="1"/>
    </xf>
    <xf numFmtId="0" fontId="0" fillId="2" borderId="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 wrapText="1" indent="1" readingOrder="1"/>
    </xf>
    <xf numFmtId="0" fontId="0" fillId="2" borderId="3" xfId="0" applyFill="1" applyBorder="1" applyAlignment="1">
      <alignment horizontal="center"/>
    </xf>
    <xf numFmtId="0" fontId="3" fillId="8" borderId="1" xfId="0" applyFon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9" borderId="0" xfId="0" applyFill="1"/>
    <xf numFmtId="0" fontId="12" fillId="11" borderId="14" xfId="1" applyFont="1" applyFill="1" applyBorder="1" applyAlignment="1">
      <alignment horizontal="center" vertical="center" wrapText="1" readingOrder="1"/>
    </xf>
    <xf numFmtId="0" fontId="4" fillId="11" borderId="14" xfId="1" applyFont="1" applyFill="1" applyBorder="1" applyAlignment="1">
      <alignment horizontal="center" vertical="center" wrapText="1" readingOrder="1"/>
    </xf>
    <xf numFmtId="0" fontId="12" fillId="5" borderId="14" xfId="1" applyFont="1" applyFill="1" applyBorder="1" applyAlignment="1">
      <alignment horizontal="center" vertical="center" wrapText="1" readingOrder="1"/>
    </xf>
    <xf numFmtId="0" fontId="7" fillId="5" borderId="14" xfId="1" applyFill="1" applyBorder="1" applyAlignment="1">
      <alignment horizontal="center" vertical="center" wrapText="1" readingOrder="1"/>
    </xf>
    <xf numFmtId="0" fontId="12" fillId="10" borderId="14" xfId="1" applyFont="1" applyFill="1" applyBorder="1" applyAlignment="1">
      <alignment horizontal="center" vertical="center" wrapText="1" readingOrder="1"/>
    </xf>
    <xf numFmtId="0" fontId="7" fillId="10" borderId="14" xfId="1" applyFill="1" applyBorder="1" applyAlignment="1">
      <alignment horizontal="center" vertical="center" wrapText="1" readingOrder="1"/>
    </xf>
    <xf numFmtId="0" fontId="0" fillId="5" borderId="0" xfId="0" applyFill="1"/>
    <xf numFmtId="0" fontId="9" fillId="5" borderId="0" xfId="0" applyFont="1" applyFill="1"/>
    <xf numFmtId="0" fontId="10" fillId="5" borderId="0" xfId="0" applyFont="1" applyFill="1"/>
    <xf numFmtId="0" fontId="9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8" fillId="5" borderId="0" xfId="0" applyFont="1" applyFill="1"/>
    <xf numFmtId="0" fontId="13" fillId="5" borderId="15" xfId="0" applyFont="1" applyFill="1" applyBorder="1"/>
    <xf numFmtId="0" fontId="13" fillId="5" borderId="16" xfId="0" applyFont="1" applyFill="1" applyBorder="1"/>
    <xf numFmtId="0" fontId="14" fillId="5" borderId="17" xfId="0" applyFont="1" applyFill="1" applyBorder="1"/>
    <xf numFmtId="0" fontId="13" fillId="5" borderId="18" xfId="0" applyFont="1" applyFill="1" applyBorder="1"/>
    <xf numFmtId="0" fontId="13" fillId="5" borderId="0" xfId="0" applyFont="1" applyFill="1" applyAlignment="1">
      <alignment horizontal="left" vertical="center" indent="1"/>
    </xf>
    <xf numFmtId="0" fontId="13" fillId="5" borderId="0" xfId="0" applyFont="1" applyFill="1"/>
    <xf numFmtId="0" fontId="14" fillId="5" borderId="19" xfId="0" applyFont="1" applyFill="1" applyBorder="1"/>
    <xf numFmtId="0" fontId="13" fillId="5" borderId="20" xfId="0" applyFont="1" applyFill="1" applyBorder="1"/>
    <xf numFmtId="0" fontId="13" fillId="5" borderId="21" xfId="0" applyFont="1" applyFill="1" applyBorder="1"/>
    <xf numFmtId="0" fontId="14" fillId="5" borderId="22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0" fontId="16" fillId="5" borderId="0" xfId="0" applyFont="1" applyFill="1"/>
    <xf numFmtId="0" fontId="0" fillId="14" borderId="0" xfId="0" applyFill="1"/>
    <xf numFmtId="0" fontId="20" fillId="14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4" fillId="11" borderId="23" xfId="1" applyFont="1" applyFill="1" applyBorder="1" applyAlignment="1">
      <alignment horizontal="center" vertical="center" wrapText="1" readingOrder="1"/>
    </xf>
    <xf numFmtId="0" fontId="4" fillId="11" borderId="24" xfId="1" applyFont="1" applyFill="1" applyBorder="1" applyAlignment="1">
      <alignment horizontal="center" vertical="center" wrapText="1" readingOrder="1"/>
    </xf>
    <xf numFmtId="0" fontId="7" fillId="5" borderId="23" xfId="1" applyFill="1" applyBorder="1" applyAlignment="1">
      <alignment horizontal="center" vertical="center" wrapText="1" readingOrder="1"/>
    </xf>
    <xf numFmtId="0" fontId="7" fillId="5" borderId="24" xfId="1" applyFill="1" applyBorder="1" applyAlignment="1">
      <alignment horizontal="center" vertical="center" wrapText="1" readingOrder="1"/>
    </xf>
    <xf numFmtId="0" fontId="7" fillId="10" borderId="23" xfId="1" applyFill="1" applyBorder="1" applyAlignment="1">
      <alignment horizontal="center" vertical="center" wrapText="1" readingOrder="1"/>
    </xf>
    <xf numFmtId="0" fontId="7" fillId="10" borderId="24" xfId="1" applyFill="1" applyBorder="1" applyAlignment="1">
      <alignment horizontal="center" vertical="center" wrapText="1" readingOrder="1"/>
    </xf>
    <xf numFmtId="0" fontId="19" fillId="14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</cellXfs>
  <cellStyles count="2">
    <cellStyle name="40% - Énfasis4" xfId="1" builtinId="4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1" indent="1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6DDF6"/>
      <color rgb="FF6F44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FINAL+RIOSROMINA(Recuperado automáticamente).xlsx]TABLA DINAMICA!TablaDinámica3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VENTA POR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'TABLA DINAMICA'!$A$4:$A$9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'TABLA DINAMICA'!$B$4:$B$9</c:f>
              <c:numCache>
                <c:formatCode>"$"\ #,##0.00</c:formatCode>
                <c:ptCount val="5"/>
                <c:pt idx="0">
                  <c:v>2673191</c:v>
                </c:pt>
                <c:pt idx="1">
                  <c:v>2723370</c:v>
                </c:pt>
                <c:pt idx="2">
                  <c:v>2681744</c:v>
                </c:pt>
                <c:pt idx="3">
                  <c:v>2783006</c:v>
                </c:pt>
                <c:pt idx="4">
                  <c:v>2703682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3-4E48-A20C-698FB8DF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766750848"/>
        <c:axId val="1766755168"/>
        <c:axId val="0"/>
      </c:bar3DChart>
      <c:catAx>
        <c:axId val="17667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66755168"/>
        <c:crosses val="autoZero"/>
        <c:auto val="1"/>
        <c:lblAlgn val="ctr"/>
        <c:lblOffset val="100"/>
        <c:noMultiLvlLbl val="0"/>
      </c:catAx>
      <c:valAx>
        <c:axId val="1766755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crossAx val="17667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FINAL+RIOSROMINA(Recuperado automáticamente).xlsx]TABLA DINAMICA!TablaDinámica6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VENTAS POR CATEGORIA</a:t>
            </a:r>
          </a:p>
        </c:rich>
      </c:tx>
      <c:layout>
        <c:manualLayout>
          <c:xMode val="edge"/>
          <c:yMode val="edge"/>
          <c:x val="0.18530574084519671"/>
          <c:y val="0.10032218718166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 DINAMICA'!$B$11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025-48BB-97D6-D1FE58F817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025-48BB-97D6-D1FE58F817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025-48BB-97D6-D1FE58F81752}"/>
              </c:ext>
            </c:extLst>
          </c:dPt>
          <c:cat>
            <c:strRef>
              <c:f>'TABLA DINAMICA'!$A$12:$A$15</c:f>
              <c:strCache>
                <c:ptCount val="3"/>
                <c:pt idx="0">
                  <c:v>Tecnología</c:v>
                </c:pt>
                <c:pt idx="1">
                  <c:v>Oficina</c:v>
                </c:pt>
                <c:pt idx="2">
                  <c:v>Hogar</c:v>
                </c:pt>
              </c:strCache>
            </c:strRef>
          </c:cat>
          <c:val>
            <c:numRef>
              <c:f>'TABLA DINAMICA'!$B$12:$B$15</c:f>
              <c:numCache>
                <c:formatCode>"$"\ #,##0.00</c:formatCode>
                <c:ptCount val="3"/>
                <c:pt idx="0">
                  <c:v>6065320</c:v>
                </c:pt>
                <c:pt idx="1">
                  <c:v>3514129</c:v>
                </c:pt>
                <c:pt idx="2">
                  <c:v>3985544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25-48BB-97D6-D1FE58F81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FINAL+RIOSROMINA(Recuperado automáticamente).xlsx]TABLA DINAMICA!TablaDinámica5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POR PRIORIDAD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'TABLA DINAMICA'!$B$17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0A-4A85-AD1F-829950B0723E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0A-4A85-AD1F-829950B0723E}"/>
              </c:ext>
            </c:extLst>
          </c:dPt>
          <c:cat>
            <c:strRef>
              <c:f>'TABLA DINAMICA'!$A$18:$A$20</c:f>
              <c:strCache>
                <c:ptCount val="2"/>
                <c:pt idx="0">
                  <c:v>Prioridad Alta</c:v>
                </c:pt>
                <c:pt idx="1">
                  <c:v>Prioridad Media</c:v>
                </c:pt>
              </c:strCache>
            </c:strRef>
          </c:cat>
          <c:val>
            <c:numRef>
              <c:f>'TABLA DINAMICA'!$B$18:$B$20</c:f>
              <c:numCache>
                <c:formatCode>"$"\ #,##0.00</c:formatCode>
                <c:ptCount val="2"/>
                <c:pt idx="0">
                  <c:v>5016839</c:v>
                </c:pt>
                <c:pt idx="1">
                  <c:v>8316339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A-4A85-AD1F-829950B07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661504"/>
        <c:axId val="634663424"/>
      </c:lineChart>
      <c:catAx>
        <c:axId val="63466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4663424"/>
        <c:crosses val="autoZero"/>
        <c:auto val="1"/>
        <c:lblAlgn val="ctr"/>
        <c:lblOffset val="100"/>
        <c:noMultiLvlLbl val="0"/>
      </c:catAx>
      <c:valAx>
        <c:axId val="6346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46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PROYECTO%20FINAL+RIOSROMINA(Recuperado%20autom&#225;ticamente).xlsx#DASHBOARD!A1" TargetMode="External"/><Relationship Id="rId2" Type="http://schemas.openxmlformats.org/officeDocument/2006/relationships/hyperlink" Target="PROYECTO%20FINAL+RIOSROMINA(Recuperado%20autom&#225;ticamente).xlsx#'PREGUNTAS Y RESPUESTAS'!A1" TargetMode="External"/><Relationship Id="rId1" Type="http://schemas.openxmlformats.org/officeDocument/2006/relationships/hyperlink" Target="PROYECTO%20FINAL+RIOSROMINA(Recuperado%20autom&#225;ticamente).xlsx#README!A1" TargetMode="External"/><Relationship Id="rId4" Type="http://schemas.openxmlformats.org/officeDocument/2006/relationships/hyperlink" Target="PROYECTO%20FINAL+RIOSROMINA(Recuperado%20autom&#225;ticamente).xlsx#'TABLA PRINCIPAL'!A1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20</xdr:row>
      <xdr:rowOff>171450</xdr:rowOff>
    </xdr:from>
    <xdr:to>
      <xdr:col>9</xdr:col>
      <xdr:colOff>342900</xdr:colOff>
      <xdr:row>22</xdr:row>
      <xdr:rowOff>38100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532BF91C-76B4-565A-EDF2-3FB111AD7BAB}"/>
            </a:ext>
          </a:extLst>
        </xdr:cNvPr>
        <xdr:cNvSpPr/>
      </xdr:nvSpPr>
      <xdr:spPr>
        <a:xfrm>
          <a:off x="4248150" y="4448175"/>
          <a:ext cx="2952750" cy="24765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390525</xdr:colOff>
      <xdr:row>12</xdr:row>
      <xdr:rowOff>38100</xdr:rowOff>
    </xdr:from>
    <xdr:to>
      <xdr:col>7</xdr:col>
      <xdr:colOff>733424</xdr:colOff>
      <xdr:row>14</xdr:row>
      <xdr:rowOff>47625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52588-7332-D6B1-7BCC-E231D522E999}"/>
            </a:ext>
          </a:extLst>
        </xdr:cNvPr>
        <xdr:cNvSpPr/>
      </xdr:nvSpPr>
      <xdr:spPr>
        <a:xfrm>
          <a:off x="4962525" y="2990850"/>
          <a:ext cx="1104899" cy="390525"/>
        </a:xfrm>
        <a:prstGeom prst="roundRect">
          <a:avLst/>
        </a:prstGeom>
        <a:solidFill>
          <a:srgbClr val="6F44D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README</a:t>
          </a:r>
        </a:p>
      </xdr:txBody>
    </xdr:sp>
    <xdr:clientData/>
  </xdr:twoCellAnchor>
  <xdr:twoCellAnchor>
    <xdr:from>
      <xdr:col>4</xdr:col>
      <xdr:colOff>114300</xdr:colOff>
      <xdr:row>15</xdr:row>
      <xdr:rowOff>38100</xdr:rowOff>
    </xdr:from>
    <xdr:to>
      <xdr:col>6</xdr:col>
      <xdr:colOff>361950</xdr:colOff>
      <xdr:row>17</xdr:row>
      <xdr:rowOff>47625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6B4808-046A-8AB8-5CE9-DA39C783AD8B}"/>
            </a:ext>
          </a:extLst>
        </xdr:cNvPr>
        <xdr:cNvSpPr/>
      </xdr:nvSpPr>
      <xdr:spPr>
        <a:xfrm>
          <a:off x="3162300" y="3562350"/>
          <a:ext cx="1771650" cy="3905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PREGUNTAS Y RESPUESTAS</a:t>
          </a:r>
        </a:p>
      </xdr:txBody>
    </xdr:sp>
    <xdr:clientData/>
  </xdr:twoCellAnchor>
  <xdr:twoCellAnchor>
    <xdr:from>
      <xdr:col>8</xdr:col>
      <xdr:colOff>752474</xdr:colOff>
      <xdr:row>12</xdr:row>
      <xdr:rowOff>38100</xdr:rowOff>
    </xdr:from>
    <xdr:to>
      <xdr:col>9</xdr:col>
      <xdr:colOff>1000125</xdr:colOff>
      <xdr:row>14</xdr:row>
      <xdr:rowOff>47625</xdr:rowOff>
    </xdr:to>
    <xdr:sp macro="" textlink="">
      <xdr:nvSpPr>
        <xdr:cNvPr id="6" name="Rectángulo: esquinas redondeadas 5">
          <a:hlinkClick xmlns:r="http://schemas.openxmlformats.org/officeDocument/2006/relationships" r:id="rId3" tooltip="DASHBOARD"/>
          <a:extLst>
            <a:ext uri="{FF2B5EF4-FFF2-40B4-BE49-F238E27FC236}">
              <a16:creationId xmlns:a16="http://schemas.microsoft.com/office/drawing/2014/main" id="{FC11BF1E-1566-67DE-F11C-65AD53A89322}"/>
            </a:ext>
          </a:extLst>
        </xdr:cNvPr>
        <xdr:cNvSpPr/>
      </xdr:nvSpPr>
      <xdr:spPr>
        <a:xfrm>
          <a:off x="6848474" y="2990850"/>
          <a:ext cx="1009651" cy="390525"/>
        </a:xfrm>
        <a:prstGeom prst="roundRect">
          <a:avLst/>
        </a:prstGeom>
        <a:solidFill>
          <a:srgbClr val="A6DDF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b="1">
              <a:solidFill>
                <a:srgbClr val="002060"/>
              </a:solidFill>
            </a:rPr>
            <a:t>DASHBOARD</a:t>
          </a:r>
          <a:endParaRPr lang="es-AR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381000</xdr:colOff>
      <xdr:row>15</xdr:row>
      <xdr:rowOff>28575</xdr:rowOff>
    </xdr:from>
    <xdr:to>
      <xdr:col>9</xdr:col>
      <xdr:colOff>333375</xdr:colOff>
      <xdr:row>17</xdr:row>
      <xdr:rowOff>38100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5B0F70-2A6F-6B06-83E5-D2BF180C111E}"/>
            </a:ext>
          </a:extLst>
        </xdr:cNvPr>
        <xdr:cNvSpPr/>
      </xdr:nvSpPr>
      <xdr:spPr>
        <a:xfrm>
          <a:off x="5715000" y="3552825"/>
          <a:ext cx="1476375" cy="390525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/>
            <a:t>TABLA</a:t>
          </a:r>
          <a:r>
            <a:rPr lang="es-AR" sz="1100" baseline="0"/>
            <a:t> PRINCIPAL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565979</xdr:colOff>
      <xdr:row>17</xdr:row>
      <xdr:rowOff>13804</xdr:rowOff>
    </xdr:from>
    <xdr:to>
      <xdr:col>7</xdr:col>
      <xdr:colOff>27610</xdr:colOff>
      <xdr:row>28</xdr:row>
      <xdr:rowOff>187600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GION ">
              <a:extLst>
                <a:ext uri="{FF2B5EF4-FFF2-40B4-BE49-F238E27FC236}">
                  <a16:creationId xmlns:a16="http://schemas.microsoft.com/office/drawing/2014/main" id="{4AFF307C-63C7-78BD-C102-FA3DB356F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3979" y="2871304"/>
              <a:ext cx="1747631" cy="2269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572153</xdr:colOff>
      <xdr:row>2</xdr:row>
      <xdr:rowOff>38100</xdr:rowOff>
    </xdr:from>
    <xdr:to>
      <xdr:col>9</xdr:col>
      <xdr:colOff>192651</xdr:colOff>
      <xdr:row>16</xdr:row>
      <xdr:rowOff>151848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D53CD5-7170-47C7-882F-D06CB574F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69021</xdr:colOff>
      <xdr:row>17</xdr:row>
      <xdr:rowOff>0</xdr:rowOff>
    </xdr:from>
    <xdr:to>
      <xdr:col>2</xdr:col>
      <xdr:colOff>207064</xdr:colOff>
      <xdr:row>29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IA ">
              <a:extLst>
                <a:ext uri="{FF2B5EF4-FFF2-40B4-BE49-F238E27FC236}">
                  <a16:creationId xmlns:a16="http://schemas.microsoft.com/office/drawing/2014/main" id="{5806766A-2528-B9F6-C46B-A1558040C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21" y="2857500"/>
              <a:ext cx="1662043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104776</xdr:colOff>
      <xdr:row>2</xdr:row>
      <xdr:rowOff>47625</xdr:rowOff>
    </xdr:from>
    <xdr:to>
      <xdr:col>4</xdr:col>
      <xdr:colOff>535114</xdr:colOff>
      <xdr:row>16</xdr:row>
      <xdr:rowOff>165652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151B220-3640-4225-8D1E-AC1EE6B92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69022</xdr:colOff>
      <xdr:row>17</xdr:row>
      <xdr:rowOff>1</xdr:rowOff>
    </xdr:from>
    <xdr:to>
      <xdr:col>9</xdr:col>
      <xdr:colOff>138043</xdr:colOff>
      <xdr:row>29</xdr:row>
      <xdr:rowOff>13805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ATEGORIA  1">
              <a:extLst>
                <a:ext uri="{FF2B5EF4-FFF2-40B4-BE49-F238E27FC236}">
                  <a16:creationId xmlns:a16="http://schemas.microsoft.com/office/drawing/2014/main" id="{6D691B55-B423-21A5-6E7B-6F49859439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3022" y="2857501"/>
              <a:ext cx="1593021" cy="22998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234673</xdr:colOff>
      <xdr:row>17</xdr:row>
      <xdr:rowOff>0</xdr:rowOff>
    </xdr:from>
    <xdr:to>
      <xdr:col>4</xdr:col>
      <xdr:colOff>552173</xdr:colOff>
      <xdr:row>28</xdr:row>
      <xdr:rowOff>179145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OTAL_VENTA">
              <a:extLst>
                <a:ext uri="{FF2B5EF4-FFF2-40B4-BE49-F238E27FC236}">
                  <a16:creationId xmlns:a16="http://schemas.microsoft.com/office/drawing/2014/main" id="{8CA58E47-248E-62D5-EF4A-2B176A3AC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673" y="2857500"/>
              <a:ext cx="1841500" cy="2274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151848</xdr:colOff>
      <xdr:row>29</xdr:row>
      <xdr:rowOff>57150</xdr:rowOff>
    </xdr:from>
    <xdr:to>
      <xdr:col>13</xdr:col>
      <xdr:colOff>731630</xdr:colOff>
      <xdr:row>41</xdr:row>
      <xdr:rowOff>152399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D467AFF4-E55E-FC69-1626-A29A1CACB7ED}"/>
            </a:ext>
          </a:extLst>
        </xdr:cNvPr>
        <xdr:cNvSpPr txBox="1">
          <a:spLocks noChangeArrowheads="1"/>
        </xdr:cNvSpPr>
      </xdr:nvSpPr>
      <xdr:spPr bwMode="auto">
        <a:xfrm>
          <a:off x="151848" y="5275193"/>
          <a:ext cx="10449891" cy="24143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s-AR" sz="1800" b="1" i="0" u="none" strike="noStrike" baseline="0">
              <a:solidFill>
                <a:schemeClr val="bg2"/>
              </a:solidFill>
              <a:latin typeface="Calibri"/>
              <a:cs typeface="Calibri"/>
            </a:rPr>
            <a:t>Conclusión del Análisis:</a:t>
          </a:r>
        </a:p>
        <a:p>
          <a:pPr algn="ctr" rtl="0">
            <a:defRPr sz="1000"/>
          </a:pPr>
          <a:endParaRPr lang="es-AR" sz="1800" b="0" i="0" u="none" strike="noStrike" baseline="0">
            <a:solidFill>
              <a:schemeClr val="bg2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s-AR" sz="1800" b="0" i="0" u="none" strike="noStrike" baseline="0">
              <a:solidFill>
                <a:schemeClr val="bg2"/>
              </a:solidFill>
              <a:latin typeface="Calibri"/>
              <a:cs typeface="Calibri"/>
            </a:rPr>
            <a:t>Los datos procesados revelan que la categoría de Tecnología representa el 50% de los ingresos totales, consolidándose como el motor del negocio. A nivel regional, la zona Sur muestra el mayor volumen de ventas, seguida de cerca por la región Este. La implementación de la columna de Prioridades y la búsqueda automática de almacenes permite una gestión logística más ágil para los pedidos de alto valor.</a:t>
          </a:r>
        </a:p>
      </xdr:txBody>
    </xdr:sp>
    <xdr:clientData/>
  </xdr:twoCellAnchor>
  <xdr:twoCellAnchor>
    <xdr:from>
      <xdr:col>9</xdr:col>
      <xdr:colOff>235449</xdr:colOff>
      <xdr:row>2</xdr:row>
      <xdr:rowOff>53511</xdr:rowOff>
    </xdr:from>
    <xdr:to>
      <xdr:col>13</xdr:col>
      <xdr:colOff>642135</xdr:colOff>
      <xdr:row>16</xdr:row>
      <xdr:rowOff>151848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A5D99A8-D498-4DD3-AF37-81DE3CFDF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386523</xdr:colOff>
      <xdr:row>17</xdr:row>
      <xdr:rowOff>55217</xdr:rowOff>
    </xdr:from>
    <xdr:to>
      <xdr:col>13</xdr:col>
      <xdr:colOff>676414</xdr:colOff>
      <xdr:row>29</xdr:row>
      <xdr:rowOff>27609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VENDEDOR">
              <a:extLst>
                <a:ext uri="{FF2B5EF4-FFF2-40B4-BE49-F238E27FC236}">
                  <a16:creationId xmlns:a16="http://schemas.microsoft.com/office/drawing/2014/main" id="{A867C017-57AB-6561-E61D-B96BBC6A74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8523" y="2912717"/>
              <a:ext cx="1813891" cy="22583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151848</xdr:colOff>
      <xdr:row>17</xdr:row>
      <xdr:rowOff>55216</xdr:rowOff>
    </xdr:from>
    <xdr:to>
      <xdr:col>11</xdr:col>
      <xdr:colOff>331306</xdr:colOff>
      <xdr:row>29</xdr:row>
      <xdr:rowOff>27297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TOTAL_VENTA 1">
              <a:extLst>
                <a:ext uri="{FF2B5EF4-FFF2-40B4-BE49-F238E27FC236}">
                  <a16:creationId xmlns:a16="http://schemas.microsoft.com/office/drawing/2014/main" id="{2AAF7189-EC3E-1379-4374-8C351383C3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VEN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9848" y="2912716"/>
              <a:ext cx="1703458" cy="2258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udiante" refreshedDate="46076.730766435183" createdVersion="8" refreshedVersion="8" minRefreshableVersion="3" recordCount="503" xr:uid="{A8CD08E3-62C3-4328-9110-7C02AAF2382B}">
  <cacheSource type="worksheet">
    <worksheetSource ref="A1:N504" sheet="TABLA PRINCIPAL"/>
  </cacheSource>
  <cacheFields count="14">
    <cacheField name="ID_VENTA" numFmtId="0">
      <sharedItems containsString="0" containsBlank="1" containsNumber="1" containsInteger="1" minValue="1" maxValue="502"/>
    </cacheField>
    <cacheField name="FECHA " numFmtId="0">
      <sharedItems containsNonDate="0" containsDate="1" containsString="0" containsBlank="1" minDate="2024-01-01T00:00:00" maxDate="2025-05-17T00:00:00"/>
    </cacheField>
    <cacheField name="VENDEDOR" numFmtId="0">
      <sharedItems containsBlank="1" count="6">
        <s v="CARLOS"/>
        <s v="LUIS"/>
        <s v="PEDRO"/>
        <s v="JUAN"/>
        <s v="OSCAR"/>
        <m/>
      </sharedItems>
    </cacheField>
    <cacheField name="PRODUCTO" numFmtId="0">
      <sharedItems containsBlank="1"/>
    </cacheField>
    <cacheField name="CATEGORIA " numFmtId="0">
      <sharedItems containsBlank="1" count="4">
        <s v="Tecnología"/>
        <s v="Hogar"/>
        <s v="Oficina"/>
        <m/>
      </sharedItems>
    </cacheField>
    <cacheField name="REGION " numFmtId="0">
      <sharedItems containsBlank="1" count="6">
        <s v="Norte"/>
        <s v="Sur"/>
        <s v="Centro"/>
        <s v="Oeste"/>
        <s v="Este"/>
        <m/>
      </sharedItems>
    </cacheField>
    <cacheField name="CANTIDAD" numFmtId="0">
      <sharedItems containsString="0" containsBlank="1" containsNumber="1" containsInteger="1" minValue="1" maxValue="20"/>
    </cacheField>
    <cacheField name="PRECIO_UNITARIO" numFmtId="164">
      <sharedItems containsString="0" containsBlank="1" containsNumber="1" containsInteger="1" minValue="111" maxValue="4997"/>
    </cacheField>
    <cacheField name="DESCUENTO" numFmtId="0">
      <sharedItems containsString="0" containsBlank="1" containsNumber="1" minValue="0" maxValue="0.15"/>
    </cacheField>
    <cacheField name="TOTAL_VENTA" numFmtId="164">
      <sharedItems containsSemiMixedTypes="0" containsString="0" containsNumber="1" containsInteger="1" minValue="120" maxValue="13564993" count="500">
        <n v="9994"/>
        <n v="1114"/>
        <n v="2610"/>
        <n v="39768"/>
        <n v="3882"/>
        <n v="19868"/>
        <n v="49640"/>
        <n v="69454"/>
        <n v="44388"/>
        <n v="39296"/>
        <n v="9822"/>
        <n v="68544"/>
        <n v="73245"/>
        <n v="63466"/>
        <n v="29250"/>
        <n v="77584"/>
        <n v="3447"/>
        <n v="96880"/>
        <n v="91827"/>
        <n v="62647"/>
        <n v="91523"/>
        <n v="76624"/>
        <n v="544"/>
        <n v="33509"/>
        <n v="66920"/>
        <n v="71655"/>
        <n v="19076"/>
        <n v="33341"/>
        <n v="61854"/>
        <n v="3490"/>
        <n v="33208"/>
        <n v="61438"/>
        <n v="3859"/>
        <n v="9442"/>
        <n v="46860"/>
        <n v="1022"/>
        <n v="2823"/>
        <n v="27936"/>
        <n v="88312"/>
        <n v="32522"/>
        <n v="88122"/>
        <n v="2595"/>
        <n v="9264"/>
        <n v="92440"/>
        <n v="92220"/>
        <n v="82998"/>
        <n v="3286"/>
        <n v="92120"/>
        <n v="92080"/>
        <n v="91800"/>
        <n v="86944"/>
        <n v="77503"/>
        <n v="59189"/>
        <n v="72672"/>
        <n v="86146"/>
        <n v="13593"/>
        <n v="67890"/>
        <n v="4164"/>
        <n v="3724"/>
        <n v="85975"/>
        <n v="90320"/>
        <n v="67560"/>
        <n v="938"/>
        <n v="18000"/>
        <n v="26976"/>
        <n v="13473"/>
        <n v="62692"/>
        <n v="75922"/>
        <n v="266"/>
        <n v="89040"/>
        <n v="2892"/>
        <n v="17784"/>
        <n v="26670"/>
        <n v="1800"/>
        <n v="2304"/>
        <n v="31080"/>
        <n v="53016"/>
        <n v="70368"/>
        <n v="87720"/>
        <n v="2850"/>
        <n v="65715"/>
        <n v="8760"/>
        <n v="39222"/>
        <n v="39015"/>
        <n v="60270"/>
        <n v="77310"/>
        <n v="34352"/>
        <n v="47135"/>
        <n v="8566"/>
        <n v="42790"/>
        <n v="29876"/>
        <n v="12726"/>
        <n v="16956"/>
        <n v="3328"/>
        <n v="29582"/>
        <n v="50508"/>
        <n v="46233"/>
        <n v="83740"/>
        <n v="71145"/>
        <n v="4304"/>
        <n v="29127"/>
        <n v="74844"/>
        <n v="8310"/>
        <n v="29022"/>
        <n v="1936"/>
        <n v="20725"/>
        <n v="16552"/>
        <n v="41370"/>
        <n v="12369"/>
        <n v="1676"/>
        <n v="16484"/>
        <n v="45265"/>
        <n v="28777"/>
        <n v="65712"/>
        <n v="36792"/>
        <n v="24510"/>
        <n v="28490"/>
        <n v="36432"/>
        <n v="68765"/>
        <n v="76703"/>
        <n v="16020"/>
        <n v="11979"/>
        <n v="1992"/>
        <n v="67235"/>
        <n v="59130"/>
        <n v="2088"/>
        <n v="55118"/>
        <n v="74784"/>
        <n v="3162"/>
        <n v="62944"/>
        <n v="3314"/>
        <n v="66861"/>
        <n v="23436"/>
        <n v="2024"/>
        <n v="39000"/>
        <n v="23400"/>
        <n v="46632"/>
        <n v="2046"/>
        <n v="31088"/>
        <n v="38750"/>
        <n v="4474"/>
        <n v="4667"/>
        <n v="58125"/>
        <n v="42383"/>
        <n v="53816"/>
        <n v="30728"/>
        <n v="606"/>
        <n v="34443"/>
        <n v="15288"/>
        <n v="34371"/>
        <n v="60880"/>
        <n v="45576"/>
        <n v="49348"/>
        <n v="41690"/>
        <n v="71858"/>
        <n v="15060"/>
        <n v="56205"/>
        <n v="52416"/>
        <n v="120"/>
        <n v="33597"/>
        <n v="37110"/>
        <n v="14828"/>
        <n v="751"/>
        <n v="3876"/>
        <n v="44292"/>
        <n v="40590"/>
        <n v="40469"/>
        <n v="1641"/>
        <n v="32940"/>
        <n v="43836"/>
        <n v="58288"/>
        <n v="25438"/>
        <n v="32589"/>
        <n v="50596"/>
        <n v="54195"/>
        <n v="39446"/>
        <n v="42888"/>
        <n v="21330"/>
        <n v="41724"/>
        <n v="13904"/>
        <n v="17375"/>
        <n v="41700"/>
        <n v="1912"/>
        <n v="2007"/>
        <n v="10368"/>
        <n v="62172"/>
        <n v="61668"/>
        <n v="30627"/>
        <n v="44083"/>
        <n v="54176"/>
        <n v="64201"/>
        <n v="23555"/>
        <n v="50340"/>
        <n v="16690"/>
        <n v="3532"/>
        <n v="56661"/>
        <n v="63270"/>
        <n v="36619"/>
        <n v="63194"/>
        <n v="13268"/>
        <n v="56389"/>
        <n v="4167"/>
        <n v="4380"/>
        <n v="46200"/>
        <n v="26384"/>
        <n v="3258"/>
        <n v="62624"/>
        <n v="19752"/>
        <n v="13104"/>
        <n v="42549"/>
        <n v="9789"/>
        <n v="26072"/>
        <n v="61921"/>
        <n v="29160"/>
        <n v="64660"/>
        <n v="51712"/>
        <n v="38460"/>
        <n v="200"/>
        <n v="41574"/>
        <n v="19128"/>
        <n v="25344"/>
        <n v="12660"/>
        <n v="6326"/>
        <n v="4689"/>
        <n v="62900"/>
        <n v="34507"/>
        <n v="56070"/>
        <n v="46710"/>
        <n v="3422"/>
        <n v="37068"/>
        <n v="21609"/>
        <n v="3402"/>
        <n v="6120"/>
        <n v="30570"/>
        <n v="61120"/>
        <n v="42728"/>
        <n v="51663"/>
        <n v="959"/>
        <n v="27270"/>
        <n v="56658"/>
        <n v="29470"/>
        <n v="58840"/>
        <n v="5882"/>
        <n v="55784"/>
        <n v="17568"/>
        <n v="14545"/>
        <n v="34380"/>
        <n v="19978"/>
        <n v="28520"/>
        <n v="28470"/>
        <n v="2988"/>
        <n v="51210"/>
        <n v="56480"/>
        <n v="11284"/>
        <n v="45024"/>
        <n v="1995"/>
        <n v="3864"/>
        <n v="28120"/>
        <n v="25236"/>
        <n v="14015"/>
        <n v="33624"/>
        <n v="19474"/>
        <n v="33360"/>
        <n v="53840"/>
        <n v="40140"/>
        <n v="26740"/>
        <n v="10692"/>
        <n v="50673"/>
        <n v="45169"/>
        <n v="31680"/>
        <n v="39420"/>
        <n v="52400"/>
        <n v="52280"/>
        <n v="39075"/>
        <n v="15534"/>
        <n v="1416"/>
        <n v="49096"/>
        <n v="15444"/>
        <n v="15396"/>
        <n v="15384"/>
        <n v="17934"/>
        <n v="958"/>
        <n v="40816"/>
        <n v="25370"/>
        <n v="40464"/>
        <n v="5034"/>
        <n v="5010"/>
        <n v="22536"/>
        <n v="42466"/>
        <n v="2214"/>
        <n v="37365"/>
        <n v="3451"/>
        <n v="2008"/>
        <n v="12350"/>
        <n v="24700"/>
        <n v="12215"/>
        <n v="24430"/>
        <n v="43848"/>
        <n v="7296"/>
        <n v="48620"/>
        <n v="4177"/>
        <n v="16975"/>
        <n v="12095"/>
        <n v="4750"/>
        <n v="4578"/>
        <n v="642"/>
        <n v="9672"/>
        <n v="40936"/>
        <n v="11920"/>
        <n v="40494"/>
        <n v="33334"/>
        <n v="25828"/>
        <n v="7029"/>
        <n v="14022"/>
        <n v="25553"/>
        <n v="2694"/>
        <n v="18552"/>
        <n v="30134"/>
        <n v="1839"/>
        <n v="41526"/>
        <n v="1944"/>
        <n v="43434"/>
        <n v="25135"/>
        <n v="13674"/>
        <n v="2412"/>
        <n v="43130"/>
        <n v="24959"/>
        <n v="45140"/>
        <n v="1581"/>
        <n v="20259"/>
        <n v="29042"/>
        <n v="37502"/>
        <n v="39438"/>
        <n v="10840"/>
        <n v="10745"/>
        <n v="29358"/>
        <n v="6276"/>
        <n v="29218"/>
        <n v="8308"/>
        <n v="18378"/>
        <n v="10200"/>
        <n v="34663"/>
        <n v="10185"/>
        <n v="28434"/>
        <n v="2882"/>
        <n v="2382"/>
        <n v="18243"/>
        <n v="1550"/>
        <n v="10100"/>
        <n v="14035"/>
        <n v="37886"/>
        <n v="19800"/>
        <n v="21527"/>
        <n v="26936"/>
        <n v="24648"/>
        <n v="35853"/>
        <n v="20724"/>
        <n v="37660"/>
        <n v="35549"/>
        <n v="5610"/>
        <n v="26152"/>
        <n v="13062"/>
        <n v="35321"/>
        <n v="18580"/>
        <n v="31501"/>
        <n v="1506"/>
        <n v="14824"/>
        <n v="31382"/>
        <n v="2760"/>
        <n v="34979"/>
        <n v="36160"/>
        <n v="5376"/>
        <n v="5367"/>
        <n v="5331"/>
        <n v="17690"/>
        <n v="35200"/>
        <n v="10470"/>
        <n v="18975"/>
        <n v="32129"/>
        <n v="18392"/>
        <n v="33040"/>
        <n v="982"/>
        <n v="640"/>
        <n v="30780"/>
        <n v="22064"/>
        <n v="4458"/>
        <n v="17336"/>
        <n v="4576"/>
        <n v="21742"/>
        <n v="24768"/>
        <n v="1410"/>
        <n v="4719"/>
        <n v="3132"/>
        <n v="13428"/>
        <n v="25194"/>
        <n v="7350"/>
        <n v="27854"/>
        <n v="23008"/>
        <n v="20118"/>
        <n v="14350"/>
        <n v="18603"/>
        <n v="17100"/>
        <n v="11344"/>
        <n v="23834"/>
        <n v="16776"/>
        <n v="23545"/>
        <n v="9534"/>
        <n v="13580"/>
        <n v="1512"/>
        <n v="1716"/>
        <n v="2578"/>
        <n v="5408"/>
        <n v="17511"/>
        <n v="24030"/>
        <n v="10560"/>
        <n v="15756"/>
        <n v="20960"/>
        <n v="1545"/>
        <n v="15684"/>
        <n v="25960"/>
        <n v="11673"/>
        <n v="14234"/>
        <n v="25500"/>
        <n v="22914"/>
        <n v="21488"/>
        <n v="2728"/>
        <n v="20208"/>
        <n v="7554"/>
        <n v="14964"/>
        <n v="7476"/>
        <n v="22050"/>
        <n v="12160"/>
        <n v="17024"/>
        <n v="8470"/>
        <n v="14280"/>
        <n v="14256"/>
        <n v="23260"/>
        <n v="19533"/>
        <n v="15064"/>
        <n v="3804"/>
        <n v="15022"/>
        <n v="13949"/>
        <n v="14840"/>
        <n v="17986"/>
        <n v="14770"/>
        <n v="1885"/>
        <n v="14616"/>
        <n v="7182"/>
        <n v="16192"/>
        <n v="18090"/>
        <n v="19620"/>
        <n v="15584"/>
        <n v="1887"/>
        <n v="17424"/>
        <n v="11520"/>
        <n v="8424"/>
        <n v="11052"/>
        <n v="8253"/>
        <n v="8154"/>
        <n v="4094"/>
        <n v="2022"/>
        <n v="5298"/>
        <n v="16960"/>
        <n v="12675"/>
        <n v="6752"/>
        <n v="9130"/>
        <n v="16420"/>
        <n v="8010"/>
        <n v="16000"/>
        <n v="1204"/>
        <n v="13396"/>
        <n v="10766"/>
        <n v="983"/>
        <n v="11968"/>
        <n v="14760"/>
        <n v="12308"/>
        <n v="3042"/>
        <n v="9814"/>
        <n v="6300"/>
        <n v="6075"/>
        <n v="9585"/>
        <n v="9540"/>
        <n v="11430"/>
        <n v="6567"/>
        <n v="5973"/>
        <n v="8384"/>
        <n v="5720"/>
        <n v="7635"/>
        <n v="7098"/>
        <n v="6916"/>
        <n v="7956"/>
        <n v="2366"/>
        <n v="7999"/>
        <n v="6800"/>
        <n v="5850"/>
        <n v="6613"/>
        <n v="4398"/>
        <n v="5068"/>
        <n v="7200"/>
        <n v="13564993"/>
      </sharedItems>
    </cacheField>
    <cacheField name="CALIFICACION" numFmtId="0">
      <sharedItems containsBlank="1"/>
    </cacheField>
    <cacheField name="PROVEEDOR" numFmtId="0">
      <sharedItems containsBlank="1"/>
    </cacheField>
    <cacheField name="PRIORIDAD DE ENVIO" numFmtId="0">
      <sharedItems containsBlank="1" count="3">
        <s v="Prioridad Media"/>
        <m/>
        <s v="Prioridad Alta"/>
      </sharedItems>
    </cacheField>
    <cacheField name="ID ALMACEN" numFmtId="0">
      <sharedItems containsBlank="1"/>
    </cacheField>
  </cacheFields>
  <extLst>
    <ext xmlns:x14="http://schemas.microsoft.com/office/spreadsheetml/2009/9/main" uri="{725AE2AE-9491-48be-B2B4-4EB974FC3084}">
      <x14:pivotCacheDefinition pivotCacheId="18433710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n v="176"/>
    <d v="2024-06-24T00:00:00"/>
    <x v="0"/>
    <s v="Smart TV 50&quot;"/>
    <x v="0"/>
    <x v="0"/>
    <n v="2"/>
    <n v="4997"/>
    <n v="0.04"/>
    <x v="0"/>
    <s v="Venta Grande"/>
    <s v="LG Electronics"/>
    <x v="0"/>
    <s v="ALM-01"/>
  </r>
  <r>
    <n v="2"/>
    <d v="2024-01-02T00:00:00"/>
    <x v="1"/>
    <s v="Celular Samsung"/>
    <x v="0"/>
    <x v="1"/>
    <n v="2"/>
    <n v="557"/>
    <n v="0.08"/>
    <x v="1"/>
    <s v="Venta Normal"/>
    <s v="Samsung Oficial"/>
    <x v="1"/>
    <m/>
  </r>
  <r>
    <n v="3"/>
    <d v="2024-01-03T00:00:00"/>
    <x v="2"/>
    <s v="Cafetera Eléctrica"/>
    <x v="1"/>
    <x v="2"/>
    <n v="2"/>
    <n v="1305"/>
    <n v="0.04"/>
    <x v="2"/>
    <s v="Venta Normal"/>
    <s v="LG Electronics"/>
    <x v="1"/>
    <m/>
  </r>
  <r>
    <n v="90"/>
    <d v="2024-03-30T00:00:00"/>
    <x v="3"/>
    <s v="Celular Samsung"/>
    <x v="0"/>
    <x v="3"/>
    <n v="8"/>
    <n v="4971"/>
    <n v="0.11"/>
    <x v="3"/>
    <s v="Venta Grande"/>
    <s v="Samsung Oficial"/>
    <x v="2"/>
    <s v="ALM-01"/>
  </r>
  <r>
    <n v="5"/>
    <d v="2024-01-05T00:00:00"/>
    <x v="3"/>
    <s v="Auriculares Bluetooth"/>
    <x v="0"/>
    <x v="3"/>
    <n v="1"/>
    <n v="3882"/>
    <n v="0.01"/>
    <x v="4"/>
    <s v="Venta Normal"/>
    <s v="LG Electronics"/>
    <x v="1"/>
    <m/>
  </r>
  <r>
    <n v="457"/>
    <d v="2025-04-01T00:00:00"/>
    <x v="1"/>
    <s v="Aspiradora Robot"/>
    <x v="1"/>
    <x v="1"/>
    <n v="4"/>
    <n v="4967"/>
    <n v="0.12"/>
    <x v="5"/>
    <s v="Venta Grande"/>
    <s v="Samsung Oficial"/>
    <x v="0"/>
    <s v="ALM-02"/>
  </r>
  <r>
    <n v="170"/>
    <d v="2024-06-18T00:00:00"/>
    <x v="3"/>
    <s v="Auriculares Bluetooth"/>
    <x v="0"/>
    <x v="3"/>
    <n v="10"/>
    <n v="4964"/>
    <n v="0.03"/>
    <x v="6"/>
    <s v="Venta Grande"/>
    <s v="LG Electronics"/>
    <x v="2"/>
    <s v="ALM-01"/>
  </r>
  <r>
    <n v="140"/>
    <d v="2024-05-19T00:00:00"/>
    <x v="3"/>
    <s v="Tablet Lenovo"/>
    <x v="0"/>
    <x v="3"/>
    <n v="14"/>
    <n v="4961"/>
    <n v="7.0000000000000007E-2"/>
    <x v="7"/>
    <s v="Venta Grande"/>
    <s v="Office Design"/>
    <x v="2"/>
    <s v="ALM-01"/>
  </r>
  <r>
    <n v="97"/>
    <d v="2024-04-06T00:00:00"/>
    <x v="1"/>
    <s v="Licuadora de Mano"/>
    <x v="1"/>
    <x v="1"/>
    <n v="9"/>
    <n v="4932"/>
    <n v="0.03"/>
    <x v="8"/>
    <s v="Venta Grande"/>
    <s v="LG Electronics"/>
    <x v="0"/>
    <s v="ALM-02"/>
  </r>
  <r>
    <n v="96"/>
    <d v="2024-04-05T00:00:00"/>
    <x v="0"/>
    <s v="Tablet Lenovo"/>
    <x v="0"/>
    <x v="0"/>
    <n v="8"/>
    <n v="4912"/>
    <n v="0.12"/>
    <x v="9"/>
    <s v="Venta Grande"/>
    <s v="Office Design"/>
    <x v="2"/>
    <s v="ALM-01"/>
  </r>
  <r>
    <n v="7"/>
    <d v="2024-01-07T00:00:00"/>
    <x v="1"/>
    <s v="Silla Ergonómica"/>
    <x v="2"/>
    <x v="1"/>
    <n v="2"/>
    <n v="4911"/>
    <n v="0.11"/>
    <x v="10"/>
    <s v="Venta Grande"/>
    <s v="LG Electronics"/>
    <x v="0"/>
    <s v="ALM-03"/>
  </r>
  <r>
    <n v="416"/>
    <d v="2025-02-19T00:00:00"/>
    <x v="0"/>
    <s v="Licuadora de Mano"/>
    <x v="1"/>
    <x v="0"/>
    <n v="14"/>
    <n v="4896"/>
    <n v="0.14000000000000001"/>
    <x v="11"/>
    <s v="Venta Grande"/>
    <s v="LG Electronics"/>
    <x v="0"/>
    <s v="ALM-02"/>
  </r>
  <r>
    <n v="482"/>
    <d v="2025-04-26T00:00:00"/>
    <x v="1"/>
    <s v="Licuadora de Mano"/>
    <x v="1"/>
    <x v="1"/>
    <n v="15"/>
    <n v="4883"/>
    <n v="0.12"/>
    <x v="12"/>
    <s v="Venta Grande"/>
    <s v="LG Electronics"/>
    <x v="0"/>
    <s v="ALM-02"/>
  </r>
  <r>
    <n v="145"/>
    <d v="2024-05-24T00:00:00"/>
    <x v="3"/>
    <s v="Celular Samsung"/>
    <x v="0"/>
    <x v="3"/>
    <n v="13"/>
    <n v="4882"/>
    <n v="0.08"/>
    <x v="13"/>
    <s v="Venta Grande"/>
    <s v="Samsung Oficial"/>
    <x v="2"/>
    <s v="ALM-01"/>
  </r>
  <r>
    <n v="241"/>
    <d v="2024-08-28T00:00:00"/>
    <x v="0"/>
    <s v="Teclado Mecánico"/>
    <x v="2"/>
    <x v="0"/>
    <n v="6"/>
    <n v="4875"/>
    <n v="0.12"/>
    <x v="14"/>
    <s v="Venta Grande"/>
    <s v="Samsung Oficial"/>
    <x v="0"/>
    <s v="ALM-03"/>
  </r>
  <r>
    <n v="39"/>
    <d v="2024-02-08T00:00:00"/>
    <x v="4"/>
    <s v="Aspiradora Robot"/>
    <x v="1"/>
    <x v="4"/>
    <n v="16"/>
    <n v="4849"/>
    <n v="0.04"/>
    <x v="15"/>
    <s v="Venta Grande"/>
    <s v="Samsung Oficial"/>
    <x v="0"/>
    <s v="ALM-02"/>
  </r>
  <r>
    <n v="17"/>
    <d v="2024-01-17T00:00:00"/>
    <x v="1"/>
    <s v="Aspiradora Robot"/>
    <x v="1"/>
    <x v="1"/>
    <n v="1"/>
    <n v="3447"/>
    <n v="0.09"/>
    <x v="16"/>
    <s v="Venta Normal"/>
    <s v="Samsung Oficial"/>
    <x v="1"/>
    <m/>
  </r>
  <r>
    <n v="247"/>
    <d v="2024-09-03T00:00:00"/>
    <x v="1"/>
    <s v="Auriculares Bluetooth"/>
    <x v="0"/>
    <x v="1"/>
    <n v="20"/>
    <n v="4844"/>
    <n v="0.04"/>
    <x v="17"/>
    <s v="Venta Grande"/>
    <s v="LG Electronics"/>
    <x v="2"/>
    <s v="ALM-01"/>
  </r>
  <r>
    <n v="284"/>
    <d v="2024-10-10T00:00:00"/>
    <x v="4"/>
    <s v="Licuadora de Mano"/>
    <x v="1"/>
    <x v="4"/>
    <n v="19"/>
    <n v="4833"/>
    <n v="0.13"/>
    <x v="18"/>
    <s v="Venta Grande"/>
    <s v="LG Electronics"/>
    <x v="0"/>
    <s v="ALM-02"/>
  </r>
  <r>
    <n v="209"/>
    <d v="2024-07-27T00:00:00"/>
    <x v="4"/>
    <s v="Smart TV 50&quot;"/>
    <x v="0"/>
    <x v="4"/>
    <n v="13"/>
    <n v="4819"/>
    <n v="0.08"/>
    <x v="19"/>
    <s v="Venta Grande"/>
    <s v="LG Electronics"/>
    <x v="2"/>
    <s v="ALM-01"/>
  </r>
  <r>
    <n v="382"/>
    <d v="2025-01-16T00:00:00"/>
    <x v="1"/>
    <s v="Tablet Lenovo"/>
    <x v="0"/>
    <x v="1"/>
    <n v="19"/>
    <n v="4817"/>
    <n v="7.0000000000000007E-2"/>
    <x v="20"/>
    <s v="Venta Grande"/>
    <s v="Office Design"/>
    <x v="2"/>
    <s v="ALM-01"/>
  </r>
  <r>
    <n v="154"/>
    <d v="2024-06-02T00:00:00"/>
    <x v="4"/>
    <s v="Smart TV 50&quot;"/>
    <x v="0"/>
    <x v="4"/>
    <n v="16"/>
    <n v="4789"/>
    <n v="0.06"/>
    <x v="21"/>
    <s v="Venta Grande"/>
    <s v="LG Electronics"/>
    <x v="2"/>
    <s v="ALM-01"/>
  </r>
  <r>
    <n v="23"/>
    <d v="2024-01-23T00:00:00"/>
    <x v="2"/>
    <s v="Smart TV 50&quot;"/>
    <x v="0"/>
    <x v="2"/>
    <n v="2"/>
    <n v="272"/>
    <n v="0.09"/>
    <x v="22"/>
    <s v="Venta Normal"/>
    <s v="LG Electronics"/>
    <x v="1"/>
    <m/>
  </r>
  <r>
    <n v="208"/>
    <d v="2024-07-26T00:00:00"/>
    <x v="2"/>
    <s v="Teclado Mecánico"/>
    <x v="2"/>
    <x v="2"/>
    <n v="7"/>
    <n v="4787"/>
    <n v="0.14000000000000001"/>
    <x v="23"/>
    <s v="Venta Grande"/>
    <s v="Samsung Oficial"/>
    <x v="0"/>
    <s v="ALM-03"/>
  </r>
  <r>
    <n v="50"/>
    <d v="2024-02-19T00:00:00"/>
    <x v="3"/>
    <s v="Aspiradora Robot"/>
    <x v="1"/>
    <x v="3"/>
    <n v="14"/>
    <n v="4780"/>
    <n v="0.1"/>
    <x v="24"/>
    <s v="Venta Grande"/>
    <s v="Samsung Oficial"/>
    <x v="0"/>
    <s v="ALM-02"/>
  </r>
  <r>
    <n v="458"/>
    <d v="2025-04-02T00:00:00"/>
    <x v="2"/>
    <s v="Silla Ergonómica"/>
    <x v="2"/>
    <x v="2"/>
    <n v="15"/>
    <n v="4777"/>
    <n v="0.02"/>
    <x v="25"/>
    <s v="Venta Grande"/>
    <s v="LG Electronics"/>
    <x v="0"/>
    <s v="ALM-03"/>
  </r>
  <r>
    <n v="125"/>
    <d v="2024-05-04T00:00:00"/>
    <x v="3"/>
    <s v="Monitor 24&quot;"/>
    <x v="2"/>
    <x v="3"/>
    <n v="4"/>
    <n v="4769"/>
    <n v="0.1"/>
    <x v="26"/>
    <s v="Venta Grande"/>
    <s v="Office Design"/>
    <x v="0"/>
    <s v="ALM-03"/>
  </r>
  <r>
    <n v="49"/>
    <d v="2024-02-18T00:00:00"/>
    <x v="4"/>
    <s v="Auriculares Bluetooth"/>
    <x v="0"/>
    <x v="4"/>
    <n v="7"/>
    <n v="4763"/>
    <n v="0.11"/>
    <x v="27"/>
    <s v="Venta Grande"/>
    <s v="LG Electronics"/>
    <x v="2"/>
    <s v="ALM-01"/>
  </r>
  <r>
    <n v="213"/>
    <d v="2024-07-31T00:00:00"/>
    <x v="2"/>
    <s v="Monitor 24&quot;"/>
    <x v="2"/>
    <x v="2"/>
    <n v="13"/>
    <n v="4758"/>
    <n v="0.12"/>
    <x v="28"/>
    <s v="Venta Grande"/>
    <s v="Office Design"/>
    <x v="0"/>
    <s v="ALM-03"/>
  </r>
  <r>
    <n v="30"/>
    <d v="2024-01-30T00:00:00"/>
    <x v="3"/>
    <s v="Tablet Lenovo"/>
    <x v="0"/>
    <x v="3"/>
    <n v="10"/>
    <n v="349"/>
    <n v="0.04"/>
    <x v="29"/>
    <s v="Venta Normal"/>
    <s v="Office Design"/>
    <x v="1"/>
    <m/>
  </r>
  <r>
    <n v="271"/>
    <d v="2024-09-27T00:00:00"/>
    <x v="0"/>
    <s v="Silla Ergonómica"/>
    <x v="2"/>
    <x v="0"/>
    <n v="7"/>
    <n v="4744"/>
    <n v="0.1"/>
    <x v="30"/>
    <s v="Venta Grande"/>
    <s v="LG Electronics"/>
    <x v="0"/>
    <s v="ALM-03"/>
  </r>
  <r>
    <n v="197"/>
    <d v="2024-07-15T00:00:00"/>
    <x v="1"/>
    <s v="Teclado Mecánico"/>
    <x v="2"/>
    <x v="1"/>
    <n v="13"/>
    <n v="4726"/>
    <n v="0.11"/>
    <x v="31"/>
    <s v="Venta Grande"/>
    <s v="Samsung Oficial"/>
    <x v="0"/>
    <s v="ALM-03"/>
  </r>
  <r>
    <n v="33"/>
    <d v="2024-02-02T00:00:00"/>
    <x v="2"/>
    <s v="Smart TV 50&quot;"/>
    <x v="0"/>
    <x v="2"/>
    <n v="1"/>
    <n v="3859"/>
    <n v="0.15"/>
    <x v="32"/>
    <s v="Venta Normal"/>
    <s v="LG Electronics"/>
    <x v="1"/>
    <m/>
  </r>
  <r>
    <n v="366"/>
    <d v="2024-12-31T00:00:00"/>
    <x v="0"/>
    <s v="Cafetera Eléctrica"/>
    <x v="1"/>
    <x v="0"/>
    <n v="2"/>
    <n v="4721"/>
    <n v="0.1"/>
    <x v="33"/>
    <s v="Venta Grande"/>
    <s v="LG Electronics"/>
    <x v="0"/>
    <s v="ALM-02"/>
  </r>
  <r>
    <n v="155"/>
    <d v="2024-06-03T00:00:00"/>
    <x v="3"/>
    <s v="Smart TV 50&quot;"/>
    <x v="0"/>
    <x v="3"/>
    <n v="10"/>
    <n v="4686"/>
    <n v="0.05"/>
    <x v="34"/>
    <s v="Venta Grande"/>
    <s v="LG Electronics"/>
    <x v="2"/>
    <s v="ALM-01"/>
  </r>
  <r>
    <n v="36"/>
    <d v="2024-02-05T00:00:00"/>
    <x v="0"/>
    <s v="Cafetera Eléctrica"/>
    <x v="1"/>
    <x v="0"/>
    <n v="7"/>
    <n v="146"/>
    <n v="0.09"/>
    <x v="35"/>
    <s v="Venta Normal"/>
    <s v="LG Electronics"/>
    <x v="1"/>
    <m/>
  </r>
  <r>
    <n v="37"/>
    <d v="2024-02-06T00:00:00"/>
    <x v="1"/>
    <s v="Monitor 24&quot;"/>
    <x v="2"/>
    <x v="1"/>
    <n v="3"/>
    <n v="941"/>
    <n v="0.03"/>
    <x v="36"/>
    <s v="Venta Normal"/>
    <s v="Office Design"/>
    <x v="1"/>
    <m/>
  </r>
  <r>
    <n v="354"/>
    <d v="2024-12-19T00:00:00"/>
    <x v="4"/>
    <s v="Celular Samsung"/>
    <x v="0"/>
    <x v="4"/>
    <n v="6"/>
    <n v="4656"/>
    <n v="0.15"/>
    <x v="37"/>
    <s v="Venta Grande"/>
    <s v="Samsung Oficial"/>
    <x v="2"/>
    <s v="ALM-01"/>
  </r>
  <r>
    <n v="270"/>
    <d v="2024-09-26T00:00:00"/>
    <x v="3"/>
    <s v="Aspiradora Robot"/>
    <x v="1"/>
    <x v="3"/>
    <n v="19"/>
    <n v="4648"/>
    <n v="0.09"/>
    <x v="38"/>
    <s v="Venta Grande"/>
    <s v="Samsung Oficial"/>
    <x v="0"/>
    <s v="ALM-02"/>
  </r>
  <r>
    <n v="137"/>
    <d v="2024-05-16T00:00:00"/>
    <x v="1"/>
    <s v="Auriculares Bluetooth"/>
    <x v="0"/>
    <x v="1"/>
    <n v="7"/>
    <n v="4646"/>
    <n v="0.05"/>
    <x v="39"/>
    <s v="Venta Grande"/>
    <s v="LG Electronics"/>
    <x v="2"/>
    <s v="ALM-01"/>
  </r>
  <r>
    <n v="375"/>
    <d v="2025-01-09T00:00:00"/>
    <x v="3"/>
    <s v="Smart TV 50&quot;"/>
    <x v="0"/>
    <x v="3"/>
    <n v="19"/>
    <n v="4638"/>
    <n v="0.02"/>
    <x v="40"/>
    <s v="Venta Grande"/>
    <s v="LG Electronics"/>
    <x v="2"/>
    <s v="ALM-01"/>
  </r>
  <r>
    <n v="42"/>
    <d v="2024-02-11T00:00:00"/>
    <x v="1"/>
    <s v="Licuadora de Mano"/>
    <x v="1"/>
    <x v="1"/>
    <n v="3"/>
    <n v="865"/>
    <n v="0.1"/>
    <x v="41"/>
    <s v="Venta Normal"/>
    <s v="LG Electronics"/>
    <x v="1"/>
    <m/>
  </r>
  <r>
    <n v="212"/>
    <d v="2024-07-30T00:00:00"/>
    <x v="1"/>
    <s v="Cafetera Eléctrica"/>
    <x v="1"/>
    <x v="1"/>
    <n v="2"/>
    <n v="4632"/>
    <n v="0.12"/>
    <x v="42"/>
    <s v="Venta Grande"/>
    <s v="LG Electronics"/>
    <x v="0"/>
    <s v="ALM-02"/>
  </r>
  <r>
    <n v="6"/>
    <d v="2024-01-06T00:00:00"/>
    <x v="0"/>
    <s v="Aspiradora Robot"/>
    <x v="1"/>
    <x v="0"/>
    <n v="20"/>
    <n v="4622"/>
    <n v="0.09"/>
    <x v="43"/>
    <s v="Venta Grande"/>
    <s v="Samsung Oficial"/>
    <x v="0"/>
    <s v="ALM-02"/>
  </r>
  <r>
    <n v="93"/>
    <d v="2024-04-02T00:00:00"/>
    <x v="2"/>
    <s v="Auriculares Bluetooth"/>
    <x v="0"/>
    <x v="2"/>
    <n v="20"/>
    <n v="4611"/>
    <n v="0.13"/>
    <x v="44"/>
    <s v="Venta Grande"/>
    <s v="LG Electronics"/>
    <x v="2"/>
    <s v="ALM-01"/>
  </r>
  <r>
    <n v="459"/>
    <d v="2025-04-03T00:00:00"/>
    <x v="4"/>
    <s v="Tablet Lenovo"/>
    <x v="0"/>
    <x v="4"/>
    <n v="18"/>
    <n v="4611"/>
    <n v="0.03"/>
    <x v="45"/>
    <s v="Venta Grande"/>
    <s v="Office Design"/>
    <x v="2"/>
    <s v="ALM-01"/>
  </r>
  <r>
    <n v="47"/>
    <d v="2024-02-16T00:00:00"/>
    <x v="1"/>
    <s v="Cafetera Eléctrica"/>
    <x v="1"/>
    <x v="1"/>
    <n v="2"/>
    <n v="1643"/>
    <n v="0.04"/>
    <x v="46"/>
    <s v="Venta Normal"/>
    <s v="LG Electronics"/>
    <x v="1"/>
    <m/>
  </r>
  <r>
    <n v="45"/>
    <d v="2024-02-14T00:00:00"/>
    <x v="3"/>
    <s v="Smart TV 50&quot;"/>
    <x v="0"/>
    <x v="3"/>
    <n v="20"/>
    <n v="4606"/>
    <n v="0.04"/>
    <x v="47"/>
    <s v="Venta Grande"/>
    <s v="LG Electronics"/>
    <x v="2"/>
    <s v="ALM-01"/>
  </r>
  <r>
    <n v="227"/>
    <d v="2024-08-14T00:00:00"/>
    <x v="1"/>
    <s v="Silla Ergonómica"/>
    <x v="2"/>
    <x v="1"/>
    <n v="20"/>
    <n v="4604"/>
    <n v="7.0000000000000007E-2"/>
    <x v="48"/>
    <s v="Venta Grande"/>
    <s v="LG Electronics"/>
    <x v="0"/>
    <s v="ALM-03"/>
  </r>
  <r>
    <n v="262"/>
    <d v="2024-09-18T00:00:00"/>
    <x v="1"/>
    <s v="Licuadora de Mano"/>
    <x v="1"/>
    <x v="1"/>
    <n v="20"/>
    <n v="4590"/>
    <n v="0.12"/>
    <x v="49"/>
    <s v="Venta Grande"/>
    <s v="LG Electronics"/>
    <x v="0"/>
    <s v="ALM-02"/>
  </r>
  <r>
    <n v="259"/>
    <d v="2024-09-15T00:00:00"/>
    <x v="4"/>
    <s v="Aspiradora Robot"/>
    <x v="1"/>
    <x v="4"/>
    <n v="19"/>
    <n v="4576"/>
    <n v="0.04"/>
    <x v="50"/>
    <s v="Venta Grande"/>
    <s v="Samsung Oficial"/>
    <x v="0"/>
    <s v="ALM-02"/>
  </r>
  <r>
    <n v="273"/>
    <d v="2024-09-29T00:00:00"/>
    <x v="2"/>
    <s v="Licuadora de Mano"/>
    <x v="1"/>
    <x v="2"/>
    <n v="17"/>
    <n v="4559"/>
    <n v="0.02"/>
    <x v="51"/>
    <s v="Venta Grande"/>
    <s v="LG Electronics"/>
    <x v="0"/>
    <s v="ALM-02"/>
  </r>
  <r>
    <n v="130"/>
    <d v="2024-05-09T00:00:00"/>
    <x v="3"/>
    <s v="Licuadora de Mano"/>
    <x v="1"/>
    <x v="3"/>
    <n v="13"/>
    <n v="4553"/>
    <n v="0.05"/>
    <x v="52"/>
    <s v="Venta Grande"/>
    <s v="LG Electronics"/>
    <x v="0"/>
    <s v="ALM-02"/>
  </r>
  <r>
    <n v="297"/>
    <d v="2024-10-23T00:00:00"/>
    <x v="1"/>
    <s v="Smart TV 50&quot;"/>
    <x v="0"/>
    <x v="1"/>
    <n v="16"/>
    <n v="4542"/>
    <n v="0.13"/>
    <x v="53"/>
    <s v="Venta Grande"/>
    <s v="LG Electronics"/>
    <x v="2"/>
    <s v="ALM-01"/>
  </r>
  <r>
    <n v="106"/>
    <d v="2024-04-15T00:00:00"/>
    <x v="0"/>
    <s v="Silla Ergonómica"/>
    <x v="2"/>
    <x v="0"/>
    <n v="19"/>
    <n v="4534"/>
    <n v="7.0000000000000007E-2"/>
    <x v="54"/>
    <s v="Venta Grande"/>
    <s v="LG Electronics"/>
    <x v="0"/>
    <s v="ALM-03"/>
  </r>
  <r>
    <n v="327"/>
    <d v="2024-11-22T00:00:00"/>
    <x v="1"/>
    <s v="Tablet Lenovo"/>
    <x v="0"/>
    <x v="1"/>
    <n v="3"/>
    <n v="4531"/>
    <n v="0.06"/>
    <x v="55"/>
    <s v="Venta Grande"/>
    <s v="Office Design"/>
    <x v="0"/>
    <s v="ALM-01"/>
  </r>
  <r>
    <n v="424"/>
    <d v="2025-02-27T00:00:00"/>
    <x v="4"/>
    <s v="Aspiradora Robot"/>
    <x v="1"/>
    <x v="4"/>
    <n v="15"/>
    <n v="4526"/>
    <n v="7.0000000000000007E-2"/>
    <x v="56"/>
    <s v="Venta Grande"/>
    <s v="Samsung Oficial"/>
    <x v="0"/>
    <s v="ALM-02"/>
  </r>
  <r>
    <n v="58"/>
    <d v="2024-02-27T00:00:00"/>
    <x v="2"/>
    <s v="Cafetera Eléctrica"/>
    <x v="1"/>
    <x v="2"/>
    <n v="6"/>
    <n v="694"/>
    <n v="0.15"/>
    <x v="57"/>
    <s v="Venta Normal"/>
    <s v="LG Electronics"/>
    <x v="1"/>
    <m/>
  </r>
  <r>
    <n v="59"/>
    <d v="2024-02-28T00:00:00"/>
    <x v="4"/>
    <s v="Monitor 24&quot;"/>
    <x v="2"/>
    <x v="4"/>
    <n v="1"/>
    <n v="3724"/>
    <n v="0.04"/>
    <x v="58"/>
    <s v="Venta Normal"/>
    <s v="Office Design"/>
    <x v="1"/>
    <m/>
  </r>
  <r>
    <n v="88"/>
    <d v="2024-03-28T00:00:00"/>
    <x v="2"/>
    <s v="Smart TV 50&quot;"/>
    <x v="0"/>
    <x v="2"/>
    <n v="19"/>
    <n v="4525"/>
    <n v="0.04"/>
    <x v="59"/>
    <s v="Venta Grande"/>
    <s v="LG Electronics"/>
    <x v="2"/>
    <s v="ALM-01"/>
  </r>
  <r>
    <n v="285"/>
    <d v="2024-10-11T00:00:00"/>
    <x v="3"/>
    <s v="Teclado Mecánico"/>
    <x v="2"/>
    <x v="3"/>
    <n v="20"/>
    <n v="4516"/>
    <n v="0.08"/>
    <x v="60"/>
    <s v="Venta Grande"/>
    <s v="Samsung Oficial"/>
    <x v="0"/>
    <s v="ALM-03"/>
  </r>
  <r>
    <n v="491"/>
    <d v="2025-05-05T00:00:00"/>
    <x v="0"/>
    <s v="Silla Ergonómica"/>
    <x v="2"/>
    <x v="0"/>
    <n v="15"/>
    <n v="4504"/>
    <n v="7.0000000000000007E-2"/>
    <x v="61"/>
    <s v="Venta Grande"/>
    <s v="LG Electronics"/>
    <x v="0"/>
    <s v="ALM-03"/>
  </r>
  <r>
    <n v="63"/>
    <d v="2024-03-03T00:00:00"/>
    <x v="2"/>
    <s v="Tablet Lenovo"/>
    <x v="0"/>
    <x v="2"/>
    <n v="2"/>
    <n v="469"/>
    <n v="0.06"/>
    <x v="62"/>
    <s v="Venta Normal"/>
    <s v="Office Design"/>
    <x v="1"/>
    <m/>
  </r>
  <r>
    <n v="487"/>
    <d v="2025-05-01T00:00:00"/>
    <x v="1"/>
    <s v="Cafetera Eléctrica"/>
    <x v="1"/>
    <x v="1"/>
    <n v="4"/>
    <n v="4500"/>
    <n v="7.0000000000000007E-2"/>
    <x v="63"/>
    <s v="Venta Grande"/>
    <s v="LG Electronics"/>
    <x v="0"/>
    <s v="ALM-02"/>
  </r>
  <r>
    <n v="41"/>
    <d v="2024-02-10T00:00:00"/>
    <x v="0"/>
    <s v="Tablet Lenovo"/>
    <x v="0"/>
    <x v="0"/>
    <n v="6"/>
    <n v="4496"/>
    <n v="0.04"/>
    <x v="64"/>
    <s v="Venta Grande"/>
    <s v="Office Design"/>
    <x v="2"/>
    <s v="ALM-01"/>
  </r>
  <r>
    <n v="433"/>
    <d v="2025-03-08T00:00:00"/>
    <x v="2"/>
    <s v="Monitor 24&quot;"/>
    <x v="2"/>
    <x v="2"/>
    <n v="3"/>
    <n v="4491"/>
    <n v="7.0000000000000007E-2"/>
    <x v="65"/>
    <s v="Venta Grande"/>
    <s v="Office Design"/>
    <x v="0"/>
    <s v="ALM-03"/>
  </r>
  <r>
    <n v="43"/>
    <d v="2024-02-12T00:00:00"/>
    <x v="2"/>
    <s v="Teclado Mecánico"/>
    <x v="2"/>
    <x v="2"/>
    <n v="14"/>
    <n v="4478"/>
    <n v="0.14000000000000001"/>
    <x v="66"/>
    <s v="Venta Grande"/>
    <s v="Samsung Oficial"/>
    <x v="0"/>
    <s v="ALM-03"/>
  </r>
  <r>
    <n v="82"/>
    <d v="2024-03-22T00:00:00"/>
    <x v="1"/>
    <s v="Auriculares Bluetooth"/>
    <x v="0"/>
    <x v="1"/>
    <n v="17"/>
    <n v="4466"/>
    <n v="0.13"/>
    <x v="67"/>
    <s v="Venta Grande"/>
    <s v="LG Electronics"/>
    <x v="2"/>
    <s v="ALM-01"/>
  </r>
  <r>
    <n v="69"/>
    <d v="2024-03-09T00:00:00"/>
    <x v="4"/>
    <s v="Cafetera Eléctrica"/>
    <x v="1"/>
    <x v="4"/>
    <n v="1"/>
    <n v="266"/>
    <n v="0.02"/>
    <x v="68"/>
    <s v="Venta Normal"/>
    <s v="LG Electronics"/>
    <x v="1"/>
    <m/>
  </r>
  <r>
    <n v="360"/>
    <d v="2024-12-25T00:00:00"/>
    <x v="3"/>
    <s v="Tablet Lenovo"/>
    <x v="0"/>
    <x v="3"/>
    <n v="20"/>
    <n v="4452"/>
    <n v="0.06"/>
    <x v="69"/>
    <s v="Venta Grande"/>
    <s v="Office Design"/>
    <x v="2"/>
    <s v="ALM-01"/>
  </r>
  <r>
    <n v="71"/>
    <d v="2024-03-11T00:00:00"/>
    <x v="0"/>
    <s v="Auriculares Bluetooth"/>
    <x v="0"/>
    <x v="0"/>
    <n v="6"/>
    <n v="482"/>
    <n v="0.15"/>
    <x v="70"/>
    <s v="Venta Normal"/>
    <s v="LG Electronics"/>
    <x v="1"/>
    <m/>
  </r>
  <r>
    <n v="409"/>
    <d v="2025-02-12T00:00:00"/>
    <x v="4"/>
    <s v="Celular Samsung"/>
    <x v="0"/>
    <x v="4"/>
    <n v="4"/>
    <n v="4446"/>
    <n v="0.05"/>
    <x v="71"/>
    <s v="Venta Grande"/>
    <s v="Samsung Oficial"/>
    <x v="0"/>
    <s v="ALM-01"/>
  </r>
  <r>
    <n v="210"/>
    <d v="2024-07-28T00:00:00"/>
    <x v="3"/>
    <s v="Smart TV 50&quot;"/>
    <x v="0"/>
    <x v="3"/>
    <n v="6"/>
    <n v="4445"/>
    <n v="0.08"/>
    <x v="72"/>
    <s v="Venta Grande"/>
    <s v="LG Electronics"/>
    <x v="2"/>
    <s v="ALM-01"/>
  </r>
  <r>
    <n v="74"/>
    <d v="2024-03-14T00:00:00"/>
    <x v="4"/>
    <s v="Tablet Lenovo"/>
    <x v="0"/>
    <x v="4"/>
    <n v="8"/>
    <n v="225"/>
    <n v="0.11"/>
    <x v="73"/>
    <s v="Venta Normal"/>
    <s v="Office Design"/>
    <x v="1"/>
    <m/>
  </r>
  <r>
    <n v="75"/>
    <d v="2024-03-15T00:00:00"/>
    <x v="3"/>
    <s v="Licuadora de Mano"/>
    <x v="1"/>
    <x v="3"/>
    <n v="9"/>
    <n v="256"/>
    <n v="0.03"/>
    <x v="74"/>
    <s v="Venta Normal"/>
    <s v="LG Electronics"/>
    <x v="1"/>
    <m/>
  </r>
  <r>
    <n v="311"/>
    <d v="2024-11-06T00:00:00"/>
    <x v="0"/>
    <s v="Cafetera Eléctrica"/>
    <x v="1"/>
    <x v="0"/>
    <n v="7"/>
    <n v="4440"/>
    <n v="0.04"/>
    <x v="75"/>
    <s v="Venta Grande"/>
    <s v="LG Electronics"/>
    <x v="0"/>
    <s v="ALM-02"/>
  </r>
  <r>
    <n v="221"/>
    <d v="2024-08-08T00:00:00"/>
    <x v="0"/>
    <s v="Smart TV 50&quot;"/>
    <x v="0"/>
    <x v="0"/>
    <n v="12"/>
    <n v="4418"/>
    <n v="0.03"/>
    <x v="76"/>
    <s v="Venta Grande"/>
    <s v="LG Electronics"/>
    <x v="2"/>
    <s v="ALM-01"/>
  </r>
  <r>
    <n v="4"/>
    <d v="2024-01-04T00:00:00"/>
    <x v="4"/>
    <s v="Monitor 24&quot;"/>
    <x v="2"/>
    <x v="4"/>
    <n v="16"/>
    <n v="4398"/>
    <n v="0.05"/>
    <x v="77"/>
    <s v="Venta Grande"/>
    <s v="Office Design"/>
    <x v="0"/>
    <s v="ALM-03"/>
  </r>
  <r>
    <n v="331"/>
    <d v="2024-11-26T00:00:00"/>
    <x v="0"/>
    <s v="Smart TV 50&quot;"/>
    <x v="0"/>
    <x v="0"/>
    <n v="20"/>
    <n v="4386"/>
    <n v="7.0000000000000007E-2"/>
    <x v="78"/>
    <s v="Venta Grande"/>
    <s v="LG Electronics"/>
    <x v="2"/>
    <s v="ALM-01"/>
  </r>
  <r>
    <n v="80"/>
    <d v="2024-03-20T00:00:00"/>
    <x v="3"/>
    <s v="Cafetera Eléctrica"/>
    <x v="1"/>
    <x v="3"/>
    <n v="10"/>
    <n v="285"/>
    <n v="0.08"/>
    <x v="79"/>
    <s v="Venta Normal"/>
    <s v="LG Electronics"/>
    <x v="1"/>
    <m/>
  </r>
  <r>
    <n v="167"/>
    <d v="2024-06-15T00:00:00"/>
    <x v="1"/>
    <s v="Celular Samsung"/>
    <x v="0"/>
    <x v="1"/>
    <n v="15"/>
    <n v="4381"/>
    <n v="0.12"/>
    <x v="80"/>
    <s v="Venta Grande"/>
    <s v="Samsung Oficial"/>
    <x v="2"/>
    <s v="ALM-01"/>
  </r>
  <r>
    <n v="20"/>
    <d v="2024-01-20T00:00:00"/>
    <x v="3"/>
    <s v="Licuadora de Mano"/>
    <x v="1"/>
    <x v="3"/>
    <n v="2"/>
    <n v="4380"/>
    <n v="0.04"/>
    <x v="81"/>
    <s v="Venta Grande"/>
    <s v="LG Electronics"/>
    <x v="0"/>
    <s v="ALM-02"/>
  </r>
  <r>
    <n v="27"/>
    <d v="2024-01-27T00:00:00"/>
    <x v="1"/>
    <s v="Auriculares Bluetooth"/>
    <x v="0"/>
    <x v="1"/>
    <n v="9"/>
    <n v="4358"/>
    <n v="0.04"/>
    <x v="82"/>
    <s v="Venta Grande"/>
    <s v="LG Electronics"/>
    <x v="2"/>
    <s v="ALM-01"/>
  </r>
  <r>
    <n v="228"/>
    <d v="2024-08-15T00:00:00"/>
    <x v="2"/>
    <s v="Tablet Lenovo"/>
    <x v="0"/>
    <x v="2"/>
    <n v="9"/>
    <n v="4335"/>
    <n v="0.03"/>
    <x v="83"/>
    <s v="Venta Grande"/>
    <s v="Office Design"/>
    <x v="2"/>
    <s v="ALM-01"/>
  </r>
  <r>
    <n v="406"/>
    <d v="2025-02-09T00:00:00"/>
    <x v="0"/>
    <s v="Teclado Mecánico"/>
    <x v="2"/>
    <x v="0"/>
    <n v="14"/>
    <n v="4305"/>
    <n v="7.0000000000000007E-2"/>
    <x v="84"/>
    <s v="Venta Grande"/>
    <s v="Samsung Oficial"/>
    <x v="0"/>
    <s v="ALM-03"/>
  </r>
  <r>
    <n v="85"/>
    <d v="2024-03-25T00:00:00"/>
    <x v="3"/>
    <s v="Tablet Lenovo"/>
    <x v="0"/>
    <x v="3"/>
    <n v="18"/>
    <n v="4295"/>
    <n v="0.11"/>
    <x v="85"/>
    <s v="Venta Grande"/>
    <s v="Office Design"/>
    <x v="2"/>
    <s v="ALM-01"/>
  </r>
  <r>
    <n v="258"/>
    <d v="2024-09-14T00:00:00"/>
    <x v="2"/>
    <s v="Auriculares Bluetooth"/>
    <x v="0"/>
    <x v="2"/>
    <n v="8"/>
    <n v="4294"/>
    <n v="0.04"/>
    <x v="86"/>
    <s v="Venta Grande"/>
    <s v="LG Electronics"/>
    <x v="2"/>
    <s v="ALM-01"/>
  </r>
  <r>
    <n v="379"/>
    <d v="2025-01-13T00:00:00"/>
    <x v="4"/>
    <s v="Auriculares Bluetooth"/>
    <x v="0"/>
    <x v="4"/>
    <n v="11"/>
    <n v="4285"/>
    <n v="0.15"/>
    <x v="87"/>
    <s v="Venta Grande"/>
    <s v="LG Electronics"/>
    <x v="2"/>
    <s v="ALM-01"/>
  </r>
  <r>
    <n v="121"/>
    <d v="2024-04-30T00:00:00"/>
    <x v="0"/>
    <s v="Smart TV 50&quot;"/>
    <x v="0"/>
    <x v="0"/>
    <n v="2"/>
    <n v="4283"/>
    <n v="0.04"/>
    <x v="88"/>
    <s v="Venta Grande"/>
    <s v="LG Electronics"/>
    <x v="0"/>
    <s v="ALM-01"/>
  </r>
  <r>
    <n v="466"/>
    <d v="2025-04-10T00:00:00"/>
    <x v="0"/>
    <s v="Monitor 24&quot;"/>
    <x v="2"/>
    <x v="0"/>
    <n v="10"/>
    <n v="4279"/>
    <n v="0.11"/>
    <x v="89"/>
    <s v="Venta Grande"/>
    <s v="Office Design"/>
    <x v="0"/>
    <s v="ALM-03"/>
  </r>
  <r>
    <n v="28"/>
    <d v="2024-01-28T00:00:00"/>
    <x v="2"/>
    <s v="Aspiradora Robot"/>
    <x v="1"/>
    <x v="2"/>
    <n v="7"/>
    <n v="4268"/>
    <n v="7.0000000000000007E-2"/>
    <x v="90"/>
    <s v="Venta Grande"/>
    <s v="Samsung Oficial"/>
    <x v="0"/>
    <s v="ALM-02"/>
  </r>
  <r>
    <n v="488"/>
    <d v="2025-05-02T00:00:00"/>
    <x v="2"/>
    <s v="Monitor 24&quot;"/>
    <x v="2"/>
    <x v="2"/>
    <n v="3"/>
    <n v="4242"/>
    <n v="0.05"/>
    <x v="91"/>
    <s v="Venta Grande"/>
    <s v="Office Design"/>
    <x v="0"/>
    <s v="ALM-03"/>
  </r>
  <r>
    <n v="467"/>
    <d v="2025-04-11T00:00:00"/>
    <x v="1"/>
    <s v="Auriculares Bluetooth"/>
    <x v="0"/>
    <x v="1"/>
    <n v="4"/>
    <n v="4239"/>
    <n v="0.05"/>
    <x v="92"/>
    <s v="Venta Grande"/>
    <s v="LG Electronics"/>
    <x v="0"/>
    <s v="ALM-01"/>
  </r>
  <r>
    <n v="94"/>
    <d v="2024-04-03T00:00:00"/>
    <x v="4"/>
    <s v="Aspiradora Robot"/>
    <x v="1"/>
    <x v="4"/>
    <n v="2"/>
    <n v="1664"/>
    <n v="0.09"/>
    <x v="93"/>
    <s v="Venta Normal"/>
    <s v="Samsung Oficial"/>
    <x v="1"/>
    <m/>
  </r>
  <r>
    <n v="281"/>
    <d v="2024-10-07T00:00:00"/>
    <x v="0"/>
    <s v="Aspiradora Robot"/>
    <x v="1"/>
    <x v="0"/>
    <n v="7"/>
    <n v="4226"/>
    <n v="0.04"/>
    <x v="94"/>
    <s v="Venta Grande"/>
    <s v="Samsung Oficial"/>
    <x v="0"/>
    <s v="ALM-02"/>
  </r>
  <r>
    <n v="108"/>
    <d v="2024-04-17T00:00:00"/>
    <x v="2"/>
    <s v="Licuadora de Mano"/>
    <x v="1"/>
    <x v="2"/>
    <n v="12"/>
    <n v="4209"/>
    <n v="0.09"/>
    <x v="95"/>
    <s v="Venta Grande"/>
    <s v="LG Electronics"/>
    <x v="0"/>
    <s v="ALM-02"/>
  </r>
  <r>
    <n v="333"/>
    <d v="2024-11-28T00:00:00"/>
    <x v="2"/>
    <s v="Cafetera Eléctrica"/>
    <x v="1"/>
    <x v="2"/>
    <n v="11"/>
    <n v="4203"/>
    <n v="7.0000000000000007E-2"/>
    <x v="96"/>
    <s v="Venta Grande"/>
    <s v="LG Electronics"/>
    <x v="0"/>
    <s v="ALM-02"/>
  </r>
  <r>
    <n v="374"/>
    <d v="2025-01-08T00:00:00"/>
    <x v="4"/>
    <s v="Smart TV 50&quot;"/>
    <x v="0"/>
    <x v="4"/>
    <n v="20"/>
    <n v="4187"/>
    <n v="0.05"/>
    <x v="97"/>
    <s v="Venta Grande"/>
    <s v="LG Electronics"/>
    <x v="2"/>
    <s v="ALM-01"/>
  </r>
  <r>
    <n v="24"/>
    <d v="2024-01-24T00:00:00"/>
    <x v="4"/>
    <s v="Celular Samsung"/>
    <x v="0"/>
    <x v="4"/>
    <n v="17"/>
    <n v="4185"/>
    <n v="0.11"/>
    <x v="98"/>
    <s v="Venta Grande"/>
    <s v="Samsung Oficial"/>
    <x v="2"/>
    <s v="ALM-01"/>
  </r>
  <r>
    <n v="100"/>
    <d v="2024-04-09T00:00:00"/>
    <x v="3"/>
    <s v="Smart TV 50&quot;"/>
    <x v="0"/>
    <x v="3"/>
    <n v="16"/>
    <n v="269"/>
    <n v="0.12"/>
    <x v="99"/>
    <s v="Venta Normal"/>
    <s v="LG Electronics"/>
    <x v="1"/>
    <m/>
  </r>
  <r>
    <n v="92"/>
    <d v="2024-04-01T00:00:00"/>
    <x v="1"/>
    <s v="Monitor 24&quot;"/>
    <x v="2"/>
    <x v="1"/>
    <n v="7"/>
    <n v="4161"/>
    <n v="0.04"/>
    <x v="100"/>
    <s v="Venta Grande"/>
    <s v="Office Design"/>
    <x v="0"/>
    <s v="ALM-03"/>
  </r>
  <r>
    <n v="497"/>
    <d v="2025-05-11T00:00:00"/>
    <x v="1"/>
    <s v="Celular Samsung"/>
    <x v="0"/>
    <x v="1"/>
    <n v="18"/>
    <n v="4158"/>
    <n v="0.01"/>
    <x v="101"/>
    <s v="Venta Grande"/>
    <s v="Samsung Oficial"/>
    <x v="2"/>
    <s v="ALM-01"/>
  </r>
  <r>
    <n v="341"/>
    <d v="2024-12-06T00:00:00"/>
    <x v="0"/>
    <s v="Smart TV 50&quot;"/>
    <x v="0"/>
    <x v="0"/>
    <n v="2"/>
    <n v="4155"/>
    <n v="0.14000000000000001"/>
    <x v="102"/>
    <s v="Venta Grande"/>
    <s v="LG Electronics"/>
    <x v="0"/>
    <s v="ALM-01"/>
  </r>
  <r>
    <n v="86"/>
    <d v="2024-03-26T00:00:00"/>
    <x v="0"/>
    <s v="Licuadora de Mano"/>
    <x v="1"/>
    <x v="0"/>
    <n v="7"/>
    <n v="4146"/>
    <n v="7.0000000000000007E-2"/>
    <x v="103"/>
    <s v="Venta Grande"/>
    <s v="LG Electronics"/>
    <x v="0"/>
    <s v="ALM-02"/>
  </r>
  <r>
    <n v="105"/>
    <d v="2024-04-14T00:00:00"/>
    <x v="3"/>
    <s v="Aspiradora Robot"/>
    <x v="1"/>
    <x v="3"/>
    <n v="8"/>
    <n v="242"/>
    <n v="0.08"/>
    <x v="104"/>
    <s v="Venta Normal"/>
    <s v="Samsung Oficial"/>
    <x v="1"/>
    <m/>
  </r>
  <r>
    <n v="237"/>
    <d v="2024-08-24T00:00:00"/>
    <x v="1"/>
    <s v="Aspiradora Robot"/>
    <x v="1"/>
    <x v="1"/>
    <n v="5"/>
    <n v="4145"/>
    <n v="0.06"/>
    <x v="105"/>
    <s v="Venta Grande"/>
    <s v="Samsung Oficial"/>
    <x v="0"/>
    <s v="ALM-02"/>
  </r>
  <r>
    <n v="216"/>
    <d v="2024-08-03T00:00:00"/>
    <x v="0"/>
    <s v="Silla Ergonómica"/>
    <x v="2"/>
    <x v="0"/>
    <n v="4"/>
    <n v="4138"/>
    <n v="0.13"/>
    <x v="106"/>
    <s v="Venta Grande"/>
    <s v="LG Electronics"/>
    <x v="0"/>
    <s v="ALM-03"/>
  </r>
  <r>
    <n v="263"/>
    <d v="2024-09-19T00:00:00"/>
    <x v="2"/>
    <s v="Teclado Mecánico"/>
    <x v="2"/>
    <x v="2"/>
    <n v="10"/>
    <n v="4137"/>
    <n v="0.04"/>
    <x v="107"/>
    <s v="Venta Grande"/>
    <s v="Samsung Oficial"/>
    <x v="0"/>
    <s v="ALM-03"/>
  </r>
  <r>
    <n v="304"/>
    <d v="2024-10-30T00:00:00"/>
    <x v="4"/>
    <s v="Silla Ergonómica"/>
    <x v="2"/>
    <x v="4"/>
    <n v="3"/>
    <n v="4123"/>
    <n v="0.04"/>
    <x v="108"/>
    <s v="Venta Grande"/>
    <s v="LG Electronics"/>
    <x v="0"/>
    <s v="ALM-03"/>
  </r>
  <r>
    <n v="110"/>
    <d v="2024-04-19T00:00:00"/>
    <x v="3"/>
    <s v="Smart TV 50&quot;"/>
    <x v="0"/>
    <x v="3"/>
    <n v="1"/>
    <n v="1676"/>
    <n v="0.04"/>
    <x v="109"/>
    <s v="Venta Normal"/>
    <s v="LG Electronics"/>
    <x v="1"/>
    <m/>
  </r>
  <r>
    <n v="44"/>
    <d v="2024-02-13T00:00:00"/>
    <x v="4"/>
    <s v="Smart TV 50&quot;"/>
    <x v="0"/>
    <x v="4"/>
    <n v="4"/>
    <n v="4121"/>
    <n v="0.05"/>
    <x v="110"/>
    <s v="Venta Grande"/>
    <s v="LG Electronics"/>
    <x v="0"/>
    <s v="ALM-01"/>
  </r>
  <r>
    <n v="425"/>
    <d v="2025-02-28T00:00:00"/>
    <x v="3"/>
    <s v="Silla Ergonómica"/>
    <x v="2"/>
    <x v="3"/>
    <n v="11"/>
    <n v="4115"/>
    <n v="0.01"/>
    <x v="111"/>
    <s v="Venta Grande"/>
    <s v="LG Electronics"/>
    <x v="0"/>
    <s v="ALM-03"/>
  </r>
  <r>
    <n v="156"/>
    <d v="2024-06-04T00:00:00"/>
    <x v="0"/>
    <s v="Celular Samsung"/>
    <x v="0"/>
    <x v="0"/>
    <n v="7"/>
    <n v="4111"/>
    <n v="7.0000000000000007E-2"/>
    <x v="112"/>
    <s v="Venta Grande"/>
    <s v="Samsung Oficial"/>
    <x v="2"/>
    <s v="ALM-01"/>
  </r>
  <r>
    <n v="193"/>
    <d v="2024-07-11T00:00:00"/>
    <x v="2"/>
    <s v="Aspiradora Robot"/>
    <x v="1"/>
    <x v="2"/>
    <n v="16"/>
    <n v="4107"/>
    <n v="0.11"/>
    <x v="113"/>
    <s v="Venta Grande"/>
    <s v="Samsung Oficial"/>
    <x v="0"/>
    <s v="ALM-02"/>
  </r>
  <r>
    <n v="161"/>
    <d v="2024-06-09T00:00:00"/>
    <x v="0"/>
    <s v="Silla Ergonómica"/>
    <x v="2"/>
    <x v="0"/>
    <n v="9"/>
    <n v="4088"/>
    <n v="0.06"/>
    <x v="114"/>
    <s v="Venta Grande"/>
    <s v="LG Electronics"/>
    <x v="0"/>
    <s v="ALM-03"/>
  </r>
  <r>
    <n v="78"/>
    <d v="2024-03-18T00:00:00"/>
    <x v="2"/>
    <s v="Smart TV 50&quot;"/>
    <x v="0"/>
    <x v="2"/>
    <n v="6"/>
    <n v="4085"/>
    <n v="7.0000000000000007E-2"/>
    <x v="115"/>
    <s v="Venta Grande"/>
    <s v="LG Electronics"/>
    <x v="2"/>
    <s v="ALM-01"/>
  </r>
  <r>
    <n v="65"/>
    <d v="2024-03-05T00:00:00"/>
    <x v="3"/>
    <s v="Teclado Mecánico"/>
    <x v="2"/>
    <x v="3"/>
    <n v="7"/>
    <n v="4070"/>
    <n v="0.05"/>
    <x v="116"/>
    <s v="Venta Grande"/>
    <s v="Samsung Oficial"/>
    <x v="0"/>
    <s v="ALM-03"/>
  </r>
  <r>
    <n v="337"/>
    <d v="2024-12-02T00:00:00"/>
    <x v="1"/>
    <s v="Silla Ergonómica"/>
    <x v="2"/>
    <x v="1"/>
    <n v="9"/>
    <n v="4048"/>
    <n v="0.05"/>
    <x v="117"/>
    <s v="Venta Grande"/>
    <s v="LG Electronics"/>
    <x v="0"/>
    <s v="ALM-03"/>
  </r>
  <r>
    <n v="171"/>
    <d v="2024-06-19T00:00:00"/>
    <x v="0"/>
    <s v="Aspiradora Robot"/>
    <x v="1"/>
    <x v="0"/>
    <n v="17"/>
    <n v="4045"/>
    <n v="0.05"/>
    <x v="118"/>
    <s v="Venta Grande"/>
    <s v="Samsung Oficial"/>
    <x v="0"/>
    <s v="ALM-02"/>
  </r>
  <r>
    <n v="490"/>
    <d v="2025-05-04T00:00:00"/>
    <x v="3"/>
    <s v="Aspiradora Robot"/>
    <x v="1"/>
    <x v="3"/>
    <n v="19"/>
    <n v="4037"/>
    <n v="0.03"/>
    <x v="119"/>
    <s v="Venta Grande"/>
    <s v="Samsung Oficial"/>
    <x v="0"/>
    <s v="ALM-02"/>
  </r>
  <r>
    <n v="162"/>
    <d v="2024-06-10T00:00:00"/>
    <x v="1"/>
    <s v="Tablet Lenovo"/>
    <x v="0"/>
    <x v="1"/>
    <n v="4"/>
    <n v="4005"/>
    <n v="0.15"/>
    <x v="120"/>
    <s v="Venta Grande"/>
    <s v="Office Design"/>
    <x v="0"/>
    <s v="ALM-01"/>
  </r>
  <r>
    <n v="109"/>
    <d v="2024-04-18T00:00:00"/>
    <x v="4"/>
    <s v="Teclado Mecánico"/>
    <x v="2"/>
    <x v="4"/>
    <n v="3"/>
    <n v="3993"/>
    <n v="0.12"/>
    <x v="121"/>
    <s v="Venta Grande"/>
    <s v="Samsung Oficial"/>
    <x v="0"/>
    <s v="ALM-03"/>
  </r>
  <r>
    <n v="123"/>
    <d v="2024-05-02T00:00:00"/>
    <x v="2"/>
    <s v="Celular Samsung"/>
    <x v="0"/>
    <x v="2"/>
    <n v="8"/>
    <n v="249"/>
    <n v="0.04"/>
    <x v="122"/>
    <s v="Venta Normal"/>
    <s v="Samsung Oficial"/>
    <x v="1"/>
    <m/>
  </r>
  <r>
    <n v="107"/>
    <d v="2024-04-16T00:00:00"/>
    <x v="1"/>
    <s v="Tablet Lenovo"/>
    <x v="0"/>
    <x v="1"/>
    <n v="17"/>
    <n v="3955"/>
    <n v="0.04"/>
    <x v="123"/>
    <s v="Venta Grande"/>
    <s v="Office Design"/>
    <x v="2"/>
    <s v="ALM-01"/>
  </r>
  <r>
    <n v="83"/>
    <d v="2024-03-23T00:00:00"/>
    <x v="2"/>
    <s v="Aspiradora Robot"/>
    <x v="1"/>
    <x v="2"/>
    <n v="15"/>
    <n v="3942"/>
    <n v="0.14000000000000001"/>
    <x v="124"/>
    <s v="Venta Grande"/>
    <s v="Samsung Oficial"/>
    <x v="0"/>
    <s v="ALM-02"/>
  </r>
  <r>
    <n v="126"/>
    <d v="2024-05-05T00:00:00"/>
    <x v="0"/>
    <s v="Auriculares Bluetooth"/>
    <x v="0"/>
    <x v="0"/>
    <n v="8"/>
    <n v="261"/>
    <n v="0.15"/>
    <x v="125"/>
    <s v="Venta Normal"/>
    <s v="LG Electronics"/>
    <x v="1"/>
    <m/>
  </r>
  <r>
    <n v="32"/>
    <d v="2024-02-01T00:00:00"/>
    <x v="1"/>
    <s v="Teclado Mecánico"/>
    <x v="2"/>
    <x v="1"/>
    <n v="14"/>
    <n v="3937"/>
    <n v="0.1"/>
    <x v="126"/>
    <s v="Venta Grande"/>
    <s v="Samsung Oficial"/>
    <x v="0"/>
    <s v="ALM-03"/>
  </r>
  <r>
    <n v="57"/>
    <d v="2024-02-26T00:00:00"/>
    <x v="1"/>
    <s v="Celular Samsung"/>
    <x v="0"/>
    <x v="1"/>
    <n v="19"/>
    <n v="3936"/>
    <n v="7.0000000000000007E-2"/>
    <x v="127"/>
    <s v="Venta Grande"/>
    <s v="Samsung Oficial"/>
    <x v="2"/>
    <s v="ALM-01"/>
  </r>
  <r>
    <n v="129"/>
    <d v="2024-05-08T00:00:00"/>
    <x v="4"/>
    <s v="Tablet Lenovo"/>
    <x v="0"/>
    <x v="4"/>
    <n v="6"/>
    <n v="527"/>
    <n v="0.13"/>
    <x v="128"/>
    <s v="Venta Normal"/>
    <s v="Office Design"/>
    <x v="1"/>
    <m/>
  </r>
  <r>
    <n v="446"/>
    <d v="2025-03-21T00:00:00"/>
    <x v="0"/>
    <s v="Aspiradora Robot"/>
    <x v="1"/>
    <x v="0"/>
    <n v="16"/>
    <n v="3934"/>
    <n v="0.01"/>
    <x v="129"/>
    <s v="Venta Grande"/>
    <s v="Samsung Oficial"/>
    <x v="0"/>
    <s v="ALM-02"/>
  </r>
  <r>
    <n v="131"/>
    <d v="2024-05-10T00:00:00"/>
    <x v="0"/>
    <s v="Teclado Mecánico"/>
    <x v="2"/>
    <x v="0"/>
    <n v="2"/>
    <n v="1657"/>
    <n v="0.03"/>
    <x v="130"/>
    <s v="Venta Normal"/>
    <s v="Samsung Oficial"/>
    <x v="1"/>
    <m/>
  </r>
  <r>
    <n v="493"/>
    <d v="2025-05-07T00:00:00"/>
    <x v="2"/>
    <s v="Licuadora de Mano"/>
    <x v="1"/>
    <x v="2"/>
    <n v="17"/>
    <n v="3933"/>
    <n v="0.12"/>
    <x v="131"/>
    <s v="Venta Grande"/>
    <s v="LG Electronics"/>
    <x v="0"/>
    <s v="ALM-02"/>
  </r>
  <r>
    <n v="14"/>
    <d v="2024-01-14T00:00:00"/>
    <x v="4"/>
    <s v="Cafetera Eléctrica"/>
    <x v="1"/>
    <x v="4"/>
    <n v="6"/>
    <n v="3906"/>
    <n v="0.05"/>
    <x v="132"/>
    <s v="Venta Grande"/>
    <s v="LG Electronics"/>
    <x v="0"/>
    <s v="ALM-02"/>
  </r>
  <r>
    <n v="134"/>
    <d v="2024-05-13T00:00:00"/>
    <x v="4"/>
    <s v="Celular Samsung"/>
    <x v="0"/>
    <x v="4"/>
    <n v="2"/>
    <n v="1012"/>
    <n v="0.08"/>
    <x v="133"/>
    <s v="Venta Normal"/>
    <s v="Samsung Oficial"/>
    <x v="1"/>
    <m/>
  </r>
  <r>
    <n v="315"/>
    <d v="2024-11-10T00:00:00"/>
    <x v="3"/>
    <s v="Silla Ergonómica"/>
    <x v="2"/>
    <x v="3"/>
    <n v="10"/>
    <n v="3900"/>
    <n v="0"/>
    <x v="134"/>
    <s v="Venta Grande"/>
    <s v="LG Electronics"/>
    <x v="0"/>
    <s v="ALM-03"/>
  </r>
  <r>
    <n v="403"/>
    <d v="2025-02-06T00:00:00"/>
    <x v="2"/>
    <s v="Silla Ergonómica"/>
    <x v="2"/>
    <x v="2"/>
    <n v="6"/>
    <n v="3900"/>
    <n v="0.02"/>
    <x v="135"/>
    <s v="Venta Grande"/>
    <s v="LG Electronics"/>
    <x v="0"/>
    <s v="ALM-03"/>
  </r>
  <r>
    <n v="296"/>
    <d v="2024-10-22T00:00:00"/>
    <x v="0"/>
    <s v="Teclado Mecánico"/>
    <x v="2"/>
    <x v="0"/>
    <n v="12"/>
    <n v="3886"/>
    <n v="0.04"/>
    <x v="136"/>
    <s v="Venta Grande"/>
    <s v="Samsung Oficial"/>
    <x v="0"/>
    <s v="ALM-03"/>
  </r>
  <r>
    <n v="138"/>
    <d v="2024-05-17T00:00:00"/>
    <x v="2"/>
    <s v="Aspiradora Robot"/>
    <x v="1"/>
    <x v="2"/>
    <n v="11"/>
    <n v="186"/>
    <n v="7.0000000000000007E-2"/>
    <x v="137"/>
    <s v="Venta Normal"/>
    <s v="Samsung Oficial"/>
    <x v="1"/>
    <m/>
  </r>
  <r>
    <n v="454"/>
    <d v="2025-03-29T00:00:00"/>
    <x v="4"/>
    <s v="Cafetera Eléctrica"/>
    <x v="1"/>
    <x v="4"/>
    <n v="8"/>
    <n v="3886"/>
    <n v="0.04"/>
    <x v="138"/>
    <s v="Venta Grande"/>
    <s v="LG Electronics"/>
    <x v="0"/>
    <s v="ALM-02"/>
  </r>
  <r>
    <n v="267"/>
    <d v="2024-09-23T00:00:00"/>
    <x v="1"/>
    <s v="Cafetera Eléctrica"/>
    <x v="1"/>
    <x v="1"/>
    <n v="10"/>
    <n v="3875"/>
    <n v="0.05"/>
    <x v="139"/>
    <s v="Venta Grande"/>
    <s v="LG Electronics"/>
    <x v="0"/>
    <s v="ALM-02"/>
  </r>
  <r>
    <n v="141"/>
    <d v="2024-05-20T00:00:00"/>
    <x v="0"/>
    <s v="Licuadora de Mano"/>
    <x v="1"/>
    <x v="0"/>
    <n v="1"/>
    <n v="4474"/>
    <n v="0.1"/>
    <x v="140"/>
    <s v="Venta Normal"/>
    <s v="LG Electronics"/>
    <x v="1"/>
    <m/>
  </r>
  <r>
    <n v="142"/>
    <d v="2024-05-21T00:00:00"/>
    <x v="1"/>
    <s v="Teclado Mecánico"/>
    <x v="2"/>
    <x v="1"/>
    <n v="1"/>
    <n v="4667"/>
    <n v="0.13"/>
    <x v="141"/>
    <s v="Venta Normal"/>
    <s v="Samsung Oficial"/>
    <x v="1"/>
    <m/>
  </r>
  <r>
    <n v="449"/>
    <d v="2025-03-24T00:00:00"/>
    <x v="4"/>
    <s v="Licuadora de Mano"/>
    <x v="1"/>
    <x v="4"/>
    <n v="15"/>
    <n v="3875"/>
    <n v="0.11"/>
    <x v="142"/>
    <s v="Venta Grande"/>
    <s v="LG Electronics"/>
    <x v="0"/>
    <s v="ALM-02"/>
  </r>
  <r>
    <n v="324"/>
    <d v="2024-11-19T00:00:00"/>
    <x v="4"/>
    <s v="Auriculares Bluetooth"/>
    <x v="0"/>
    <x v="4"/>
    <n v="11"/>
    <n v="3853"/>
    <n v="0.02"/>
    <x v="143"/>
    <s v="Venta Grande"/>
    <s v="LG Electronics"/>
    <x v="2"/>
    <s v="ALM-01"/>
  </r>
  <r>
    <n v="139"/>
    <d v="2024-05-18T00:00:00"/>
    <x v="4"/>
    <s v="Silla Ergonómica"/>
    <x v="2"/>
    <x v="4"/>
    <n v="14"/>
    <n v="3844"/>
    <n v="0.02"/>
    <x v="144"/>
    <s v="Venta Grande"/>
    <s v="LG Electronics"/>
    <x v="0"/>
    <s v="ALM-03"/>
  </r>
  <r>
    <n v="436"/>
    <d v="2025-03-11T00:00:00"/>
    <x v="0"/>
    <s v="Silla Ergonómica"/>
    <x v="2"/>
    <x v="0"/>
    <n v="8"/>
    <n v="3841"/>
    <n v="0.13"/>
    <x v="145"/>
    <s v="Venta Grande"/>
    <s v="LG Electronics"/>
    <x v="0"/>
    <s v="ALM-03"/>
  </r>
  <r>
    <n v="147"/>
    <d v="2024-05-26T00:00:00"/>
    <x v="1"/>
    <s v="Monitor 24&quot;"/>
    <x v="2"/>
    <x v="1"/>
    <n v="1"/>
    <n v="606"/>
    <n v="0.11"/>
    <x v="146"/>
    <s v="Venta Normal"/>
    <s v="Office Design"/>
    <x v="1"/>
    <m/>
  </r>
  <r>
    <n v="461"/>
    <d v="2025-04-05T00:00:00"/>
    <x v="0"/>
    <s v="Teclado Mecánico"/>
    <x v="2"/>
    <x v="0"/>
    <n v="9"/>
    <n v="3827"/>
    <n v="0.06"/>
    <x v="147"/>
    <s v="Venta Grande"/>
    <s v="Samsung Oficial"/>
    <x v="0"/>
    <s v="ALM-03"/>
  </r>
  <r>
    <n v="415"/>
    <d v="2025-02-18T00:00:00"/>
    <x v="3"/>
    <s v="Tablet Lenovo"/>
    <x v="0"/>
    <x v="3"/>
    <n v="4"/>
    <n v="3822"/>
    <n v="0.03"/>
    <x v="148"/>
    <s v="Venta Grande"/>
    <s v="Office Design"/>
    <x v="0"/>
    <s v="ALM-01"/>
  </r>
  <r>
    <n v="362"/>
    <d v="2024-12-27T00:00:00"/>
    <x v="1"/>
    <s v="Teclado Mecánico"/>
    <x v="2"/>
    <x v="1"/>
    <n v="9"/>
    <n v="3819"/>
    <n v="0.13"/>
    <x v="149"/>
    <s v="Venta Grande"/>
    <s v="Samsung Oficial"/>
    <x v="0"/>
    <s v="ALM-03"/>
  </r>
  <r>
    <n v="318"/>
    <d v="2024-11-13T00:00:00"/>
    <x v="2"/>
    <s v="Teclado Mecánico"/>
    <x v="2"/>
    <x v="2"/>
    <n v="16"/>
    <n v="3805"/>
    <n v="0.11"/>
    <x v="150"/>
    <s v="Venta Grande"/>
    <s v="Samsung Oficial"/>
    <x v="0"/>
    <s v="ALM-03"/>
  </r>
  <r>
    <n v="465"/>
    <d v="2025-04-09T00:00:00"/>
    <x v="3"/>
    <s v="Cafetera Eléctrica"/>
    <x v="1"/>
    <x v="3"/>
    <n v="12"/>
    <n v="3798"/>
    <n v="0.01"/>
    <x v="151"/>
    <s v="Venta Grande"/>
    <s v="LG Electronics"/>
    <x v="0"/>
    <s v="ALM-02"/>
  </r>
  <r>
    <n v="260"/>
    <d v="2024-09-16T00:00:00"/>
    <x v="3"/>
    <s v="Silla Ergonómica"/>
    <x v="2"/>
    <x v="3"/>
    <n v="13"/>
    <n v="3796"/>
    <n v="0.09"/>
    <x v="152"/>
    <s v="Venta Grande"/>
    <s v="LG Electronics"/>
    <x v="0"/>
    <s v="ALM-03"/>
  </r>
  <r>
    <n v="378"/>
    <d v="2025-01-12T00:00:00"/>
    <x v="2"/>
    <s v="Monitor 24&quot;"/>
    <x v="2"/>
    <x v="2"/>
    <n v="11"/>
    <n v="3790"/>
    <n v="0.13"/>
    <x v="153"/>
    <s v="Venta Grande"/>
    <s v="Office Design"/>
    <x v="0"/>
    <s v="ALM-03"/>
  </r>
  <r>
    <n v="9"/>
    <d v="2024-01-09T00:00:00"/>
    <x v="4"/>
    <s v="Licuadora de Mano"/>
    <x v="1"/>
    <x v="4"/>
    <n v="19"/>
    <n v="3782"/>
    <n v="0.08"/>
    <x v="154"/>
    <s v="Venta Grande"/>
    <s v="LG Electronics"/>
    <x v="0"/>
    <s v="ALM-02"/>
  </r>
  <r>
    <n v="191"/>
    <d v="2024-07-09T00:00:00"/>
    <x v="0"/>
    <s v="Monitor 24&quot;"/>
    <x v="2"/>
    <x v="0"/>
    <n v="4"/>
    <n v="3765"/>
    <n v="0.06"/>
    <x v="155"/>
    <s v="Venta Grande"/>
    <s v="Office Design"/>
    <x v="0"/>
    <s v="ALM-03"/>
  </r>
  <r>
    <n v="146"/>
    <d v="2024-05-25T00:00:00"/>
    <x v="0"/>
    <s v="Cafetera Eléctrica"/>
    <x v="1"/>
    <x v="0"/>
    <n v="15"/>
    <n v="3747"/>
    <n v="0.14000000000000001"/>
    <x v="156"/>
    <s v="Venta Grande"/>
    <s v="LG Electronics"/>
    <x v="0"/>
    <s v="ALM-02"/>
  </r>
  <r>
    <n v="22"/>
    <d v="2024-01-22T00:00:00"/>
    <x v="1"/>
    <s v="Smart TV 50&quot;"/>
    <x v="0"/>
    <x v="1"/>
    <n v="14"/>
    <n v="3744"/>
    <n v="0.01"/>
    <x v="157"/>
    <s v="Venta Grande"/>
    <s v="LG Electronics"/>
    <x v="2"/>
    <s v="ALM-01"/>
  </r>
  <r>
    <n v="159"/>
    <d v="2024-06-07T00:00:00"/>
    <x v="4"/>
    <s v="Auriculares Bluetooth"/>
    <x v="0"/>
    <x v="4"/>
    <n v="1"/>
    <n v="120"/>
    <n v="0.08"/>
    <x v="158"/>
    <s v="Venta Normal"/>
    <s v="LG Electronics"/>
    <x v="1"/>
    <m/>
  </r>
  <r>
    <n v="46"/>
    <d v="2024-02-15T00:00:00"/>
    <x v="0"/>
    <s v="Celular Samsung"/>
    <x v="0"/>
    <x v="0"/>
    <n v="9"/>
    <n v="3733"/>
    <n v="0.04"/>
    <x v="159"/>
    <s v="Venta Grande"/>
    <s v="Samsung Oficial"/>
    <x v="2"/>
    <s v="ALM-01"/>
  </r>
  <r>
    <n v="180"/>
    <d v="2024-06-28T00:00:00"/>
    <x v="3"/>
    <s v="Monitor 24&quot;"/>
    <x v="2"/>
    <x v="3"/>
    <n v="10"/>
    <n v="3711"/>
    <n v="7.0000000000000007E-2"/>
    <x v="160"/>
    <s v="Venta Grande"/>
    <s v="Office Design"/>
    <x v="0"/>
    <s v="ALM-03"/>
  </r>
  <r>
    <n v="345"/>
    <d v="2024-12-10T00:00:00"/>
    <x v="3"/>
    <s v="Monitor 24&quot;"/>
    <x v="2"/>
    <x v="3"/>
    <n v="4"/>
    <n v="3707"/>
    <n v="0.01"/>
    <x v="161"/>
    <s v="Venta Grande"/>
    <s v="Office Design"/>
    <x v="0"/>
    <s v="ALM-03"/>
  </r>
  <r>
    <n v="163"/>
    <d v="2024-06-11T00:00:00"/>
    <x v="2"/>
    <s v="Licuadora de Mano"/>
    <x v="1"/>
    <x v="2"/>
    <n v="1"/>
    <n v="751"/>
    <n v="0.1"/>
    <x v="162"/>
    <s v="Venta Normal"/>
    <s v="LG Electronics"/>
    <x v="1"/>
    <m/>
  </r>
  <r>
    <n v="164"/>
    <d v="2024-06-12T00:00:00"/>
    <x v="4"/>
    <s v="Teclado Mecánico"/>
    <x v="2"/>
    <x v="4"/>
    <n v="12"/>
    <n v="323"/>
    <n v="0.06"/>
    <x v="163"/>
    <s v="Venta Normal"/>
    <s v="Samsung Oficial"/>
    <x v="1"/>
    <m/>
  </r>
  <r>
    <n v="501"/>
    <d v="2025-05-15T00:00:00"/>
    <x v="0"/>
    <s v="Aspiradora Robot"/>
    <x v="1"/>
    <x v="0"/>
    <n v="12"/>
    <n v="3691"/>
    <n v="0"/>
    <x v="164"/>
    <s v="Venta Grande"/>
    <s v="Samsung Oficial"/>
    <x v="0"/>
    <s v="ALM-02"/>
  </r>
  <r>
    <n v="76"/>
    <d v="2024-03-16T00:00:00"/>
    <x v="0"/>
    <s v="Teclado Mecánico"/>
    <x v="2"/>
    <x v="0"/>
    <n v="11"/>
    <n v="3690"/>
    <n v="0.04"/>
    <x v="165"/>
    <s v="Venta Grande"/>
    <s v="Samsung Oficial"/>
    <x v="0"/>
    <s v="ALM-03"/>
  </r>
  <r>
    <n v="160"/>
    <d v="2024-06-08T00:00:00"/>
    <x v="3"/>
    <s v="Aspiradora Robot"/>
    <x v="1"/>
    <x v="3"/>
    <n v="11"/>
    <n v="3679"/>
    <n v="0.13"/>
    <x v="166"/>
    <s v="Venta Grande"/>
    <s v="Samsung Oficial"/>
    <x v="0"/>
    <s v="ALM-02"/>
  </r>
  <r>
    <n v="168"/>
    <d v="2024-06-16T00:00:00"/>
    <x v="2"/>
    <s v="Cafetera Eléctrica"/>
    <x v="1"/>
    <x v="2"/>
    <n v="3"/>
    <n v="547"/>
    <n v="0.02"/>
    <x v="167"/>
    <s v="Venta Normal"/>
    <s v="LG Electronics"/>
    <x v="1"/>
    <m/>
  </r>
  <r>
    <n v="67"/>
    <d v="2024-03-07T00:00:00"/>
    <x v="1"/>
    <s v="Smart TV 50&quot;"/>
    <x v="0"/>
    <x v="1"/>
    <n v="9"/>
    <n v="3660"/>
    <n v="0.06"/>
    <x v="168"/>
    <s v="Venta Grande"/>
    <s v="LG Electronics"/>
    <x v="2"/>
    <s v="ALM-01"/>
  </r>
  <r>
    <n v="243"/>
    <d v="2024-08-30T00:00:00"/>
    <x v="2"/>
    <s v="Smart TV 50&quot;"/>
    <x v="0"/>
    <x v="2"/>
    <n v="12"/>
    <n v="3653"/>
    <n v="0.02"/>
    <x v="169"/>
    <s v="Venta Grande"/>
    <s v="LG Electronics"/>
    <x v="2"/>
    <s v="ALM-01"/>
  </r>
  <r>
    <n v="485"/>
    <d v="2025-04-29T00:00:00"/>
    <x v="3"/>
    <s v="Smart TV 50&quot;"/>
    <x v="0"/>
    <x v="3"/>
    <n v="16"/>
    <n v="3643"/>
    <n v="0.09"/>
    <x v="170"/>
    <s v="Venta Grande"/>
    <s v="LG Electronics"/>
    <x v="2"/>
    <s v="ALM-01"/>
  </r>
  <r>
    <n v="199"/>
    <d v="2024-07-17T00:00:00"/>
    <x v="4"/>
    <s v="Smart TV 50&quot;"/>
    <x v="0"/>
    <x v="4"/>
    <n v="7"/>
    <n v="3634"/>
    <n v="0.04"/>
    <x v="171"/>
    <s v="Venta Grande"/>
    <s v="LG Electronics"/>
    <x v="2"/>
    <s v="ALM-01"/>
  </r>
  <r>
    <n v="53"/>
    <d v="2024-02-22T00:00:00"/>
    <x v="2"/>
    <s v="Licuadora de Mano"/>
    <x v="1"/>
    <x v="2"/>
    <n v="9"/>
    <n v="3621"/>
    <n v="0.04"/>
    <x v="172"/>
    <s v="Venta Grande"/>
    <s v="LG Electronics"/>
    <x v="0"/>
    <s v="ALM-02"/>
  </r>
  <r>
    <n v="116"/>
    <d v="2024-04-25T00:00:00"/>
    <x v="0"/>
    <s v="Aspiradora Robot"/>
    <x v="1"/>
    <x v="0"/>
    <n v="14"/>
    <n v="3614"/>
    <n v="0.03"/>
    <x v="173"/>
    <s v="Venta Grande"/>
    <s v="Samsung Oficial"/>
    <x v="0"/>
    <s v="ALM-02"/>
  </r>
  <r>
    <n v="122"/>
    <d v="2024-05-01T00:00:00"/>
    <x v="1"/>
    <s v="Smart TV 50&quot;"/>
    <x v="0"/>
    <x v="1"/>
    <n v="15"/>
    <n v="3613"/>
    <n v="0.06"/>
    <x v="174"/>
    <s v="Venta Grande"/>
    <s v="LG Electronics"/>
    <x v="2"/>
    <s v="ALM-01"/>
  </r>
  <r>
    <n v="21"/>
    <d v="2024-01-21T00:00:00"/>
    <x v="0"/>
    <s v="Teclado Mecánico"/>
    <x v="2"/>
    <x v="0"/>
    <n v="11"/>
    <n v="3586"/>
    <n v="0.05"/>
    <x v="175"/>
    <s v="Venta Grande"/>
    <s v="Samsung Oficial"/>
    <x v="0"/>
    <s v="ALM-03"/>
  </r>
  <r>
    <n v="143"/>
    <d v="2024-05-22T00:00:00"/>
    <x v="2"/>
    <s v="Smart TV 50&quot;"/>
    <x v="0"/>
    <x v="2"/>
    <n v="12"/>
    <n v="3574"/>
    <n v="0.08"/>
    <x v="176"/>
    <s v="Venta Grande"/>
    <s v="LG Electronics"/>
    <x v="2"/>
    <s v="ALM-01"/>
  </r>
  <r>
    <n v="450"/>
    <d v="2025-03-25T00:00:00"/>
    <x v="3"/>
    <s v="Teclado Mecánico"/>
    <x v="2"/>
    <x v="3"/>
    <n v="6"/>
    <n v="3555"/>
    <n v="0.05"/>
    <x v="177"/>
    <s v="Venta Grande"/>
    <s v="Samsung Oficial"/>
    <x v="0"/>
    <s v="ALM-03"/>
  </r>
  <r>
    <n v="13"/>
    <d v="2024-01-13T00:00:00"/>
    <x v="2"/>
    <s v="Celular Samsung"/>
    <x v="0"/>
    <x v="2"/>
    <n v="12"/>
    <n v="3477"/>
    <n v="0.04"/>
    <x v="178"/>
    <s v="Venta Grande"/>
    <s v="Samsung Oficial"/>
    <x v="2"/>
    <s v="ALM-01"/>
  </r>
  <r>
    <n v="35"/>
    <d v="2024-02-04T00:00:00"/>
    <x v="3"/>
    <s v="Celular Samsung"/>
    <x v="0"/>
    <x v="3"/>
    <n v="4"/>
    <n v="3476"/>
    <n v="0.04"/>
    <x v="179"/>
    <s v="Venta Grande"/>
    <s v="Samsung Oficial"/>
    <x v="0"/>
    <s v="ALM-01"/>
  </r>
  <r>
    <n v="471"/>
    <d v="2025-04-15T00:00:00"/>
    <x v="0"/>
    <s v="Licuadora de Mano"/>
    <x v="1"/>
    <x v="0"/>
    <n v="5"/>
    <n v="3475"/>
    <n v="0.12"/>
    <x v="180"/>
    <s v="Venta Grande"/>
    <s v="LG Electronics"/>
    <x v="0"/>
    <s v="ALM-02"/>
  </r>
  <r>
    <n v="492"/>
    <d v="2025-05-06T00:00:00"/>
    <x v="1"/>
    <s v="Tablet Lenovo"/>
    <x v="0"/>
    <x v="1"/>
    <n v="12"/>
    <n v="3475"/>
    <n v="0.04"/>
    <x v="181"/>
    <s v="Venta Grande"/>
    <s v="Office Design"/>
    <x v="2"/>
    <s v="ALM-01"/>
  </r>
  <r>
    <n v="183"/>
    <d v="2024-07-01T00:00:00"/>
    <x v="2"/>
    <s v="Silla Ergonómica"/>
    <x v="2"/>
    <x v="2"/>
    <n v="1"/>
    <n v="1912"/>
    <n v="0.03"/>
    <x v="182"/>
    <s v="Venta Normal"/>
    <s v="LG Electronics"/>
    <x v="1"/>
    <m/>
  </r>
  <r>
    <n v="184"/>
    <d v="2024-07-02T00:00:00"/>
    <x v="4"/>
    <s v="Tablet Lenovo"/>
    <x v="0"/>
    <x v="4"/>
    <n v="3"/>
    <n v="669"/>
    <n v="0.14000000000000001"/>
    <x v="183"/>
    <s v="Venta Normal"/>
    <s v="Office Design"/>
    <x v="1"/>
    <m/>
  </r>
  <r>
    <n v="211"/>
    <d v="2024-07-29T00:00:00"/>
    <x v="0"/>
    <s v="Celular Samsung"/>
    <x v="0"/>
    <x v="0"/>
    <n v="3"/>
    <n v="3456"/>
    <n v="0.04"/>
    <x v="184"/>
    <s v="Venta Grande"/>
    <s v="Samsung Oficial"/>
    <x v="0"/>
    <s v="ALM-01"/>
  </r>
  <r>
    <n v="429"/>
    <d v="2025-03-04T00:00:00"/>
    <x v="4"/>
    <s v="Smart TV 50&quot;"/>
    <x v="0"/>
    <x v="4"/>
    <n v="18"/>
    <n v="3454"/>
    <n v="0.11"/>
    <x v="185"/>
    <s v="Venta Grande"/>
    <s v="LG Electronics"/>
    <x v="2"/>
    <s v="ALM-01"/>
  </r>
  <r>
    <n v="426"/>
    <d v="2025-03-01T00:00:00"/>
    <x v="0"/>
    <s v="Tablet Lenovo"/>
    <x v="0"/>
    <x v="0"/>
    <n v="18"/>
    <n v="3426"/>
    <n v="0.04"/>
    <x v="186"/>
    <s v="Venta Grande"/>
    <s v="Office Design"/>
    <x v="2"/>
    <s v="ALM-01"/>
  </r>
  <r>
    <n v="128"/>
    <d v="2024-05-07T00:00:00"/>
    <x v="2"/>
    <s v="Silla Ergonómica"/>
    <x v="2"/>
    <x v="2"/>
    <n v="9"/>
    <n v="3403"/>
    <n v="0.06"/>
    <x v="187"/>
    <s v="Venta Grande"/>
    <s v="LG Electronics"/>
    <x v="0"/>
    <s v="ALM-03"/>
  </r>
  <r>
    <n v="103"/>
    <d v="2024-04-12T00:00:00"/>
    <x v="2"/>
    <s v="Monitor 24&quot;"/>
    <x v="2"/>
    <x v="2"/>
    <n v="13"/>
    <n v="3391"/>
    <n v="0.13"/>
    <x v="188"/>
    <s v="Venta Grande"/>
    <s v="Office Design"/>
    <x v="0"/>
    <s v="ALM-03"/>
  </r>
  <r>
    <n v="266"/>
    <d v="2024-09-22T00:00:00"/>
    <x v="0"/>
    <s v="Celular Samsung"/>
    <x v="0"/>
    <x v="0"/>
    <n v="16"/>
    <n v="3386"/>
    <n v="0.06"/>
    <x v="189"/>
    <s v="Venta Grande"/>
    <s v="Samsung Oficial"/>
    <x v="2"/>
    <s v="ALM-01"/>
  </r>
  <r>
    <n v="124"/>
    <d v="2024-05-03T00:00:00"/>
    <x v="4"/>
    <s v="Cafetera Eléctrica"/>
    <x v="1"/>
    <x v="4"/>
    <n v="19"/>
    <n v="3379"/>
    <n v="0.05"/>
    <x v="190"/>
    <s v="Venta Grande"/>
    <s v="LG Electronics"/>
    <x v="0"/>
    <s v="ALM-02"/>
  </r>
  <r>
    <n v="332"/>
    <d v="2024-11-27T00:00:00"/>
    <x v="1"/>
    <s v="Celular Samsung"/>
    <x v="0"/>
    <x v="1"/>
    <n v="7"/>
    <n v="3365"/>
    <n v="0.04"/>
    <x v="191"/>
    <s v="Venta Grande"/>
    <s v="Samsung Oficial"/>
    <x v="2"/>
    <s v="ALM-01"/>
  </r>
  <r>
    <n v="489"/>
    <d v="2025-05-03T00:00:00"/>
    <x v="4"/>
    <s v="Auriculares Bluetooth"/>
    <x v="0"/>
    <x v="4"/>
    <n v="15"/>
    <n v="3356"/>
    <n v="0.04"/>
    <x v="192"/>
    <s v="Venta Grande"/>
    <s v="LG Electronics"/>
    <x v="2"/>
    <s v="ALM-01"/>
  </r>
  <r>
    <n v="84"/>
    <d v="2024-03-24T00:00:00"/>
    <x v="4"/>
    <s v="Silla Ergonómica"/>
    <x v="2"/>
    <x v="4"/>
    <n v="5"/>
    <n v="3338"/>
    <n v="0.04"/>
    <x v="193"/>
    <s v="Venta Grande"/>
    <s v="LG Electronics"/>
    <x v="0"/>
    <s v="ALM-03"/>
  </r>
  <r>
    <n v="195"/>
    <d v="2024-07-13T00:00:00"/>
    <x v="3"/>
    <s v="Tablet Lenovo"/>
    <x v="0"/>
    <x v="3"/>
    <n v="4"/>
    <n v="883"/>
    <n v="0.13"/>
    <x v="194"/>
    <s v="Venta Normal"/>
    <s v="Office Design"/>
    <x v="1"/>
    <m/>
  </r>
  <r>
    <n v="437"/>
    <d v="2025-03-12T00:00:00"/>
    <x v="1"/>
    <s v="Tablet Lenovo"/>
    <x v="0"/>
    <x v="1"/>
    <n v="17"/>
    <n v="3333"/>
    <n v="0.09"/>
    <x v="195"/>
    <s v="Venta Grande"/>
    <s v="Office Design"/>
    <x v="2"/>
    <s v="ALM-01"/>
  </r>
  <r>
    <n v="149"/>
    <d v="2024-05-28T00:00:00"/>
    <x v="4"/>
    <s v="Aspiradora Robot"/>
    <x v="1"/>
    <x v="4"/>
    <n v="19"/>
    <n v="3330"/>
    <n v="0.13"/>
    <x v="196"/>
    <s v="Venta Grande"/>
    <s v="Samsung Oficial"/>
    <x v="0"/>
    <s v="ALM-02"/>
  </r>
  <r>
    <n v="289"/>
    <d v="2024-10-15T00:00:00"/>
    <x v="4"/>
    <s v="Cafetera Eléctrica"/>
    <x v="1"/>
    <x v="4"/>
    <n v="11"/>
    <n v="3329"/>
    <n v="0.12"/>
    <x v="197"/>
    <s v="Venta Grande"/>
    <s v="LG Electronics"/>
    <x v="0"/>
    <s v="ALM-02"/>
  </r>
  <r>
    <n v="245"/>
    <d v="2024-09-01T00:00:00"/>
    <x v="3"/>
    <s v="Cafetera Eléctrica"/>
    <x v="1"/>
    <x v="3"/>
    <n v="19"/>
    <n v="3326"/>
    <n v="0.05"/>
    <x v="198"/>
    <s v="Venta Grande"/>
    <s v="LG Electronics"/>
    <x v="0"/>
    <s v="ALM-02"/>
  </r>
  <r>
    <n v="112"/>
    <d v="2024-04-21T00:00:00"/>
    <x v="1"/>
    <s v="Celular Samsung"/>
    <x v="0"/>
    <x v="1"/>
    <n v="4"/>
    <n v="3317"/>
    <n v="0.09"/>
    <x v="199"/>
    <s v="Venta Grande"/>
    <s v="Samsung Oficial"/>
    <x v="0"/>
    <s v="ALM-01"/>
  </r>
  <r>
    <n v="119"/>
    <d v="2024-04-28T00:00:00"/>
    <x v="4"/>
    <s v="Licuadora de Mano"/>
    <x v="1"/>
    <x v="4"/>
    <n v="17"/>
    <n v="3317"/>
    <n v="0.08"/>
    <x v="200"/>
    <s v="Venta Grande"/>
    <s v="LG Electronics"/>
    <x v="0"/>
    <s v="ALM-02"/>
  </r>
  <r>
    <n v="202"/>
    <d v="2024-07-20T00:00:00"/>
    <x v="1"/>
    <s v="Monitor 24&quot;"/>
    <x v="2"/>
    <x v="1"/>
    <n v="1"/>
    <n v="4167"/>
    <n v="0.01"/>
    <x v="201"/>
    <s v="Venta Normal"/>
    <s v="Office Design"/>
    <x v="1"/>
    <m/>
  </r>
  <r>
    <n v="203"/>
    <d v="2024-07-21T00:00:00"/>
    <x v="2"/>
    <s v="Auriculares Bluetooth"/>
    <x v="0"/>
    <x v="2"/>
    <n v="2"/>
    <n v="2190"/>
    <n v="0.1"/>
    <x v="202"/>
    <s v="Venta Normal"/>
    <s v="LG Electronics"/>
    <x v="1"/>
    <m/>
  </r>
  <r>
    <n v="26"/>
    <d v="2024-01-26T00:00:00"/>
    <x v="0"/>
    <s v="Monitor 24&quot;"/>
    <x v="2"/>
    <x v="0"/>
    <n v="14"/>
    <n v="3300"/>
    <n v="0.08"/>
    <x v="203"/>
    <s v="Venta Grande"/>
    <s v="Office Design"/>
    <x v="0"/>
    <s v="ALM-03"/>
  </r>
  <r>
    <n v="194"/>
    <d v="2024-07-12T00:00:00"/>
    <x v="4"/>
    <s v="Silla Ergonómica"/>
    <x v="2"/>
    <x v="4"/>
    <n v="8"/>
    <n v="3298"/>
    <n v="0.04"/>
    <x v="204"/>
    <s v="Venta Grande"/>
    <s v="LG Electronics"/>
    <x v="0"/>
    <s v="ALM-03"/>
  </r>
  <r>
    <n v="206"/>
    <d v="2024-07-24T00:00:00"/>
    <x v="0"/>
    <s v="Tablet Lenovo"/>
    <x v="0"/>
    <x v="0"/>
    <n v="6"/>
    <n v="543"/>
    <n v="0.04"/>
    <x v="205"/>
    <s v="Venta Normal"/>
    <s v="Office Design"/>
    <x v="1"/>
    <m/>
  </r>
  <r>
    <n v="348"/>
    <d v="2024-12-13T00:00:00"/>
    <x v="2"/>
    <s v="Silla Ergonómica"/>
    <x v="2"/>
    <x v="2"/>
    <n v="19"/>
    <n v="3296"/>
    <n v="0.11"/>
    <x v="206"/>
    <s v="Venta Grande"/>
    <s v="LG Electronics"/>
    <x v="0"/>
    <s v="ALM-03"/>
  </r>
  <r>
    <n v="447"/>
    <d v="2025-03-22T00:00:00"/>
    <x v="1"/>
    <s v="Silla Ergonómica"/>
    <x v="2"/>
    <x v="1"/>
    <n v="6"/>
    <n v="3292"/>
    <n v="7.0000000000000007E-2"/>
    <x v="207"/>
    <s v="Venta Grande"/>
    <s v="LG Electronics"/>
    <x v="0"/>
    <s v="ALM-03"/>
  </r>
  <r>
    <n v="400"/>
    <d v="2025-02-03T00:00:00"/>
    <x v="3"/>
    <s v="Monitor 24&quot;"/>
    <x v="2"/>
    <x v="3"/>
    <n v="4"/>
    <n v="3276"/>
    <n v="0.02"/>
    <x v="208"/>
    <s v="Venta Grande"/>
    <s v="Office Design"/>
    <x v="0"/>
    <s v="ALM-03"/>
  </r>
  <r>
    <n v="114"/>
    <d v="2024-04-23T00:00:00"/>
    <x v="4"/>
    <s v="Monitor 24&quot;"/>
    <x v="2"/>
    <x v="4"/>
    <n v="13"/>
    <n v="3273"/>
    <n v="0.06"/>
    <x v="209"/>
    <s v="Venta Grande"/>
    <s v="Office Design"/>
    <x v="0"/>
    <s v="ALM-03"/>
  </r>
  <r>
    <n v="254"/>
    <d v="2024-09-10T00:00:00"/>
    <x v="4"/>
    <s v="Smart TV 50&quot;"/>
    <x v="0"/>
    <x v="4"/>
    <n v="3"/>
    <n v="3263"/>
    <n v="0.11"/>
    <x v="210"/>
    <s v="Venta Grande"/>
    <s v="LG Electronics"/>
    <x v="0"/>
    <s v="ALM-01"/>
  </r>
  <r>
    <n v="72"/>
    <d v="2024-03-12T00:00:00"/>
    <x v="1"/>
    <s v="Aspiradora Robot"/>
    <x v="1"/>
    <x v="1"/>
    <n v="8"/>
    <n v="3259"/>
    <n v="0.04"/>
    <x v="211"/>
    <s v="Venta Grande"/>
    <s v="Samsung Oficial"/>
    <x v="0"/>
    <s v="ALM-02"/>
  </r>
  <r>
    <n v="303"/>
    <d v="2024-10-29T00:00:00"/>
    <x v="2"/>
    <s v="Aspiradora Robot"/>
    <x v="1"/>
    <x v="2"/>
    <n v="19"/>
    <n v="3259"/>
    <n v="0.05"/>
    <x v="212"/>
    <s v="Venta Grande"/>
    <s v="Samsung Oficial"/>
    <x v="0"/>
    <s v="ALM-02"/>
  </r>
  <r>
    <n v="417"/>
    <d v="2025-02-20T00:00:00"/>
    <x v="1"/>
    <s v="Teclado Mecánico"/>
    <x v="2"/>
    <x v="1"/>
    <n v="9"/>
    <n v="3240"/>
    <n v="0.09"/>
    <x v="213"/>
    <s v="Venta Grande"/>
    <s v="Samsung Oficial"/>
    <x v="0"/>
    <s v="ALM-03"/>
  </r>
  <r>
    <n v="312"/>
    <d v="2024-11-07T00:00:00"/>
    <x v="1"/>
    <s v="Monitor 24&quot;"/>
    <x v="2"/>
    <x v="1"/>
    <n v="20"/>
    <n v="3233"/>
    <n v="0.05"/>
    <x v="214"/>
    <s v="Venta Grande"/>
    <s v="Office Design"/>
    <x v="0"/>
    <s v="ALM-03"/>
  </r>
  <r>
    <n v="165"/>
    <d v="2024-06-13T00:00:00"/>
    <x v="3"/>
    <s v="Smart TV 50&quot;"/>
    <x v="0"/>
    <x v="3"/>
    <n v="16"/>
    <n v="3232"/>
    <n v="0.04"/>
    <x v="215"/>
    <s v="Venta Grande"/>
    <s v="LG Electronics"/>
    <x v="2"/>
    <s v="ALM-01"/>
  </r>
  <r>
    <n v="358"/>
    <d v="2024-12-23T00:00:00"/>
    <x v="2"/>
    <s v="Aspiradora Robot"/>
    <x v="1"/>
    <x v="2"/>
    <n v="12"/>
    <n v="3205"/>
    <n v="0.04"/>
    <x v="216"/>
    <s v="Venta Grande"/>
    <s v="Samsung Oficial"/>
    <x v="0"/>
    <s v="ALM-02"/>
  </r>
  <r>
    <n v="218"/>
    <d v="2024-08-05T00:00:00"/>
    <x v="2"/>
    <s v="Licuadora de Mano"/>
    <x v="1"/>
    <x v="2"/>
    <n v="1"/>
    <n v="200"/>
    <n v="0.15"/>
    <x v="217"/>
    <s v="Venta Normal"/>
    <s v="LG Electronics"/>
    <x v="1"/>
    <m/>
  </r>
  <r>
    <n v="386"/>
    <d v="2025-01-20T00:00:00"/>
    <x v="0"/>
    <s v="Smart TV 50&quot;"/>
    <x v="0"/>
    <x v="0"/>
    <n v="13"/>
    <n v="3198"/>
    <n v="0.04"/>
    <x v="218"/>
    <s v="Venta Grande"/>
    <s v="LG Electronics"/>
    <x v="2"/>
    <s v="ALM-01"/>
  </r>
  <r>
    <n v="438"/>
    <d v="2025-03-13T00:00:00"/>
    <x v="2"/>
    <s v="Licuadora de Mano"/>
    <x v="1"/>
    <x v="2"/>
    <n v="6"/>
    <n v="3188"/>
    <n v="0.01"/>
    <x v="219"/>
    <s v="Venta Grande"/>
    <s v="LG Electronics"/>
    <x v="0"/>
    <s v="ALM-02"/>
  </r>
  <r>
    <n v="62"/>
    <d v="2024-03-02T00:00:00"/>
    <x v="1"/>
    <s v="Silla Ergonómica"/>
    <x v="2"/>
    <x v="1"/>
    <n v="8"/>
    <n v="3168"/>
    <n v="7.0000000000000007E-2"/>
    <x v="220"/>
    <s v="Venta Grande"/>
    <s v="LG Electronics"/>
    <x v="0"/>
    <s v="ALM-03"/>
  </r>
  <r>
    <n v="468"/>
    <d v="2025-04-12T00:00:00"/>
    <x v="2"/>
    <s v="Aspiradora Robot"/>
    <x v="1"/>
    <x v="2"/>
    <n v="4"/>
    <n v="3165"/>
    <n v="0.15"/>
    <x v="221"/>
    <s v="Venta Grande"/>
    <s v="Samsung Oficial"/>
    <x v="0"/>
    <s v="ALM-02"/>
  </r>
  <r>
    <n v="298"/>
    <d v="2024-10-24T00:00:00"/>
    <x v="2"/>
    <s v="Smart TV 50&quot;"/>
    <x v="0"/>
    <x v="2"/>
    <n v="2"/>
    <n v="3163"/>
    <n v="0.02"/>
    <x v="222"/>
    <s v="Venta Grande"/>
    <s v="LG Electronics"/>
    <x v="0"/>
    <s v="ALM-01"/>
  </r>
  <r>
    <n v="224"/>
    <d v="2024-08-11T00:00:00"/>
    <x v="4"/>
    <s v="Monitor 24&quot;"/>
    <x v="2"/>
    <x v="4"/>
    <n v="3"/>
    <n v="1563"/>
    <n v="0.06"/>
    <x v="223"/>
    <s v="Venta Normal"/>
    <s v="Office Design"/>
    <x v="1"/>
    <m/>
  </r>
  <r>
    <n v="364"/>
    <d v="2024-12-29T00:00:00"/>
    <x v="4"/>
    <s v="Smart TV 50&quot;"/>
    <x v="0"/>
    <x v="4"/>
    <n v="20"/>
    <n v="3145"/>
    <n v="0.13"/>
    <x v="224"/>
    <s v="Venta Grande"/>
    <s v="LG Electronics"/>
    <x v="2"/>
    <s v="ALM-01"/>
  </r>
  <r>
    <n v="408"/>
    <d v="2025-02-11T00:00:00"/>
    <x v="2"/>
    <s v="Smart TV 50&quot;"/>
    <x v="0"/>
    <x v="2"/>
    <n v="11"/>
    <n v="3137"/>
    <n v="0.14000000000000001"/>
    <x v="225"/>
    <s v="Venta Grande"/>
    <s v="LG Electronics"/>
    <x v="2"/>
    <s v="ALM-01"/>
  </r>
  <r>
    <n v="248"/>
    <d v="2024-09-04T00:00:00"/>
    <x v="2"/>
    <s v="Aspiradora Robot"/>
    <x v="1"/>
    <x v="2"/>
    <n v="18"/>
    <n v="3115"/>
    <n v="0.02"/>
    <x v="226"/>
    <s v="Venta Grande"/>
    <s v="Samsung Oficial"/>
    <x v="0"/>
    <s v="ALM-02"/>
  </r>
  <r>
    <n v="474"/>
    <d v="2025-04-18T00:00:00"/>
    <x v="4"/>
    <s v="Smart TV 50&quot;"/>
    <x v="0"/>
    <x v="4"/>
    <n v="15"/>
    <n v="3114"/>
    <n v="0.04"/>
    <x v="227"/>
    <s v="Venta Grande"/>
    <s v="LG Electronics"/>
    <x v="2"/>
    <s v="ALM-01"/>
  </r>
  <r>
    <n v="229"/>
    <d v="2024-08-16T00:00:00"/>
    <x v="4"/>
    <s v="Licuadora de Mano"/>
    <x v="1"/>
    <x v="4"/>
    <n v="1"/>
    <n v="3422"/>
    <n v="0.15"/>
    <x v="228"/>
    <s v="Venta Normal"/>
    <s v="LG Electronics"/>
    <x v="1"/>
    <m/>
  </r>
  <r>
    <n v="405"/>
    <d v="2025-02-08T00:00:00"/>
    <x v="3"/>
    <s v="Licuadora de Mano"/>
    <x v="1"/>
    <x v="3"/>
    <n v="12"/>
    <n v="3089"/>
    <n v="0.14000000000000001"/>
    <x v="229"/>
    <s v="Venta Grande"/>
    <s v="LG Electronics"/>
    <x v="0"/>
    <s v="ALM-02"/>
  </r>
  <r>
    <n v="373"/>
    <d v="2025-01-07T00:00:00"/>
    <x v="2"/>
    <s v="Teclado Mecánico"/>
    <x v="2"/>
    <x v="2"/>
    <n v="7"/>
    <n v="3087"/>
    <n v="0.11"/>
    <x v="230"/>
    <s v="Venta Grande"/>
    <s v="Samsung Oficial"/>
    <x v="0"/>
    <s v="ALM-03"/>
  </r>
  <r>
    <n v="232"/>
    <d v="2024-08-19T00:00:00"/>
    <x v="1"/>
    <s v="Smart TV 50&quot;"/>
    <x v="0"/>
    <x v="1"/>
    <n v="7"/>
    <n v="486"/>
    <n v="0.08"/>
    <x v="231"/>
    <s v="Venta Normal"/>
    <s v="LG Electronics"/>
    <x v="1"/>
    <m/>
  </r>
  <r>
    <n v="68"/>
    <d v="2024-03-08T00:00:00"/>
    <x v="2"/>
    <s v="Celular Samsung"/>
    <x v="0"/>
    <x v="2"/>
    <n v="2"/>
    <n v="3060"/>
    <n v="0.09"/>
    <x v="232"/>
    <s v="Venta Grande"/>
    <s v="Samsung Oficial"/>
    <x v="0"/>
    <s v="ALM-01"/>
  </r>
  <r>
    <n v="169"/>
    <d v="2024-06-17T00:00:00"/>
    <x v="4"/>
    <s v="Monitor 24&quot;"/>
    <x v="2"/>
    <x v="4"/>
    <n v="10"/>
    <n v="3057"/>
    <n v="0.14000000000000001"/>
    <x v="233"/>
    <s v="Venta Grande"/>
    <s v="Office Design"/>
    <x v="0"/>
    <s v="ALM-03"/>
  </r>
  <r>
    <n v="453"/>
    <d v="2025-03-28T00:00:00"/>
    <x v="2"/>
    <s v="Celular Samsung"/>
    <x v="0"/>
    <x v="2"/>
    <n v="20"/>
    <n v="3056"/>
    <n v="0.06"/>
    <x v="234"/>
    <s v="Venta Grande"/>
    <s v="Samsung Oficial"/>
    <x v="2"/>
    <s v="ALM-01"/>
  </r>
  <r>
    <n v="265"/>
    <d v="2024-09-21T00:00:00"/>
    <x v="3"/>
    <s v="Smart TV 50&quot;"/>
    <x v="0"/>
    <x v="3"/>
    <n v="14"/>
    <n v="3052"/>
    <n v="0.06"/>
    <x v="235"/>
    <s v="Venta Grande"/>
    <s v="LG Electronics"/>
    <x v="2"/>
    <s v="ALM-01"/>
  </r>
  <r>
    <n v="469"/>
    <d v="2025-04-13T00:00:00"/>
    <x v="4"/>
    <s v="Silla Ergonómica"/>
    <x v="2"/>
    <x v="4"/>
    <n v="17"/>
    <n v="3039"/>
    <n v="0.09"/>
    <x v="236"/>
    <s v="Venta Grande"/>
    <s v="LG Electronics"/>
    <x v="0"/>
    <s v="ALM-03"/>
  </r>
  <r>
    <n v="238"/>
    <d v="2024-08-25T00:00:00"/>
    <x v="2"/>
    <s v="Silla Ergonómica"/>
    <x v="2"/>
    <x v="2"/>
    <n v="1"/>
    <n v="959"/>
    <n v="0.04"/>
    <x v="237"/>
    <s v="Venta Normal"/>
    <s v="LG Electronics"/>
    <x v="1"/>
    <m/>
  </r>
  <r>
    <n v="292"/>
    <d v="2024-10-18T00:00:00"/>
    <x v="1"/>
    <s v="Aspiradora Robot"/>
    <x v="1"/>
    <x v="1"/>
    <n v="9"/>
    <n v="3030"/>
    <n v="0.15"/>
    <x v="238"/>
    <s v="Venta Grande"/>
    <s v="Samsung Oficial"/>
    <x v="0"/>
    <s v="ALM-02"/>
  </r>
  <r>
    <n v="478"/>
    <d v="2025-04-22T00:00:00"/>
    <x v="2"/>
    <s v="Auriculares Bluetooth"/>
    <x v="0"/>
    <x v="2"/>
    <n v="19"/>
    <n v="2982"/>
    <n v="0.04"/>
    <x v="239"/>
    <s v="Venta Grande"/>
    <s v="LG Electronics"/>
    <x v="2"/>
    <s v="ALM-01"/>
  </r>
  <r>
    <n v="422"/>
    <d v="2025-02-25T00:00:00"/>
    <x v="1"/>
    <s v="Monitor 24&quot;"/>
    <x v="2"/>
    <x v="1"/>
    <n v="10"/>
    <n v="2947"/>
    <n v="7.0000000000000007E-2"/>
    <x v="240"/>
    <s v="Venta Grande"/>
    <s v="Office Design"/>
    <x v="0"/>
    <s v="ALM-03"/>
  </r>
  <r>
    <n v="144"/>
    <d v="2024-05-23T00:00:00"/>
    <x v="4"/>
    <s v="Smart TV 50&quot;"/>
    <x v="0"/>
    <x v="4"/>
    <n v="20"/>
    <n v="2942"/>
    <n v="7.0000000000000007E-2"/>
    <x v="241"/>
    <s v="Venta Grande"/>
    <s v="LG Electronics"/>
    <x v="2"/>
    <s v="ALM-01"/>
  </r>
  <r>
    <n v="498"/>
    <d v="2025-05-12T00:00:00"/>
    <x v="2"/>
    <s v="Cafetera Eléctrica"/>
    <x v="1"/>
    <x v="2"/>
    <n v="2"/>
    <n v="2941"/>
    <n v="0.04"/>
    <x v="242"/>
    <s v="Venta Grande"/>
    <s v="LG Electronics"/>
    <x v="0"/>
    <s v="ALM-02"/>
  </r>
  <r>
    <n v="95"/>
    <d v="2024-04-04T00:00:00"/>
    <x v="3"/>
    <s v="Silla Ergonómica"/>
    <x v="2"/>
    <x v="3"/>
    <n v="19"/>
    <n v="2936"/>
    <n v="0.08"/>
    <x v="243"/>
    <s v="Venta Grande"/>
    <s v="LG Electronics"/>
    <x v="0"/>
    <s v="ALM-03"/>
  </r>
  <r>
    <n v="392"/>
    <d v="2025-01-26T00:00:00"/>
    <x v="1"/>
    <s v="Silla Ergonómica"/>
    <x v="2"/>
    <x v="1"/>
    <n v="6"/>
    <n v="2928"/>
    <n v="0.04"/>
    <x v="244"/>
    <s v="Venta Grande"/>
    <s v="LG Electronics"/>
    <x v="0"/>
    <s v="ALM-03"/>
  </r>
  <r>
    <n v="219"/>
    <d v="2024-08-06T00:00:00"/>
    <x v="4"/>
    <s v="Teclado Mecánico"/>
    <x v="2"/>
    <x v="4"/>
    <n v="5"/>
    <n v="2909"/>
    <n v="0.13"/>
    <x v="245"/>
    <s v="Venta Grande"/>
    <s v="Samsung Oficial"/>
    <x v="0"/>
    <s v="ALM-03"/>
  </r>
  <r>
    <n v="77"/>
    <d v="2024-03-17T00:00:00"/>
    <x v="1"/>
    <s v="Smart TV 50&quot;"/>
    <x v="0"/>
    <x v="1"/>
    <n v="12"/>
    <n v="2865"/>
    <n v="0.08"/>
    <x v="246"/>
    <s v="Venta Grande"/>
    <s v="LG Electronics"/>
    <x v="2"/>
    <s v="ALM-01"/>
  </r>
  <r>
    <n v="434"/>
    <d v="2025-03-09T00:00:00"/>
    <x v="4"/>
    <s v="Auriculares Bluetooth"/>
    <x v="0"/>
    <x v="4"/>
    <n v="7"/>
    <n v="2854"/>
    <n v="0.03"/>
    <x v="247"/>
    <s v="Venta Grande"/>
    <s v="LG Electronics"/>
    <x v="0"/>
    <s v="ALM-01"/>
  </r>
  <r>
    <n v="376"/>
    <d v="2025-01-10T00:00:00"/>
    <x v="0"/>
    <s v="Celular Samsung"/>
    <x v="0"/>
    <x v="0"/>
    <n v="10"/>
    <n v="2852"/>
    <n v="0.08"/>
    <x v="248"/>
    <s v="Venta Grande"/>
    <s v="Samsung Oficial"/>
    <x v="2"/>
    <s v="ALM-01"/>
  </r>
  <r>
    <n v="214"/>
    <d v="2024-08-01T00:00:00"/>
    <x v="4"/>
    <s v="Auriculares Bluetooth"/>
    <x v="0"/>
    <x v="4"/>
    <n v="10"/>
    <n v="2847"/>
    <n v="0.11"/>
    <x v="249"/>
    <s v="Venta Grande"/>
    <s v="LG Electronics"/>
    <x v="2"/>
    <s v="ALM-01"/>
  </r>
  <r>
    <n v="251"/>
    <d v="2024-09-07T00:00:00"/>
    <x v="0"/>
    <s v="Licuadora de Mano"/>
    <x v="1"/>
    <x v="0"/>
    <n v="3"/>
    <n v="996"/>
    <n v="0.12"/>
    <x v="250"/>
    <s v="Venta Normal"/>
    <s v="LG Electronics"/>
    <x v="1"/>
    <m/>
  </r>
  <r>
    <n v="351"/>
    <d v="2024-12-16T00:00:00"/>
    <x v="0"/>
    <s v="Teclado Mecánico"/>
    <x v="2"/>
    <x v="0"/>
    <n v="18"/>
    <n v="2845"/>
    <n v="0.09"/>
    <x v="251"/>
    <s v="Venta Grande"/>
    <s v="Samsung Oficial"/>
    <x v="0"/>
    <s v="ALM-03"/>
  </r>
  <r>
    <n v="220"/>
    <d v="2024-08-07T00:00:00"/>
    <x v="3"/>
    <s v="Smart TV 50&quot;"/>
    <x v="0"/>
    <x v="3"/>
    <n v="20"/>
    <n v="2824"/>
    <n v="0.03"/>
    <x v="252"/>
    <s v="Venta Grande"/>
    <s v="LG Electronics"/>
    <x v="2"/>
    <s v="ALM-01"/>
  </r>
  <r>
    <n v="419"/>
    <d v="2025-02-22T00:00:00"/>
    <x v="4"/>
    <s v="Smart TV 50&quot;"/>
    <x v="0"/>
    <x v="4"/>
    <n v="4"/>
    <n v="2821"/>
    <n v="0.06"/>
    <x v="253"/>
    <s v="Venta Grande"/>
    <s v="LG Electronics"/>
    <x v="0"/>
    <s v="ALM-01"/>
  </r>
  <r>
    <n v="423"/>
    <d v="2025-02-26T00:00:00"/>
    <x v="2"/>
    <s v="Auriculares Bluetooth"/>
    <x v="0"/>
    <x v="2"/>
    <n v="16"/>
    <n v="2814"/>
    <n v="0.03"/>
    <x v="254"/>
    <s v="Venta Grande"/>
    <s v="LG Electronics"/>
    <x v="2"/>
    <s v="ALM-01"/>
  </r>
  <r>
    <n v="256"/>
    <d v="2024-09-12T00:00:00"/>
    <x v="0"/>
    <s v="Cafetera Eléctrica"/>
    <x v="1"/>
    <x v="0"/>
    <n v="7"/>
    <n v="285"/>
    <n v="0.04"/>
    <x v="255"/>
    <s v="Venta Normal"/>
    <s v="LG Electronics"/>
    <x v="1"/>
    <m/>
  </r>
  <r>
    <n v="257"/>
    <d v="2024-09-13T00:00:00"/>
    <x v="1"/>
    <s v="Monitor 24&quot;"/>
    <x v="2"/>
    <x v="1"/>
    <n v="1"/>
    <n v="3864"/>
    <n v="0.11"/>
    <x v="256"/>
    <s v="Venta Normal"/>
    <s v="Office Design"/>
    <x v="1"/>
    <m/>
  </r>
  <r>
    <n v="178"/>
    <d v="2024-06-26T00:00:00"/>
    <x v="2"/>
    <s v="Celular Samsung"/>
    <x v="0"/>
    <x v="2"/>
    <n v="10"/>
    <n v="2812"/>
    <n v="0.04"/>
    <x v="257"/>
    <s v="Venta Grande"/>
    <s v="Samsung Oficial"/>
    <x v="2"/>
    <s v="ALM-01"/>
  </r>
  <r>
    <n v="198"/>
    <d v="2024-07-16T00:00:00"/>
    <x v="2"/>
    <s v="Smart TV 50&quot;"/>
    <x v="0"/>
    <x v="2"/>
    <n v="9"/>
    <n v="2804"/>
    <n v="7.0000000000000007E-2"/>
    <x v="258"/>
    <s v="Venta Grande"/>
    <s v="LG Electronics"/>
    <x v="2"/>
    <s v="ALM-01"/>
  </r>
  <r>
    <n v="439"/>
    <d v="2025-03-14T00:00:00"/>
    <x v="4"/>
    <s v="Teclado Mecánico"/>
    <x v="2"/>
    <x v="4"/>
    <n v="5"/>
    <n v="2803"/>
    <n v="0.11"/>
    <x v="259"/>
    <s v="Venta Grande"/>
    <s v="Samsung Oficial"/>
    <x v="0"/>
    <s v="ALM-03"/>
  </r>
  <r>
    <n v="470"/>
    <d v="2025-04-14T00:00:00"/>
    <x v="3"/>
    <s v="Tablet Lenovo"/>
    <x v="0"/>
    <x v="3"/>
    <n v="12"/>
    <n v="2802"/>
    <n v="0.11"/>
    <x v="260"/>
    <s v="Venta Grande"/>
    <s v="Office Design"/>
    <x v="2"/>
    <s v="ALM-01"/>
  </r>
  <r>
    <n v="277"/>
    <d v="2024-10-03T00:00:00"/>
    <x v="1"/>
    <s v="Celular Samsung"/>
    <x v="0"/>
    <x v="1"/>
    <n v="7"/>
    <n v="2782"/>
    <n v="0.08"/>
    <x v="261"/>
    <s v="Venta Grande"/>
    <s v="Samsung Oficial"/>
    <x v="0"/>
    <s v="ALM-01"/>
  </r>
  <r>
    <n v="328"/>
    <d v="2024-11-23T00:00:00"/>
    <x v="2"/>
    <s v="Licuadora de Mano"/>
    <x v="1"/>
    <x v="2"/>
    <n v="12"/>
    <n v="2780"/>
    <n v="0.04"/>
    <x v="262"/>
    <s v="Venta Grande"/>
    <s v="LG Electronics"/>
    <x v="0"/>
    <s v="ALM-02"/>
  </r>
  <r>
    <n v="148"/>
    <d v="2024-05-27T00:00:00"/>
    <x v="2"/>
    <s v="Auriculares Bluetooth"/>
    <x v="0"/>
    <x v="2"/>
    <n v="20"/>
    <n v="2692"/>
    <n v="0.02"/>
    <x v="263"/>
    <s v="Venta Grande"/>
    <s v="LG Electronics"/>
    <x v="2"/>
    <s v="ALM-01"/>
  </r>
  <r>
    <n v="278"/>
    <d v="2024-10-04T00:00:00"/>
    <x v="2"/>
    <s v="Cafetera Eléctrica"/>
    <x v="1"/>
    <x v="2"/>
    <n v="15"/>
    <n v="2676"/>
    <n v="0.15"/>
    <x v="264"/>
    <s v="Venta Grande"/>
    <s v="LG Electronics"/>
    <x v="0"/>
    <s v="ALM-02"/>
  </r>
  <r>
    <n v="290"/>
    <d v="2024-10-16T00:00:00"/>
    <x v="3"/>
    <s v="Monitor 24&quot;"/>
    <x v="2"/>
    <x v="3"/>
    <n v="10"/>
    <n v="2674"/>
    <n v="0.12"/>
    <x v="265"/>
    <s v="Venta Grande"/>
    <s v="Office Design"/>
    <x v="0"/>
    <s v="ALM-03"/>
  </r>
  <r>
    <n v="287"/>
    <d v="2024-10-13T00:00:00"/>
    <x v="1"/>
    <s v="Smart TV 50&quot;"/>
    <x v="0"/>
    <x v="1"/>
    <n v="4"/>
    <n v="2673"/>
    <n v="0.03"/>
    <x v="266"/>
    <s v="Venta Grande"/>
    <s v="LG Electronics"/>
    <x v="0"/>
    <s v="ALM-01"/>
  </r>
  <r>
    <n v="98"/>
    <d v="2024-04-07T00:00:00"/>
    <x v="2"/>
    <s v="Teclado Mecánico"/>
    <x v="2"/>
    <x v="2"/>
    <n v="19"/>
    <n v="2667"/>
    <n v="0.03"/>
    <x v="267"/>
    <s v="Venta Grande"/>
    <s v="Samsung Oficial"/>
    <x v="0"/>
    <s v="ALM-03"/>
  </r>
  <r>
    <n v="441"/>
    <d v="2025-03-16T00:00:00"/>
    <x v="0"/>
    <s v="Smart TV 50&quot;"/>
    <x v="0"/>
    <x v="0"/>
    <n v="17"/>
    <n v="2657"/>
    <n v="0.04"/>
    <x v="268"/>
    <s v="Venta Grande"/>
    <s v="LG Electronics"/>
    <x v="2"/>
    <s v="ALM-01"/>
  </r>
  <r>
    <n v="283"/>
    <d v="2024-10-09T00:00:00"/>
    <x v="2"/>
    <s v="Tablet Lenovo"/>
    <x v="0"/>
    <x v="2"/>
    <n v="12"/>
    <n v="2640"/>
    <n v="0.03"/>
    <x v="269"/>
    <s v="Venta Grande"/>
    <s v="Office Design"/>
    <x v="2"/>
    <s v="ALM-01"/>
  </r>
  <r>
    <n v="334"/>
    <d v="2024-11-29T00:00:00"/>
    <x v="4"/>
    <s v="Monitor 24&quot;"/>
    <x v="2"/>
    <x v="4"/>
    <n v="15"/>
    <n v="2628"/>
    <n v="0.05"/>
    <x v="270"/>
    <s v="Venta Grande"/>
    <s v="Office Design"/>
    <x v="0"/>
    <s v="ALM-03"/>
  </r>
  <r>
    <n v="401"/>
    <d v="2025-02-04T00:00:00"/>
    <x v="0"/>
    <s v="Auriculares Bluetooth"/>
    <x v="0"/>
    <x v="0"/>
    <n v="20"/>
    <n v="2620"/>
    <n v="0.01"/>
    <x v="271"/>
    <s v="Venta Grande"/>
    <s v="LG Electronics"/>
    <x v="2"/>
    <s v="ALM-01"/>
  </r>
  <r>
    <n v="407"/>
    <d v="2025-02-10T00:00:00"/>
    <x v="1"/>
    <s v="Smart TV 50&quot;"/>
    <x v="0"/>
    <x v="1"/>
    <n v="20"/>
    <n v="2614"/>
    <n v="0.02"/>
    <x v="272"/>
    <s v="Venta Grande"/>
    <s v="LG Electronics"/>
    <x v="2"/>
    <s v="ALM-01"/>
  </r>
  <r>
    <n v="496"/>
    <d v="2025-05-10T00:00:00"/>
    <x v="0"/>
    <s v="Smart TV 50&quot;"/>
    <x v="0"/>
    <x v="0"/>
    <n v="15"/>
    <n v="2605"/>
    <n v="0.1"/>
    <x v="273"/>
    <s v="Venta Grande"/>
    <s v="LG Electronics"/>
    <x v="2"/>
    <s v="ALM-01"/>
  </r>
  <r>
    <n v="73"/>
    <d v="2024-03-13T00:00:00"/>
    <x v="2"/>
    <s v="Silla Ergonómica"/>
    <x v="2"/>
    <x v="2"/>
    <n v="6"/>
    <n v="2589"/>
    <n v="0.04"/>
    <x v="274"/>
    <s v="Venta Grande"/>
    <s v="LG Electronics"/>
    <x v="0"/>
    <s v="ALM-03"/>
  </r>
  <r>
    <n v="276"/>
    <d v="2024-10-02T00:00:00"/>
    <x v="0"/>
    <s v="Smart TV 50&quot;"/>
    <x v="0"/>
    <x v="0"/>
    <n v="4"/>
    <n v="354"/>
    <n v="0.06"/>
    <x v="275"/>
    <s v="Venta Normal"/>
    <s v="LG Electronics"/>
    <x v="1"/>
    <m/>
  </r>
  <r>
    <n v="60"/>
    <d v="2024-02-29T00:00:00"/>
    <x v="3"/>
    <s v="Auriculares Bluetooth"/>
    <x v="0"/>
    <x v="3"/>
    <n v="19"/>
    <n v="2584"/>
    <n v="0.09"/>
    <x v="276"/>
    <s v="Venta Grande"/>
    <s v="LG Electronics"/>
    <x v="2"/>
    <s v="ALM-01"/>
  </r>
  <r>
    <n v="410"/>
    <d v="2025-02-13T00:00:00"/>
    <x v="3"/>
    <s v="Cafetera Eléctrica"/>
    <x v="1"/>
    <x v="3"/>
    <n v="6"/>
    <n v="2574"/>
    <n v="0"/>
    <x v="277"/>
    <s v="Venta Grande"/>
    <s v="LG Electronics"/>
    <x v="0"/>
    <s v="ALM-02"/>
  </r>
  <r>
    <n v="196"/>
    <d v="2024-07-14T00:00:00"/>
    <x v="0"/>
    <s v="Licuadora de Mano"/>
    <x v="1"/>
    <x v="0"/>
    <n v="6"/>
    <n v="2566"/>
    <n v="0.12"/>
    <x v="278"/>
    <s v="Venta Grande"/>
    <s v="LG Electronics"/>
    <x v="0"/>
    <s v="ALM-02"/>
  </r>
  <r>
    <n v="372"/>
    <d v="2025-01-06T00:00:00"/>
    <x v="1"/>
    <s v="Licuadora de Mano"/>
    <x v="1"/>
    <x v="1"/>
    <n v="6"/>
    <n v="2564"/>
    <n v="0.05"/>
    <x v="279"/>
    <s v="Venta Grande"/>
    <s v="LG Electronics"/>
    <x v="0"/>
    <s v="ALM-02"/>
  </r>
  <r>
    <n v="18"/>
    <d v="2024-01-18T00:00:00"/>
    <x v="2"/>
    <s v="Silla Ergonómica"/>
    <x v="2"/>
    <x v="2"/>
    <n v="7"/>
    <n v="2562"/>
    <n v="0.12"/>
    <x v="280"/>
    <s v="Venta Grande"/>
    <s v="LG Electronics"/>
    <x v="0"/>
    <s v="ALM-03"/>
  </r>
  <r>
    <n v="282"/>
    <d v="2024-10-08T00:00:00"/>
    <x v="1"/>
    <s v="Silla Ergonómica"/>
    <x v="2"/>
    <x v="1"/>
    <n v="1"/>
    <n v="958"/>
    <n v="7.0000000000000007E-2"/>
    <x v="281"/>
    <s v="Venta Normal"/>
    <s v="LG Electronics"/>
    <x v="1"/>
    <m/>
  </r>
  <r>
    <n v="87"/>
    <d v="2024-03-27T00:00:00"/>
    <x v="1"/>
    <s v="Teclado Mecánico"/>
    <x v="2"/>
    <x v="1"/>
    <n v="16"/>
    <n v="2551"/>
    <n v="0.02"/>
    <x v="282"/>
    <s v="Venta Grande"/>
    <s v="Samsung Oficial"/>
    <x v="0"/>
    <s v="ALM-03"/>
  </r>
  <r>
    <n v="235"/>
    <d v="2024-08-22T00:00:00"/>
    <x v="3"/>
    <s v="Monitor 24&quot;"/>
    <x v="2"/>
    <x v="3"/>
    <n v="10"/>
    <n v="2537"/>
    <n v="0.13"/>
    <x v="283"/>
    <s v="Venta Grande"/>
    <s v="Office Design"/>
    <x v="0"/>
    <s v="ALM-03"/>
  </r>
  <r>
    <n v="355"/>
    <d v="2024-12-20T00:00:00"/>
    <x v="3"/>
    <s v="Cafetera Eléctrica"/>
    <x v="1"/>
    <x v="3"/>
    <n v="16"/>
    <n v="2529"/>
    <n v="0.08"/>
    <x v="284"/>
    <s v="Venta Grande"/>
    <s v="LG Electronics"/>
    <x v="0"/>
    <s v="ALM-02"/>
  </r>
  <r>
    <n v="192"/>
    <d v="2024-07-10T00:00:00"/>
    <x v="1"/>
    <s v="Auriculares Bluetooth"/>
    <x v="0"/>
    <x v="1"/>
    <n v="2"/>
    <n v="2517"/>
    <n v="0.12"/>
    <x v="285"/>
    <s v="Venta Grande"/>
    <s v="LG Electronics"/>
    <x v="0"/>
    <s v="ALM-01"/>
  </r>
  <r>
    <n v="314"/>
    <d v="2024-11-09T00:00:00"/>
    <x v="4"/>
    <s v="Aspiradora Robot"/>
    <x v="1"/>
    <x v="4"/>
    <n v="6"/>
    <n v="2510"/>
    <n v="0.02"/>
    <x v="155"/>
    <s v="Venta Grande"/>
    <s v="Samsung Oficial"/>
    <x v="0"/>
    <s v="ALM-02"/>
  </r>
  <r>
    <n v="308"/>
    <d v="2024-11-03T00:00:00"/>
    <x v="2"/>
    <s v="Smart TV 50&quot;"/>
    <x v="0"/>
    <x v="2"/>
    <n v="2"/>
    <n v="2505"/>
    <n v="0.08"/>
    <x v="286"/>
    <s v="Venta Grande"/>
    <s v="LG Electronics"/>
    <x v="0"/>
    <s v="ALM-01"/>
  </r>
  <r>
    <n v="152"/>
    <d v="2024-05-31T00:00:00"/>
    <x v="1"/>
    <s v="Licuadora de Mano"/>
    <x v="1"/>
    <x v="1"/>
    <n v="9"/>
    <n v="2504"/>
    <n v="0.08"/>
    <x v="287"/>
    <s v="Venta Grande"/>
    <s v="LG Electronics"/>
    <x v="0"/>
    <s v="ALM-02"/>
  </r>
  <r>
    <n v="325"/>
    <d v="2024-11-20T00:00:00"/>
    <x v="3"/>
    <s v="Aspiradora Robot"/>
    <x v="1"/>
    <x v="3"/>
    <n v="17"/>
    <n v="2498"/>
    <n v="0.04"/>
    <x v="288"/>
    <s v="Venta Grande"/>
    <s v="Samsung Oficial"/>
    <x v="0"/>
    <s v="ALM-02"/>
  </r>
  <r>
    <n v="291"/>
    <d v="2024-10-17T00:00:00"/>
    <x v="0"/>
    <s v="Auriculares Bluetooth"/>
    <x v="0"/>
    <x v="0"/>
    <n v="18"/>
    <n v="123"/>
    <n v="0.06"/>
    <x v="289"/>
    <s v="Venta Normal"/>
    <s v="LG Electronics"/>
    <x v="1"/>
    <m/>
  </r>
  <r>
    <n v="344"/>
    <d v="2024-12-09T00:00:00"/>
    <x v="4"/>
    <s v="Cafetera Eléctrica"/>
    <x v="1"/>
    <x v="4"/>
    <n v="15"/>
    <n v="2491"/>
    <n v="0.03"/>
    <x v="290"/>
    <s v="Venta Grande"/>
    <s v="LG Electronics"/>
    <x v="0"/>
    <s v="ALM-02"/>
  </r>
  <r>
    <n v="293"/>
    <d v="2024-10-19T00:00:00"/>
    <x v="2"/>
    <s v="Silla Ergonómica"/>
    <x v="2"/>
    <x v="2"/>
    <n v="1"/>
    <n v="3451"/>
    <n v="0.09"/>
    <x v="291"/>
    <s v="Venta Normal"/>
    <s v="LG Electronics"/>
    <x v="1"/>
    <m/>
  </r>
  <r>
    <n v="294"/>
    <d v="2024-10-20T00:00:00"/>
    <x v="4"/>
    <s v="Tablet Lenovo"/>
    <x v="0"/>
    <x v="4"/>
    <n v="2"/>
    <n v="1004"/>
    <n v="7.0000000000000007E-2"/>
    <x v="292"/>
    <s v="Venta Normal"/>
    <s v="Office Design"/>
    <x v="1"/>
    <m/>
  </r>
  <r>
    <n v="91"/>
    <d v="2024-03-31T00:00:00"/>
    <x v="0"/>
    <s v="Cafetera Eléctrica"/>
    <x v="1"/>
    <x v="0"/>
    <n v="5"/>
    <n v="2470"/>
    <n v="0.02"/>
    <x v="293"/>
    <s v="Venta Grande"/>
    <s v="LG Electronics"/>
    <x v="0"/>
    <s v="ALM-02"/>
  </r>
  <r>
    <n v="188"/>
    <d v="2024-07-06T00:00:00"/>
    <x v="2"/>
    <s v="Smart TV 50&quot;"/>
    <x v="0"/>
    <x v="2"/>
    <n v="10"/>
    <n v="2470"/>
    <n v="0.14000000000000001"/>
    <x v="294"/>
    <s v="Venta Grande"/>
    <s v="LG Electronics"/>
    <x v="2"/>
    <s v="ALM-01"/>
  </r>
  <r>
    <n v="321"/>
    <d v="2024-11-16T00:00:00"/>
    <x v="0"/>
    <s v="Celular Samsung"/>
    <x v="0"/>
    <x v="0"/>
    <n v="5"/>
    <n v="2443"/>
    <n v="0.11"/>
    <x v="295"/>
    <s v="Venta Grande"/>
    <s v="Samsung Oficial"/>
    <x v="0"/>
    <s v="ALM-01"/>
  </r>
  <r>
    <n v="323"/>
    <d v="2024-11-18T00:00:00"/>
    <x v="2"/>
    <s v="Monitor 24&quot;"/>
    <x v="2"/>
    <x v="2"/>
    <n v="10"/>
    <n v="2443"/>
    <n v="0.09"/>
    <x v="296"/>
    <s v="Venta Grande"/>
    <s v="Office Design"/>
    <x v="0"/>
    <s v="ALM-03"/>
  </r>
  <r>
    <n v="51"/>
    <d v="2024-02-20T00:00:00"/>
    <x v="0"/>
    <s v="Silla Ergonómica"/>
    <x v="2"/>
    <x v="0"/>
    <n v="18"/>
    <n v="2436"/>
    <n v="0.04"/>
    <x v="297"/>
    <s v="Venta Grande"/>
    <s v="LG Electronics"/>
    <x v="0"/>
    <s v="ALM-03"/>
  </r>
  <r>
    <n v="25"/>
    <d v="2024-01-25T00:00:00"/>
    <x v="3"/>
    <s v="Cafetera Eléctrica"/>
    <x v="1"/>
    <x v="3"/>
    <n v="3"/>
    <n v="2432"/>
    <n v="7.0000000000000007E-2"/>
    <x v="298"/>
    <s v="Venta Grande"/>
    <s v="LG Electronics"/>
    <x v="0"/>
    <s v="ALM-02"/>
  </r>
  <r>
    <n v="185"/>
    <d v="2024-07-03T00:00:00"/>
    <x v="3"/>
    <s v="Licuadora de Mano"/>
    <x v="1"/>
    <x v="3"/>
    <n v="20"/>
    <n v="2431"/>
    <n v="0.02"/>
    <x v="299"/>
    <s v="Venta Grande"/>
    <s v="LG Electronics"/>
    <x v="0"/>
    <s v="ALM-02"/>
  </r>
  <r>
    <n v="302"/>
    <d v="2024-10-28T00:00:00"/>
    <x v="1"/>
    <s v="Auriculares Bluetooth"/>
    <x v="0"/>
    <x v="1"/>
    <n v="1"/>
    <n v="4177"/>
    <n v="0.01"/>
    <x v="300"/>
    <s v="Venta Normal"/>
    <s v="LG Electronics"/>
    <x v="1"/>
    <m/>
  </r>
  <r>
    <n v="275"/>
    <d v="2024-10-01T00:00:00"/>
    <x v="3"/>
    <s v="Smart TV 50&quot;"/>
    <x v="0"/>
    <x v="3"/>
    <n v="7"/>
    <n v="2425"/>
    <n v="0.03"/>
    <x v="301"/>
    <s v="Venta Grande"/>
    <s v="LG Electronics"/>
    <x v="0"/>
    <s v="ALM-01"/>
  </r>
  <r>
    <n v="371"/>
    <d v="2025-01-05T00:00:00"/>
    <x v="0"/>
    <s v="Tablet Lenovo"/>
    <x v="0"/>
    <x v="0"/>
    <n v="5"/>
    <n v="2419"/>
    <n v="0.08"/>
    <x v="302"/>
    <s v="Venta Grande"/>
    <s v="Office Design"/>
    <x v="0"/>
    <s v="ALM-01"/>
  </r>
  <r>
    <n v="305"/>
    <d v="2024-10-31T00:00:00"/>
    <x v="3"/>
    <s v="Tablet Lenovo"/>
    <x v="0"/>
    <x v="3"/>
    <n v="5"/>
    <n v="950"/>
    <n v="0.14000000000000001"/>
    <x v="303"/>
    <s v="Venta Normal"/>
    <s v="Office Design"/>
    <x v="1"/>
    <m/>
  </r>
  <r>
    <n v="306"/>
    <d v="2024-11-01T00:00:00"/>
    <x v="0"/>
    <s v="Licuadora de Mano"/>
    <x v="1"/>
    <x v="0"/>
    <n v="1"/>
    <n v="4578"/>
    <n v="0.14000000000000001"/>
    <x v="304"/>
    <s v="Venta Normal"/>
    <s v="LG Electronics"/>
    <x v="1"/>
    <m/>
  </r>
  <r>
    <n v="307"/>
    <d v="2024-11-02T00:00:00"/>
    <x v="1"/>
    <s v="Teclado Mecánico"/>
    <x v="2"/>
    <x v="1"/>
    <n v="2"/>
    <n v="321"/>
    <n v="0.02"/>
    <x v="305"/>
    <s v="Venta Normal"/>
    <s v="Samsung Oficial"/>
    <x v="1"/>
    <m/>
  </r>
  <r>
    <n v="329"/>
    <d v="2024-11-24T00:00:00"/>
    <x v="4"/>
    <s v="Teclado Mecánico"/>
    <x v="2"/>
    <x v="4"/>
    <n v="4"/>
    <n v="2418"/>
    <n v="0.04"/>
    <x v="306"/>
    <s v="Venta Grande"/>
    <s v="Samsung Oficial"/>
    <x v="0"/>
    <s v="ALM-03"/>
  </r>
  <r>
    <n v="456"/>
    <d v="2025-03-31T00:00:00"/>
    <x v="0"/>
    <s v="Auriculares Bluetooth"/>
    <x v="0"/>
    <x v="0"/>
    <n v="17"/>
    <n v="2408"/>
    <n v="0.1"/>
    <x v="307"/>
    <s v="Venta Grande"/>
    <s v="LG Electronics"/>
    <x v="2"/>
    <s v="ALM-01"/>
  </r>
  <r>
    <n v="361"/>
    <d v="2024-12-26T00:00:00"/>
    <x v="0"/>
    <s v="Licuadora de Mano"/>
    <x v="1"/>
    <x v="0"/>
    <n v="5"/>
    <n v="2384"/>
    <n v="0.1"/>
    <x v="308"/>
    <s v="Venta Grande"/>
    <s v="LG Electronics"/>
    <x v="0"/>
    <s v="ALM-02"/>
  </r>
  <r>
    <n v="174"/>
    <d v="2024-06-22T00:00:00"/>
    <x v="4"/>
    <s v="Licuadora de Mano"/>
    <x v="1"/>
    <x v="4"/>
    <n v="17"/>
    <n v="2382"/>
    <n v="0"/>
    <x v="309"/>
    <s v="Venta Grande"/>
    <s v="LG Electronics"/>
    <x v="0"/>
    <s v="ALM-02"/>
  </r>
  <r>
    <n v="81"/>
    <d v="2024-03-21T00:00:00"/>
    <x v="0"/>
    <s v="Monitor 24&quot;"/>
    <x v="2"/>
    <x v="0"/>
    <n v="14"/>
    <n v="2381"/>
    <n v="0.12"/>
    <x v="310"/>
    <s v="Venta Grande"/>
    <s v="Office Design"/>
    <x v="0"/>
    <s v="ALM-03"/>
  </r>
  <r>
    <n v="200"/>
    <d v="2024-07-18T00:00:00"/>
    <x v="3"/>
    <s v="Celular Samsung"/>
    <x v="0"/>
    <x v="3"/>
    <n v="11"/>
    <n v="2348"/>
    <n v="0.03"/>
    <x v="311"/>
    <s v="Venta Grande"/>
    <s v="Samsung Oficial"/>
    <x v="2"/>
    <s v="ALM-01"/>
  </r>
  <r>
    <n v="313"/>
    <d v="2024-11-08T00:00:00"/>
    <x v="2"/>
    <s v="Auriculares Bluetooth"/>
    <x v="0"/>
    <x v="2"/>
    <n v="3"/>
    <n v="2343"/>
    <n v="0.09"/>
    <x v="312"/>
    <s v="Venta Grande"/>
    <s v="LG Electronics"/>
    <x v="0"/>
    <s v="ALM-01"/>
  </r>
  <r>
    <n v="204"/>
    <d v="2024-07-22T00:00:00"/>
    <x v="4"/>
    <s v="Aspiradora Robot"/>
    <x v="1"/>
    <x v="4"/>
    <n v="6"/>
    <n v="2337"/>
    <n v="0.04"/>
    <x v="313"/>
    <s v="Venta Grande"/>
    <s v="Samsung Oficial"/>
    <x v="0"/>
    <s v="ALM-02"/>
  </r>
  <r>
    <n v="421"/>
    <d v="2025-02-24T00:00:00"/>
    <x v="0"/>
    <s v="Cafetera Eléctrica"/>
    <x v="1"/>
    <x v="0"/>
    <n v="11"/>
    <n v="2323"/>
    <n v="0.12"/>
    <x v="314"/>
    <s v="Venta Grande"/>
    <s v="LG Electronics"/>
    <x v="0"/>
    <s v="ALM-02"/>
  </r>
  <r>
    <n v="317"/>
    <d v="2024-11-12T00:00:00"/>
    <x v="1"/>
    <s v="Licuadora de Mano"/>
    <x v="1"/>
    <x v="1"/>
    <n v="1"/>
    <n v="2694"/>
    <n v="0.11"/>
    <x v="315"/>
    <s v="Venta Normal"/>
    <s v="LG Electronics"/>
    <x v="1"/>
    <m/>
  </r>
  <r>
    <n v="233"/>
    <d v="2024-08-20T00:00:00"/>
    <x v="2"/>
    <s v="Celular Samsung"/>
    <x v="0"/>
    <x v="2"/>
    <n v="8"/>
    <n v="2319"/>
    <n v="0.12"/>
    <x v="316"/>
    <s v="Venta Grande"/>
    <s v="Samsung Oficial"/>
    <x v="0"/>
    <s v="ALM-01"/>
  </r>
  <r>
    <n v="310"/>
    <d v="2024-11-05T00:00:00"/>
    <x v="3"/>
    <s v="Celular Samsung"/>
    <x v="0"/>
    <x v="3"/>
    <n v="13"/>
    <n v="2318"/>
    <n v="0.14000000000000001"/>
    <x v="317"/>
    <s v="Venta Grande"/>
    <s v="Samsung Oficial"/>
    <x v="2"/>
    <s v="ALM-01"/>
  </r>
  <r>
    <n v="320"/>
    <d v="2024-11-15T00:00:00"/>
    <x v="3"/>
    <s v="Smart TV 50&quot;"/>
    <x v="0"/>
    <x v="3"/>
    <n v="3"/>
    <n v="613"/>
    <n v="0.05"/>
    <x v="318"/>
    <s v="Venta Normal"/>
    <s v="LG Electronics"/>
    <x v="1"/>
    <m/>
  </r>
  <r>
    <n v="31"/>
    <d v="2024-01-31T00:00:00"/>
    <x v="0"/>
    <s v="Licuadora de Mano"/>
    <x v="1"/>
    <x v="0"/>
    <n v="18"/>
    <n v="2307"/>
    <n v="0.05"/>
    <x v="319"/>
    <s v="Venta Grande"/>
    <s v="LG Electronics"/>
    <x v="0"/>
    <s v="ALM-02"/>
  </r>
  <r>
    <n v="322"/>
    <d v="2024-11-17T00:00:00"/>
    <x v="1"/>
    <s v="Cafetera Eléctrica"/>
    <x v="1"/>
    <x v="1"/>
    <n v="3"/>
    <n v="648"/>
    <n v="0.1"/>
    <x v="320"/>
    <s v="Venta Normal"/>
    <s v="LG Electronics"/>
    <x v="1"/>
    <m/>
  </r>
  <r>
    <n v="396"/>
    <d v="2025-01-30T00:00:00"/>
    <x v="0"/>
    <s v="Smart TV 50&quot;"/>
    <x v="0"/>
    <x v="0"/>
    <n v="19"/>
    <n v="2286"/>
    <n v="7.0000000000000007E-2"/>
    <x v="321"/>
    <s v="Venta Grande"/>
    <s v="LG Electronics"/>
    <x v="2"/>
    <s v="ALM-01"/>
  </r>
  <r>
    <n v="38"/>
    <d v="2024-02-07T00:00:00"/>
    <x v="2"/>
    <s v="Auriculares Bluetooth"/>
    <x v="0"/>
    <x v="2"/>
    <n v="11"/>
    <n v="2285"/>
    <n v="0.01"/>
    <x v="322"/>
    <s v="Venta Grande"/>
    <s v="LG Electronics"/>
    <x v="2"/>
    <s v="ALM-01"/>
  </r>
  <r>
    <n v="365"/>
    <d v="2024-12-30T00:00:00"/>
    <x v="3"/>
    <s v="Celular Samsung"/>
    <x v="0"/>
    <x v="3"/>
    <n v="6"/>
    <n v="2279"/>
    <n v="7.0000000000000007E-2"/>
    <x v="323"/>
    <s v="Venta Grande"/>
    <s v="Samsung Oficial"/>
    <x v="0"/>
    <s v="ALM-01"/>
  </r>
  <r>
    <n v="326"/>
    <d v="2024-11-21T00:00:00"/>
    <x v="0"/>
    <s v="Silla Ergonómica"/>
    <x v="2"/>
    <x v="0"/>
    <n v="12"/>
    <n v="201"/>
    <n v="0.03"/>
    <x v="324"/>
    <s v="Venta Normal"/>
    <s v="LG Electronics"/>
    <x v="1"/>
    <m/>
  </r>
  <r>
    <n v="342"/>
    <d v="2024-12-07T00:00:00"/>
    <x v="1"/>
    <s v="Smart TV 50&quot;"/>
    <x v="0"/>
    <x v="1"/>
    <n v="19"/>
    <n v="2270"/>
    <n v="0.02"/>
    <x v="325"/>
    <s v="Venta Grande"/>
    <s v="LG Electronics"/>
    <x v="2"/>
    <s v="ALM-01"/>
  </r>
  <r>
    <n v="179"/>
    <d v="2024-06-27T00:00:00"/>
    <x v="4"/>
    <s v="Cafetera Eléctrica"/>
    <x v="1"/>
    <x v="4"/>
    <n v="11"/>
    <n v="2269"/>
    <n v="0.09"/>
    <x v="326"/>
    <s v="Venta Grande"/>
    <s v="LG Electronics"/>
    <x v="0"/>
    <s v="ALM-02"/>
  </r>
  <r>
    <n v="460"/>
    <d v="2025-04-04T00:00:00"/>
    <x v="3"/>
    <s v="Licuadora de Mano"/>
    <x v="1"/>
    <x v="3"/>
    <n v="20"/>
    <n v="2257"/>
    <n v="0.09"/>
    <x v="327"/>
    <s v="Venta Grande"/>
    <s v="LG Electronics"/>
    <x v="0"/>
    <s v="ALM-02"/>
  </r>
  <r>
    <n v="330"/>
    <d v="2024-11-25T00:00:00"/>
    <x v="3"/>
    <s v="Smart TV 50&quot;"/>
    <x v="0"/>
    <x v="3"/>
    <n v="3"/>
    <n v="527"/>
    <n v="0.12"/>
    <x v="328"/>
    <s v="Venta Normal"/>
    <s v="LG Electronics"/>
    <x v="1"/>
    <m/>
  </r>
  <r>
    <n v="187"/>
    <d v="2024-07-05T00:00:00"/>
    <x v="1"/>
    <s v="Smart TV 50&quot;"/>
    <x v="0"/>
    <x v="1"/>
    <n v="9"/>
    <n v="2251"/>
    <n v="0.15"/>
    <x v="329"/>
    <s v="Venta Grande"/>
    <s v="LG Electronics"/>
    <x v="2"/>
    <s v="ALM-01"/>
  </r>
  <r>
    <n v="272"/>
    <d v="2024-09-28T00:00:00"/>
    <x v="1"/>
    <s v="Tablet Lenovo"/>
    <x v="0"/>
    <x v="1"/>
    <n v="13"/>
    <n v="2234"/>
    <n v="0.04"/>
    <x v="330"/>
    <s v="Venta Grande"/>
    <s v="Office Design"/>
    <x v="2"/>
    <s v="ALM-01"/>
  </r>
  <r>
    <n v="136"/>
    <d v="2024-05-15T00:00:00"/>
    <x v="0"/>
    <s v="Monitor 24&quot;"/>
    <x v="2"/>
    <x v="0"/>
    <n v="17"/>
    <n v="2206"/>
    <n v="0.13"/>
    <x v="331"/>
    <s v="Venta Grande"/>
    <s v="Office Design"/>
    <x v="0"/>
    <s v="ALM-03"/>
  </r>
  <r>
    <n v="99"/>
    <d v="2024-04-08T00:00:00"/>
    <x v="4"/>
    <s v="Smart TV 50&quot;"/>
    <x v="0"/>
    <x v="4"/>
    <n v="18"/>
    <n v="2191"/>
    <n v="0.09"/>
    <x v="332"/>
    <s v="Venta Grande"/>
    <s v="LG Electronics"/>
    <x v="2"/>
    <s v="ALM-01"/>
  </r>
  <r>
    <n v="231"/>
    <d v="2024-08-18T00:00:00"/>
    <x v="0"/>
    <s v="Smart TV 50&quot;"/>
    <x v="0"/>
    <x v="0"/>
    <n v="5"/>
    <n v="2168"/>
    <n v="7.0000000000000007E-2"/>
    <x v="333"/>
    <s v="Venta Grande"/>
    <s v="LG Electronics"/>
    <x v="0"/>
    <s v="ALM-01"/>
  </r>
  <r>
    <n v="418"/>
    <d v="2025-02-21T00:00:00"/>
    <x v="2"/>
    <s v="Smart TV 50&quot;"/>
    <x v="0"/>
    <x v="2"/>
    <n v="5"/>
    <n v="2149"/>
    <n v="0.05"/>
    <x v="334"/>
    <s v="Venta Grande"/>
    <s v="LG Electronics"/>
    <x v="0"/>
    <s v="ALM-01"/>
  </r>
  <r>
    <n v="102"/>
    <d v="2024-04-11T00:00:00"/>
    <x v="1"/>
    <s v="Cafetera Eléctrica"/>
    <x v="1"/>
    <x v="1"/>
    <n v="14"/>
    <n v="2097"/>
    <n v="0.05"/>
    <x v="335"/>
    <s v="Venta Grande"/>
    <s v="LG Electronics"/>
    <x v="0"/>
    <s v="ALM-02"/>
  </r>
  <r>
    <n v="104"/>
    <d v="2024-04-13T00:00:00"/>
    <x v="4"/>
    <s v="Auriculares Bluetooth"/>
    <x v="0"/>
    <x v="4"/>
    <n v="3"/>
    <n v="2092"/>
    <n v="0.08"/>
    <x v="336"/>
    <s v="Venta Grande"/>
    <s v="LG Electronics"/>
    <x v="0"/>
    <s v="ALM-01"/>
  </r>
  <r>
    <n v="494"/>
    <d v="2025-05-08T00:00:00"/>
    <x v="4"/>
    <s v="Teclado Mecánico"/>
    <x v="2"/>
    <x v="4"/>
    <n v="14"/>
    <n v="2087"/>
    <n v="0.13"/>
    <x v="337"/>
    <s v="Venta Grande"/>
    <s v="Samsung Oficial"/>
    <x v="0"/>
    <s v="ALM-03"/>
  </r>
  <r>
    <n v="127"/>
    <d v="2024-05-06T00:00:00"/>
    <x v="1"/>
    <s v="Aspiradora Robot"/>
    <x v="1"/>
    <x v="1"/>
    <n v="4"/>
    <n v="2077"/>
    <n v="0.12"/>
    <x v="338"/>
    <s v="Venta Grande"/>
    <s v="Samsung Oficial"/>
    <x v="0"/>
    <s v="ALM-02"/>
  </r>
  <r>
    <n v="113"/>
    <d v="2024-04-22T00:00:00"/>
    <x v="2"/>
    <s v="Cafetera Eléctrica"/>
    <x v="1"/>
    <x v="2"/>
    <n v="9"/>
    <n v="2042"/>
    <n v="7.0000000000000007E-2"/>
    <x v="339"/>
    <s v="Venta Grande"/>
    <s v="LG Electronics"/>
    <x v="0"/>
    <s v="ALM-02"/>
  </r>
  <r>
    <n v="217"/>
    <d v="2024-08-04T00:00:00"/>
    <x v="1"/>
    <s v="Tablet Lenovo"/>
    <x v="0"/>
    <x v="1"/>
    <n v="5"/>
    <n v="2040"/>
    <n v="0.08"/>
    <x v="340"/>
    <s v="Venta Grande"/>
    <s v="Office Design"/>
    <x v="0"/>
    <s v="ALM-01"/>
  </r>
  <r>
    <n v="223"/>
    <d v="2024-08-10T00:00:00"/>
    <x v="2"/>
    <s v="Cafetera Eléctrica"/>
    <x v="1"/>
    <x v="2"/>
    <n v="17"/>
    <n v="2039"/>
    <n v="0.03"/>
    <x v="341"/>
    <s v="Venta Grande"/>
    <s v="LG Electronics"/>
    <x v="0"/>
    <s v="ALM-02"/>
  </r>
  <r>
    <n v="319"/>
    <d v="2024-11-14T00:00:00"/>
    <x v="4"/>
    <s v="Smart TV 50&quot;"/>
    <x v="0"/>
    <x v="4"/>
    <n v="5"/>
    <n v="2037"/>
    <n v="0.09"/>
    <x v="342"/>
    <s v="Venta Grande"/>
    <s v="LG Electronics"/>
    <x v="0"/>
    <s v="ALM-01"/>
  </r>
  <r>
    <n v="339"/>
    <d v="2024-12-04T00:00:00"/>
    <x v="4"/>
    <s v="Licuadora de Mano"/>
    <x v="1"/>
    <x v="4"/>
    <n v="14"/>
    <n v="2031"/>
    <n v="0.08"/>
    <x v="343"/>
    <s v="Venta Grande"/>
    <s v="LG Electronics"/>
    <x v="0"/>
    <s v="ALM-02"/>
  </r>
  <r>
    <n v="346"/>
    <d v="2024-12-11T00:00:00"/>
    <x v="0"/>
    <s v="Auriculares Bluetooth"/>
    <x v="0"/>
    <x v="0"/>
    <n v="11"/>
    <n v="262"/>
    <n v="0.14000000000000001"/>
    <x v="344"/>
    <s v="Venta Normal"/>
    <s v="LG Electronics"/>
    <x v="1"/>
    <m/>
  </r>
  <r>
    <n v="347"/>
    <d v="2024-12-12T00:00:00"/>
    <x v="1"/>
    <s v="Aspiradora Robot"/>
    <x v="1"/>
    <x v="1"/>
    <n v="3"/>
    <n v="794"/>
    <n v="0.08"/>
    <x v="345"/>
    <s v="Venta Normal"/>
    <s v="Samsung Oficial"/>
    <x v="1"/>
    <m/>
  </r>
  <r>
    <n v="34"/>
    <d v="2024-02-03T00:00:00"/>
    <x v="4"/>
    <s v="Smart TV 50&quot;"/>
    <x v="0"/>
    <x v="4"/>
    <n v="9"/>
    <n v="2027"/>
    <n v="0.09"/>
    <x v="346"/>
    <s v="Venta Grande"/>
    <s v="LG Electronics"/>
    <x v="0"/>
    <s v="ALM-01"/>
  </r>
  <r>
    <n v="349"/>
    <d v="2024-12-14T00:00:00"/>
    <x v="4"/>
    <s v="Tablet Lenovo"/>
    <x v="0"/>
    <x v="4"/>
    <n v="5"/>
    <n v="310"/>
    <n v="0.06"/>
    <x v="347"/>
    <s v="Venta Normal"/>
    <s v="Office Design"/>
    <x v="1"/>
    <m/>
  </r>
  <r>
    <n v="10"/>
    <d v="2024-01-10T00:00:00"/>
    <x v="3"/>
    <s v="Teclado Mecánico"/>
    <x v="2"/>
    <x v="3"/>
    <n v="5"/>
    <n v="2020"/>
    <n v="0.04"/>
    <x v="348"/>
    <s v="Venta Grande"/>
    <s v="Samsung Oficial"/>
    <x v="0"/>
    <s v="ALM-03"/>
  </r>
  <r>
    <n v="189"/>
    <d v="2024-07-07T00:00:00"/>
    <x v="4"/>
    <s v="Celular Samsung"/>
    <x v="0"/>
    <x v="4"/>
    <n v="7"/>
    <n v="2005"/>
    <n v="0.15"/>
    <x v="349"/>
    <s v="Venta Grande"/>
    <s v="Samsung Oficial"/>
    <x v="0"/>
    <s v="ALM-01"/>
  </r>
  <r>
    <n v="343"/>
    <d v="2024-12-08T00:00:00"/>
    <x v="2"/>
    <s v="Celular Samsung"/>
    <x v="0"/>
    <x v="2"/>
    <n v="19"/>
    <n v="1994"/>
    <n v="0.01"/>
    <x v="350"/>
    <s v="Venta Grande"/>
    <s v="Samsung Oficial"/>
    <x v="2"/>
    <s v="ALM-01"/>
  </r>
  <r>
    <n v="255"/>
    <d v="2024-09-11T00:00:00"/>
    <x v="3"/>
    <s v="Celular Samsung"/>
    <x v="0"/>
    <x v="3"/>
    <n v="10"/>
    <n v="1980"/>
    <n v="0.11"/>
    <x v="351"/>
    <s v="Venta Grande"/>
    <s v="Samsung Oficial"/>
    <x v="0"/>
    <s v="ALM-01"/>
  </r>
  <r>
    <n v="299"/>
    <d v="2024-10-25T00:00:00"/>
    <x v="4"/>
    <s v="Celular Samsung"/>
    <x v="0"/>
    <x v="4"/>
    <n v="11"/>
    <n v="1957"/>
    <n v="0.01"/>
    <x v="352"/>
    <s v="Venta Grande"/>
    <s v="Samsung Oficial"/>
    <x v="2"/>
    <s v="ALM-01"/>
  </r>
  <r>
    <n v="295"/>
    <d v="2024-10-21T00:00:00"/>
    <x v="3"/>
    <s v="Licuadora de Mano"/>
    <x v="1"/>
    <x v="3"/>
    <n v="14"/>
    <n v="1924"/>
    <n v="0.1"/>
    <x v="353"/>
    <s v="Venta Grande"/>
    <s v="LG Electronics"/>
    <x v="0"/>
    <s v="ALM-02"/>
  </r>
  <r>
    <n v="242"/>
    <d v="2024-08-29T00:00:00"/>
    <x v="1"/>
    <s v="Smart TV 50&quot;"/>
    <x v="0"/>
    <x v="1"/>
    <n v="13"/>
    <n v="1896"/>
    <n v="7.0000000000000007E-2"/>
    <x v="354"/>
    <s v="Venta Grande"/>
    <s v="LG Electronics"/>
    <x v="2"/>
    <s v="ALM-01"/>
  </r>
  <r>
    <n v="201"/>
    <d v="2024-07-19T00:00:00"/>
    <x v="0"/>
    <s v="Cafetera Eléctrica"/>
    <x v="1"/>
    <x v="0"/>
    <n v="19"/>
    <n v="1887"/>
    <n v="0.11"/>
    <x v="355"/>
    <s v="Venta Grande"/>
    <s v="LG Electronics"/>
    <x v="0"/>
    <s v="ALM-02"/>
  </r>
  <r>
    <n v="157"/>
    <d v="2024-06-05T00:00:00"/>
    <x v="1"/>
    <s v="Cafetera Eléctrica"/>
    <x v="1"/>
    <x v="1"/>
    <n v="11"/>
    <n v="1884"/>
    <n v="0.11"/>
    <x v="356"/>
    <s v="Venta Grande"/>
    <s v="LG Electronics"/>
    <x v="0"/>
    <s v="ALM-02"/>
  </r>
  <r>
    <n v="135"/>
    <d v="2024-05-14T00:00:00"/>
    <x v="3"/>
    <s v="Cafetera Eléctrica"/>
    <x v="1"/>
    <x v="3"/>
    <n v="20"/>
    <n v="1883"/>
    <n v="0.02"/>
    <x v="357"/>
    <s v="Venta Grande"/>
    <s v="LG Electronics"/>
    <x v="0"/>
    <s v="ALM-02"/>
  </r>
  <r>
    <n v="150"/>
    <d v="2024-05-29T00:00:00"/>
    <x v="3"/>
    <s v="Silla Ergonómica"/>
    <x v="2"/>
    <x v="3"/>
    <n v="19"/>
    <n v="1871"/>
    <n v="0.01"/>
    <x v="358"/>
    <s v="Venta Grande"/>
    <s v="LG Electronics"/>
    <x v="0"/>
    <s v="ALM-03"/>
  </r>
  <r>
    <n v="166"/>
    <d v="2024-06-14T00:00:00"/>
    <x v="0"/>
    <s v="Smart TV 50&quot;"/>
    <x v="0"/>
    <x v="0"/>
    <n v="3"/>
    <n v="1870"/>
    <n v="0.12"/>
    <x v="359"/>
    <s v="Venta Grande"/>
    <s v="LG Electronics"/>
    <x v="0"/>
    <s v="ALM-01"/>
  </r>
  <r>
    <n v="249"/>
    <d v="2024-09-05T00:00:00"/>
    <x v="4"/>
    <s v="Silla Ergonómica"/>
    <x v="2"/>
    <x v="4"/>
    <n v="14"/>
    <n v="1868"/>
    <n v="0.13"/>
    <x v="360"/>
    <s v="Venta Grande"/>
    <s v="LG Electronics"/>
    <x v="0"/>
    <s v="ALM-03"/>
  </r>
  <r>
    <n v="253"/>
    <d v="2024-09-09T00:00:00"/>
    <x v="2"/>
    <s v="Smart TV 50&quot;"/>
    <x v="0"/>
    <x v="2"/>
    <n v="7"/>
    <n v="1866"/>
    <n v="0.11"/>
    <x v="361"/>
    <s v="Venta Grande"/>
    <s v="LG Electronics"/>
    <x v="0"/>
    <s v="ALM-01"/>
  </r>
  <r>
    <n v="19"/>
    <d v="2024-01-19T00:00:00"/>
    <x v="4"/>
    <s v="Tablet Lenovo"/>
    <x v="0"/>
    <x v="4"/>
    <n v="19"/>
    <n v="1859"/>
    <n v="0.08"/>
    <x v="362"/>
    <s v="Venta Grande"/>
    <s v="Office Design"/>
    <x v="2"/>
    <s v="ALM-01"/>
  </r>
  <r>
    <n v="404"/>
    <d v="2025-02-07T00:00:00"/>
    <x v="4"/>
    <s v="Tablet Lenovo"/>
    <x v="0"/>
    <x v="4"/>
    <n v="10"/>
    <n v="1858"/>
    <n v="0.09"/>
    <x v="363"/>
    <s v="Venta Grande"/>
    <s v="Office Design"/>
    <x v="0"/>
    <s v="ALM-01"/>
  </r>
  <r>
    <n v="225"/>
    <d v="2024-08-12T00:00:00"/>
    <x v="3"/>
    <s v="Auriculares Bluetooth"/>
    <x v="0"/>
    <x v="3"/>
    <n v="17"/>
    <n v="1853"/>
    <n v="0.11"/>
    <x v="364"/>
    <s v="Venta Grande"/>
    <s v="LG Electronics"/>
    <x v="2"/>
    <s v="ALM-01"/>
  </r>
  <r>
    <n v="367"/>
    <d v="2025-01-01T00:00:00"/>
    <x v="1"/>
    <s v="Monitor 24&quot;"/>
    <x v="2"/>
    <x v="1"/>
    <n v="3"/>
    <n v="502"/>
    <n v="0.01"/>
    <x v="365"/>
    <s v="Venta Normal"/>
    <s v="Office Design"/>
    <x v="1"/>
    <m/>
  </r>
  <r>
    <n v="350"/>
    <d v="2024-12-15T00:00:00"/>
    <x v="3"/>
    <s v="Licuadora de Mano"/>
    <x v="1"/>
    <x v="3"/>
    <n v="8"/>
    <n v="1853"/>
    <n v="0.04"/>
    <x v="366"/>
    <s v="Venta Grande"/>
    <s v="LG Electronics"/>
    <x v="0"/>
    <s v="ALM-02"/>
  </r>
  <r>
    <n v="435"/>
    <d v="2025-03-10T00:00:00"/>
    <x v="3"/>
    <s v="Aspiradora Robot"/>
    <x v="1"/>
    <x v="3"/>
    <n v="17"/>
    <n v="1846"/>
    <n v="0.15"/>
    <x v="367"/>
    <s v="Venta Grande"/>
    <s v="Samsung Oficial"/>
    <x v="0"/>
    <s v="ALM-02"/>
  </r>
  <r>
    <n v="370"/>
    <d v="2025-01-04T00:00:00"/>
    <x v="3"/>
    <s v="Silla Ergonómica"/>
    <x v="2"/>
    <x v="3"/>
    <n v="15"/>
    <n v="184"/>
    <n v="0.02"/>
    <x v="368"/>
    <s v="Venta Normal"/>
    <s v="LG Electronics"/>
    <x v="1"/>
    <m/>
  </r>
  <r>
    <n v="398"/>
    <d v="2025-02-01T00:00:00"/>
    <x v="2"/>
    <s v="Celular Samsung"/>
    <x v="0"/>
    <x v="2"/>
    <n v="19"/>
    <n v="1841"/>
    <n v="0.05"/>
    <x v="369"/>
    <s v="Venta Grande"/>
    <s v="Samsung Oficial"/>
    <x v="2"/>
    <s v="ALM-01"/>
  </r>
  <r>
    <n v="172"/>
    <d v="2024-06-20T00:00:00"/>
    <x v="1"/>
    <s v="Silla Ergonómica"/>
    <x v="2"/>
    <x v="1"/>
    <n v="20"/>
    <n v="1808"/>
    <n v="0.02"/>
    <x v="370"/>
    <s v="Venta Grande"/>
    <s v="LG Electronics"/>
    <x v="0"/>
    <s v="ALM-03"/>
  </r>
  <r>
    <n v="186"/>
    <d v="2024-07-04T00:00:00"/>
    <x v="0"/>
    <s v="Teclado Mecánico"/>
    <x v="2"/>
    <x v="0"/>
    <n v="3"/>
    <n v="1792"/>
    <n v="0.11"/>
    <x v="371"/>
    <s v="Venta Grande"/>
    <s v="Samsung Oficial"/>
    <x v="0"/>
    <s v="ALM-03"/>
  </r>
  <r>
    <n v="274"/>
    <d v="2024-09-30T00:00:00"/>
    <x v="4"/>
    <s v="Teclado Mecánico"/>
    <x v="2"/>
    <x v="4"/>
    <n v="3"/>
    <n v="1789"/>
    <n v="0.03"/>
    <x v="372"/>
    <s v="Venta Grande"/>
    <s v="Samsung Oficial"/>
    <x v="0"/>
    <s v="ALM-03"/>
  </r>
  <r>
    <n v="414"/>
    <d v="2025-02-17T00:00:00"/>
    <x v="4"/>
    <s v="Silla Ergonómica"/>
    <x v="2"/>
    <x v="4"/>
    <n v="3"/>
    <n v="1777"/>
    <n v="0.05"/>
    <x v="373"/>
    <s v="Venta Grande"/>
    <s v="LG Electronics"/>
    <x v="0"/>
    <s v="ALM-03"/>
  </r>
  <r>
    <n v="353"/>
    <d v="2024-12-18T00:00:00"/>
    <x v="2"/>
    <s v="Smart TV 50&quot;"/>
    <x v="0"/>
    <x v="2"/>
    <n v="10"/>
    <n v="1769"/>
    <n v="0.09"/>
    <x v="374"/>
    <s v="Venta Grande"/>
    <s v="LG Electronics"/>
    <x v="0"/>
    <s v="ALM-01"/>
  </r>
  <r>
    <n v="402"/>
    <d v="2025-02-05T00:00:00"/>
    <x v="1"/>
    <s v="Aspiradora Robot"/>
    <x v="1"/>
    <x v="1"/>
    <n v="20"/>
    <n v="1760"/>
    <n v="0.04"/>
    <x v="375"/>
    <s v="Venta Grande"/>
    <s v="Samsung Oficial"/>
    <x v="0"/>
    <s v="ALM-02"/>
  </r>
  <r>
    <n v="279"/>
    <d v="2024-10-05T00:00:00"/>
    <x v="4"/>
    <s v="Monitor 24&quot;"/>
    <x v="2"/>
    <x v="4"/>
    <n v="6"/>
    <n v="1745"/>
    <n v="0.12"/>
    <x v="376"/>
    <s v="Venta Grande"/>
    <s v="Office Design"/>
    <x v="0"/>
    <s v="ALM-03"/>
  </r>
  <r>
    <n v="1"/>
    <d v="2024-01-01T00:00:00"/>
    <x v="0"/>
    <s v="Smart TV 50&quot;"/>
    <x v="0"/>
    <x v="0"/>
    <n v="11"/>
    <n v="1725"/>
    <n v="0.12"/>
    <x v="377"/>
    <s v="Venta Grande"/>
    <s v="LG Electronics"/>
    <x v="0"/>
    <s v="ALM-01"/>
  </r>
  <r>
    <n v="486"/>
    <d v="2025-04-30T00:00:00"/>
    <x v="0"/>
    <s v="Celular Samsung"/>
    <x v="0"/>
    <x v="0"/>
    <n v="19"/>
    <n v="1691"/>
    <n v="0.01"/>
    <x v="378"/>
    <s v="Venta Grande"/>
    <s v="Samsung Oficial"/>
    <x v="2"/>
    <s v="ALM-01"/>
  </r>
  <r>
    <n v="499"/>
    <d v="2025-05-13T00:00:00"/>
    <x v="4"/>
    <s v="Monitor 24&quot;"/>
    <x v="2"/>
    <x v="4"/>
    <n v="11"/>
    <n v="1672"/>
    <n v="0.13"/>
    <x v="379"/>
    <s v="Venta Grande"/>
    <s v="Office Design"/>
    <x v="0"/>
    <s v="ALM-03"/>
  </r>
  <r>
    <n v="368"/>
    <d v="2025-01-02T00:00:00"/>
    <x v="2"/>
    <s v="Auriculares Bluetooth"/>
    <x v="0"/>
    <x v="2"/>
    <n v="20"/>
    <n v="1652"/>
    <n v="0.11"/>
    <x v="380"/>
    <s v="Venta Grande"/>
    <s v="LG Electronics"/>
    <x v="2"/>
    <s v="ALM-01"/>
  </r>
  <r>
    <n v="383"/>
    <d v="2025-01-17T00:00:00"/>
    <x v="2"/>
    <s v="Licuadora de Mano"/>
    <x v="1"/>
    <x v="2"/>
    <n v="2"/>
    <n v="491"/>
    <n v="0.05"/>
    <x v="381"/>
    <s v="Venta Normal"/>
    <s v="LG Electronics"/>
    <x v="1"/>
    <m/>
  </r>
  <r>
    <n v="151"/>
    <d v="2024-05-30T00:00:00"/>
    <x v="0"/>
    <s v="Tablet Lenovo"/>
    <x v="0"/>
    <x v="0"/>
    <n v="6"/>
    <n v="1637"/>
    <n v="0.08"/>
    <x v="10"/>
    <s v="Venta Grande"/>
    <s v="Office Design"/>
    <x v="0"/>
    <s v="ALM-01"/>
  </r>
  <r>
    <n v="385"/>
    <d v="2025-01-19T00:00:00"/>
    <x v="3"/>
    <s v="Smart TV 50&quot;"/>
    <x v="0"/>
    <x v="3"/>
    <n v="4"/>
    <n v="160"/>
    <n v="0.15"/>
    <x v="382"/>
    <s v="Venta Normal"/>
    <s v="LG Electronics"/>
    <x v="1"/>
    <m/>
  </r>
  <r>
    <n v="472"/>
    <d v="2025-04-16T00:00:00"/>
    <x v="1"/>
    <s v="Teclado Mecánico"/>
    <x v="2"/>
    <x v="1"/>
    <n v="19"/>
    <n v="1620"/>
    <n v="0.13"/>
    <x v="383"/>
    <s v="Venta Grande"/>
    <s v="Samsung Oficial"/>
    <x v="0"/>
    <s v="ALM-03"/>
  </r>
  <r>
    <n v="133"/>
    <d v="2024-05-12T00:00:00"/>
    <x v="2"/>
    <s v="Smart TV 50&quot;"/>
    <x v="0"/>
    <x v="2"/>
    <n v="14"/>
    <n v="1576"/>
    <n v="0.06"/>
    <x v="384"/>
    <s v="Venta Grande"/>
    <s v="LG Electronics"/>
    <x v="2"/>
    <s v="ALM-01"/>
  </r>
  <r>
    <n v="388"/>
    <d v="2025-01-22T00:00:00"/>
    <x v="2"/>
    <s v="Cafetera Eléctrica"/>
    <x v="1"/>
    <x v="2"/>
    <n v="3"/>
    <n v="1486"/>
    <n v="0.01"/>
    <x v="385"/>
    <s v="Venta Normal"/>
    <s v="LG Electronics"/>
    <x v="1"/>
    <m/>
  </r>
  <r>
    <n v="483"/>
    <d v="2025-04-27T00:00:00"/>
    <x v="2"/>
    <s v="Teclado Mecánico"/>
    <x v="2"/>
    <x v="2"/>
    <n v="11"/>
    <n v="1576"/>
    <n v="0.13"/>
    <x v="386"/>
    <s v="Venta Grande"/>
    <s v="Samsung Oficial"/>
    <x v="0"/>
    <s v="ALM-03"/>
  </r>
  <r>
    <n v="390"/>
    <d v="2025-01-24T00:00:00"/>
    <x v="3"/>
    <s v="Auriculares Bluetooth"/>
    <x v="0"/>
    <x v="3"/>
    <n v="8"/>
    <n v="572"/>
    <n v="0.13"/>
    <x v="387"/>
    <s v="Venta Normal"/>
    <s v="LG Electronics"/>
    <x v="1"/>
    <m/>
  </r>
  <r>
    <n v="356"/>
    <d v="2024-12-21T00:00:00"/>
    <x v="0"/>
    <s v="Monitor 24&quot;"/>
    <x v="2"/>
    <x v="0"/>
    <n v="14"/>
    <n v="1553"/>
    <n v="0.11"/>
    <x v="388"/>
    <s v="Venta Grande"/>
    <s v="Office Design"/>
    <x v="0"/>
    <s v="ALM-03"/>
  </r>
  <r>
    <n v="352"/>
    <d v="2024-12-17T00:00:00"/>
    <x v="1"/>
    <s v="Smart TV 50&quot;"/>
    <x v="0"/>
    <x v="1"/>
    <n v="16"/>
    <n v="1548"/>
    <n v="0.04"/>
    <x v="389"/>
    <s v="Venta Grande"/>
    <s v="LG Electronics"/>
    <x v="2"/>
    <s v="ALM-01"/>
  </r>
  <r>
    <n v="393"/>
    <d v="2025-01-27T00:00:00"/>
    <x v="2"/>
    <s v="Tablet Lenovo"/>
    <x v="0"/>
    <x v="2"/>
    <n v="2"/>
    <n v="705"/>
    <n v="0.12"/>
    <x v="390"/>
    <s v="Venta Normal"/>
    <s v="Office Design"/>
    <x v="1"/>
    <m/>
  </r>
  <r>
    <n v="394"/>
    <d v="2025-01-28T00:00:00"/>
    <x v="4"/>
    <s v="Licuadora de Mano"/>
    <x v="1"/>
    <x v="4"/>
    <n v="1"/>
    <n v="4719"/>
    <n v="0.13"/>
    <x v="391"/>
    <s v="Venta Normal"/>
    <s v="LG Electronics"/>
    <x v="1"/>
    <m/>
  </r>
  <r>
    <n v="395"/>
    <d v="2025-01-29T00:00:00"/>
    <x v="3"/>
    <s v="Teclado Mecánico"/>
    <x v="2"/>
    <x v="3"/>
    <n v="9"/>
    <n v="348"/>
    <n v="0.11"/>
    <x v="392"/>
    <s v="Venta Normal"/>
    <s v="Samsung Oficial"/>
    <x v="1"/>
    <m/>
  </r>
  <r>
    <n v="269"/>
    <d v="2024-09-25T00:00:00"/>
    <x v="4"/>
    <s v="Auriculares Bluetooth"/>
    <x v="0"/>
    <x v="4"/>
    <n v="9"/>
    <n v="1492"/>
    <n v="0.14000000000000001"/>
    <x v="393"/>
    <s v="Venta Grande"/>
    <s v="LG Electronics"/>
    <x v="0"/>
    <s v="ALM-01"/>
  </r>
  <r>
    <n v="397"/>
    <d v="2025-01-31T00:00:00"/>
    <x v="1"/>
    <s v="Smart TV 50&quot;"/>
    <x v="0"/>
    <x v="1"/>
    <n v="17"/>
    <n v="1482"/>
    <n v="0.08"/>
    <x v="394"/>
    <s v="Venta Grande"/>
    <s v="LG Electronics"/>
    <x v="2"/>
    <s v="ALM-01"/>
  </r>
  <r>
    <n v="55"/>
    <d v="2024-02-24T00:00:00"/>
    <x v="3"/>
    <s v="Smart TV 50&quot;"/>
    <x v="0"/>
    <x v="3"/>
    <n v="5"/>
    <n v="1470"/>
    <n v="0.04"/>
    <x v="395"/>
    <s v="Venta Grande"/>
    <s v="LG Electronics"/>
    <x v="0"/>
    <s v="ALM-01"/>
  </r>
  <r>
    <n v="335"/>
    <d v="2024-11-30T00:00:00"/>
    <x v="3"/>
    <s v="Auriculares Bluetooth"/>
    <x v="0"/>
    <x v="3"/>
    <n v="19"/>
    <n v="1466"/>
    <n v="0.01"/>
    <x v="396"/>
    <s v="Venta Grande"/>
    <s v="LG Electronics"/>
    <x v="2"/>
    <s v="ALM-01"/>
  </r>
  <r>
    <n v="236"/>
    <d v="2024-08-23T00:00:00"/>
    <x v="0"/>
    <s v="Auriculares Bluetooth"/>
    <x v="0"/>
    <x v="0"/>
    <n v="16"/>
    <n v="1438"/>
    <n v="0.08"/>
    <x v="397"/>
    <s v="Venta Grande"/>
    <s v="LG Electronics"/>
    <x v="2"/>
    <s v="ALM-01"/>
  </r>
  <r>
    <n v="56"/>
    <d v="2024-02-25T00:00:00"/>
    <x v="0"/>
    <s v="Smart TV 50&quot;"/>
    <x v="0"/>
    <x v="0"/>
    <n v="14"/>
    <n v="1437"/>
    <n v="0.04"/>
    <x v="398"/>
    <s v="Venta Grande"/>
    <s v="LG Electronics"/>
    <x v="2"/>
    <s v="ALM-01"/>
  </r>
  <r>
    <n v="391"/>
    <d v="2025-01-25T00:00:00"/>
    <x v="0"/>
    <s v="Aspiradora Robot"/>
    <x v="1"/>
    <x v="0"/>
    <n v="10"/>
    <n v="1435"/>
    <n v="0.12"/>
    <x v="399"/>
    <s v="Venta Grande"/>
    <s v="Samsung Oficial"/>
    <x v="0"/>
    <s v="ALM-02"/>
  </r>
  <r>
    <n v="70"/>
    <d v="2024-03-10T00:00:00"/>
    <x v="3"/>
    <s v="Monitor 24&quot;"/>
    <x v="2"/>
    <x v="3"/>
    <n v="13"/>
    <n v="1431"/>
    <n v="0.06"/>
    <x v="400"/>
    <s v="Venta Grande"/>
    <s v="Office Design"/>
    <x v="0"/>
    <s v="ALM-03"/>
  </r>
  <r>
    <n v="190"/>
    <d v="2024-07-08T00:00:00"/>
    <x v="3"/>
    <s v="Cafetera Eléctrica"/>
    <x v="1"/>
    <x v="3"/>
    <n v="12"/>
    <n v="1425"/>
    <n v="0.14000000000000001"/>
    <x v="401"/>
    <s v="Venta Grande"/>
    <s v="LG Electronics"/>
    <x v="0"/>
    <s v="ALM-02"/>
  </r>
  <r>
    <n v="387"/>
    <d v="2025-01-21T00:00:00"/>
    <x v="1"/>
    <s v="Celular Samsung"/>
    <x v="0"/>
    <x v="1"/>
    <n v="8"/>
    <n v="1418"/>
    <n v="0.02"/>
    <x v="402"/>
    <s v="Venta Grande"/>
    <s v="Samsung Oficial"/>
    <x v="0"/>
    <s v="ALM-01"/>
  </r>
  <r>
    <n v="462"/>
    <d v="2025-04-06T00:00:00"/>
    <x v="1"/>
    <s v="Smart TV 50&quot;"/>
    <x v="0"/>
    <x v="1"/>
    <n v="17"/>
    <n v="1402"/>
    <n v="0.13"/>
    <x v="403"/>
    <s v="Venta Grande"/>
    <s v="LG Electronics"/>
    <x v="2"/>
    <s v="ALM-01"/>
  </r>
  <r>
    <n v="120"/>
    <d v="2024-04-29T00:00:00"/>
    <x v="3"/>
    <s v="Teclado Mecánico"/>
    <x v="2"/>
    <x v="3"/>
    <n v="12"/>
    <n v="1398"/>
    <n v="0.11"/>
    <x v="404"/>
    <s v="Venta Grande"/>
    <s v="Samsung Oficial"/>
    <x v="0"/>
    <s v="ALM-03"/>
  </r>
  <r>
    <n v="300"/>
    <d v="2024-10-26T00:00:00"/>
    <x v="3"/>
    <s v="Cafetera Eléctrica"/>
    <x v="1"/>
    <x v="3"/>
    <n v="17"/>
    <n v="1385"/>
    <n v="7.0000000000000007E-2"/>
    <x v="405"/>
    <s v="Venta Grande"/>
    <s v="LG Electronics"/>
    <x v="0"/>
    <s v="ALM-02"/>
  </r>
  <r>
    <n v="288"/>
    <d v="2024-10-14T00:00:00"/>
    <x v="2"/>
    <s v="Celular Samsung"/>
    <x v="0"/>
    <x v="2"/>
    <n v="7"/>
    <n v="1362"/>
    <n v="0.15"/>
    <x v="406"/>
    <s v="Venta Grande"/>
    <s v="Samsung Oficial"/>
    <x v="0"/>
    <s v="ALM-01"/>
  </r>
  <r>
    <n v="240"/>
    <d v="2024-08-27T00:00:00"/>
    <x v="3"/>
    <s v="Licuadora de Mano"/>
    <x v="1"/>
    <x v="3"/>
    <n v="10"/>
    <n v="1358"/>
    <n v="0.02"/>
    <x v="407"/>
    <s v="Venta Grande"/>
    <s v="LG Electronics"/>
    <x v="0"/>
    <s v="ALM-02"/>
  </r>
  <r>
    <n v="411"/>
    <d v="2025-02-14T00:00:00"/>
    <x v="0"/>
    <s v="Monitor 24&quot;"/>
    <x v="2"/>
    <x v="0"/>
    <n v="7"/>
    <n v="216"/>
    <n v="0.1"/>
    <x v="408"/>
    <s v="Venta Normal"/>
    <s v="Office Design"/>
    <x v="1"/>
    <m/>
  </r>
  <r>
    <n v="412"/>
    <d v="2025-02-15T00:00:00"/>
    <x v="1"/>
    <s v="Auriculares Bluetooth"/>
    <x v="0"/>
    <x v="1"/>
    <n v="6"/>
    <n v="286"/>
    <n v="0.12"/>
    <x v="409"/>
    <s v="Venta Normal"/>
    <s v="LG Electronics"/>
    <x v="1"/>
    <m/>
  </r>
  <r>
    <n v="413"/>
    <d v="2025-02-16T00:00:00"/>
    <x v="2"/>
    <s v="Aspiradora Robot"/>
    <x v="1"/>
    <x v="2"/>
    <n v="1"/>
    <n v="2578"/>
    <n v="0.08"/>
    <x v="410"/>
    <s v="Venta Normal"/>
    <s v="Samsung Oficial"/>
    <x v="1"/>
    <m/>
  </r>
  <r>
    <n v="239"/>
    <d v="2024-08-26T00:00:00"/>
    <x v="4"/>
    <s v="Tablet Lenovo"/>
    <x v="0"/>
    <x v="4"/>
    <n v="4"/>
    <n v="1352"/>
    <n v="0.08"/>
    <x v="411"/>
    <s v="Venta Grande"/>
    <s v="Office Design"/>
    <x v="0"/>
    <s v="ALM-01"/>
  </r>
  <r>
    <n v="8"/>
    <d v="2024-01-08T00:00:00"/>
    <x v="2"/>
    <s v="Tablet Lenovo"/>
    <x v="0"/>
    <x v="2"/>
    <n v="13"/>
    <n v="1347"/>
    <n v="7.0000000000000007E-2"/>
    <x v="412"/>
    <s v="Venta Grande"/>
    <s v="Office Design"/>
    <x v="0"/>
    <s v="ALM-01"/>
  </r>
  <r>
    <n v="377"/>
    <d v="2025-01-11T00:00:00"/>
    <x v="1"/>
    <s v="Cafetera Eléctrica"/>
    <x v="1"/>
    <x v="1"/>
    <n v="18"/>
    <n v="1335"/>
    <n v="0.11"/>
    <x v="413"/>
    <s v="Venta Grande"/>
    <s v="LG Electronics"/>
    <x v="0"/>
    <s v="ALM-02"/>
  </r>
  <r>
    <n v="205"/>
    <d v="2024-07-23T00:00:00"/>
    <x v="3"/>
    <s v="Silla Ergonómica"/>
    <x v="2"/>
    <x v="3"/>
    <n v="8"/>
    <n v="1320"/>
    <n v="0.05"/>
    <x v="414"/>
    <s v="Venta Grande"/>
    <s v="LG Electronics"/>
    <x v="0"/>
    <s v="ALM-03"/>
  </r>
  <r>
    <n v="502"/>
    <d v="2025-05-16T00:00:00"/>
    <x v="1"/>
    <s v="Silla Ergonómica"/>
    <x v="2"/>
    <x v="1"/>
    <n v="12"/>
    <n v="1313"/>
    <n v="0.03"/>
    <x v="415"/>
    <s v="Venta Grande"/>
    <s v="LG Electronics"/>
    <x v="0"/>
    <s v="ALM-03"/>
  </r>
  <r>
    <n v="52"/>
    <d v="2024-02-21T00:00:00"/>
    <x v="1"/>
    <s v="Tablet Lenovo"/>
    <x v="0"/>
    <x v="1"/>
    <n v="16"/>
    <n v="1310"/>
    <n v="0.09"/>
    <x v="416"/>
    <s v="Venta Grande"/>
    <s v="Office Design"/>
    <x v="2"/>
    <s v="ALM-01"/>
  </r>
  <r>
    <n v="420"/>
    <d v="2025-02-23T00:00:00"/>
    <x v="3"/>
    <s v="Celular Samsung"/>
    <x v="0"/>
    <x v="3"/>
    <n v="3"/>
    <n v="515"/>
    <n v="0.1"/>
    <x v="417"/>
    <s v="Venta Normal"/>
    <s v="Samsung Oficial"/>
    <x v="1"/>
    <m/>
  </r>
  <r>
    <n v="359"/>
    <d v="2024-12-24T00:00:00"/>
    <x v="4"/>
    <s v="Silla Ergonómica"/>
    <x v="2"/>
    <x v="4"/>
    <n v="12"/>
    <n v="1307"/>
    <n v="0.1"/>
    <x v="418"/>
    <s v="Venta Grande"/>
    <s v="LG Electronics"/>
    <x v="0"/>
    <s v="ALM-03"/>
  </r>
  <r>
    <n v="268"/>
    <d v="2024-09-24T00:00:00"/>
    <x v="2"/>
    <s v="Monitor 24&quot;"/>
    <x v="2"/>
    <x v="2"/>
    <n v="20"/>
    <n v="1298"/>
    <n v="7.0000000000000007E-2"/>
    <x v="419"/>
    <s v="Venta Grande"/>
    <s v="Office Design"/>
    <x v="0"/>
    <s v="ALM-03"/>
  </r>
  <r>
    <n v="432"/>
    <d v="2025-03-07T00:00:00"/>
    <x v="1"/>
    <s v="Cafetera Eléctrica"/>
    <x v="1"/>
    <x v="1"/>
    <n v="9"/>
    <n v="1297"/>
    <n v="0.12"/>
    <x v="420"/>
    <s v="Venta Grande"/>
    <s v="LG Electronics"/>
    <x v="0"/>
    <s v="ALM-02"/>
  </r>
  <r>
    <n v="207"/>
    <d v="2024-07-25T00:00:00"/>
    <x v="1"/>
    <s v="Licuadora de Mano"/>
    <x v="1"/>
    <x v="1"/>
    <n v="11"/>
    <n v="1294"/>
    <n v="0.15"/>
    <x v="421"/>
    <s v="Venta Grande"/>
    <s v="LG Electronics"/>
    <x v="0"/>
    <s v="ALM-02"/>
  </r>
  <r>
    <n v="381"/>
    <d v="2025-01-15T00:00:00"/>
    <x v="0"/>
    <s v="Silla Ergonómica"/>
    <x v="2"/>
    <x v="0"/>
    <n v="20"/>
    <n v="1275"/>
    <n v="0.09"/>
    <x v="422"/>
    <s v="Venta Grande"/>
    <s v="LG Electronics"/>
    <x v="0"/>
    <s v="ALM-03"/>
  </r>
  <r>
    <n v="261"/>
    <d v="2024-09-17T00:00:00"/>
    <x v="0"/>
    <s v="Tablet Lenovo"/>
    <x v="0"/>
    <x v="0"/>
    <n v="18"/>
    <n v="1273"/>
    <n v="0.05"/>
    <x v="423"/>
    <s v="Venta Grande"/>
    <s v="Office Design"/>
    <x v="2"/>
    <s v="ALM-01"/>
  </r>
  <r>
    <n v="475"/>
    <d v="2025-04-19T00:00:00"/>
    <x v="3"/>
    <s v="Celular Samsung"/>
    <x v="0"/>
    <x v="3"/>
    <n v="17"/>
    <n v="1264"/>
    <n v="0.11"/>
    <x v="424"/>
    <s v="Venta Grande"/>
    <s v="Samsung Oficial"/>
    <x v="2"/>
    <s v="ALM-01"/>
  </r>
  <r>
    <n v="428"/>
    <d v="2025-03-03T00:00:00"/>
    <x v="2"/>
    <s v="Teclado Mecánico"/>
    <x v="2"/>
    <x v="2"/>
    <n v="11"/>
    <n v="248"/>
    <n v="0.02"/>
    <x v="425"/>
    <s v="Venta Normal"/>
    <s v="Samsung Oficial"/>
    <x v="1"/>
    <m/>
  </r>
  <r>
    <n v="111"/>
    <d v="2024-04-20T00:00:00"/>
    <x v="0"/>
    <s v="Smart TV 50&quot;"/>
    <x v="0"/>
    <x v="0"/>
    <n v="16"/>
    <n v="1263"/>
    <n v="0.12"/>
    <x v="426"/>
    <s v="Venta Grande"/>
    <s v="LG Electronics"/>
    <x v="2"/>
    <s v="ALM-01"/>
  </r>
  <r>
    <n v="117"/>
    <d v="2024-04-26T00:00:00"/>
    <x v="1"/>
    <s v="Silla Ergonómica"/>
    <x v="2"/>
    <x v="1"/>
    <n v="6"/>
    <n v="1259"/>
    <n v="0.11"/>
    <x v="427"/>
    <s v="Venta Grande"/>
    <s v="LG Electronics"/>
    <x v="0"/>
    <s v="ALM-03"/>
  </r>
  <r>
    <n v="79"/>
    <d v="2024-03-19T00:00:00"/>
    <x v="4"/>
    <s v="Celular Samsung"/>
    <x v="0"/>
    <x v="4"/>
    <n v="12"/>
    <n v="1247"/>
    <n v="0.06"/>
    <x v="428"/>
    <s v="Venta Grande"/>
    <s v="Samsung Oficial"/>
    <x v="0"/>
    <s v="ALM-01"/>
  </r>
  <r>
    <n v="477"/>
    <d v="2025-04-21T00:00:00"/>
    <x v="1"/>
    <s v="Monitor 24&quot;"/>
    <x v="2"/>
    <x v="1"/>
    <n v="6"/>
    <n v="1246"/>
    <n v="0.11"/>
    <x v="429"/>
    <s v="Venta Grande"/>
    <s v="Office Design"/>
    <x v="0"/>
    <s v="ALM-03"/>
  </r>
  <r>
    <n v="115"/>
    <d v="2024-04-24T00:00:00"/>
    <x v="3"/>
    <s v="Auriculares Bluetooth"/>
    <x v="0"/>
    <x v="3"/>
    <n v="18"/>
    <n v="1225"/>
    <n v="0.03"/>
    <x v="430"/>
    <s v="Venta Grande"/>
    <s v="LG Electronics"/>
    <x v="2"/>
    <s v="ALM-01"/>
  </r>
  <r>
    <n v="48"/>
    <d v="2024-02-17T00:00:00"/>
    <x v="2"/>
    <s v="Monitor 24&quot;"/>
    <x v="2"/>
    <x v="2"/>
    <n v="10"/>
    <n v="1216"/>
    <n v="0.01"/>
    <x v="431"/>
    <s v="Venta Grande"/>
    <s v="Office Design"/>
    <x v="0"/>
    <s v="ALM-03"/>
  </r>
  <r>
    <n v="399"/>
    <d v="2025-02-02T00:00:00"/>
    <x v="4"/>
    <s v="Cafetera Eléctrica"/>
    <x v="1"/>
    <x v="4"/>
    <n v="14"/>
    <n v="1216"/>
    <n v="0.15"/>
    <x v="432"/>
    <s v="Venta Grande"/>
    <s v="LG Electronics"/>
    <x v="0"/>
    <s v="ALM-02"/>
  </r>
  <r>
    <n v="444"/>
    <d v="2025-03-19T00:00:00"/>
    <x v="4"/>
    <s v="Monitor 24&quot;"/>
    <x v="2"/>
    <x v="4"/>
    <n v="7"/>
    <n v="1210"/>
    <n v="0.05"/>
    <x v="433"/>
    <s v="Venta Grande"/>
    <s v="Office Design"/>
    <x v="0"/>
    <s v="ALM-03"/>
  </r>
  <r>
    <n v="336"/>
    <d v="2024-12-01T00:00:00"/>
    <x v="0"/>
    <s v="Aspiradora Robot"/>
    <x v="1"/>
    <x v="0"/>
    <n v="12"/>
    <n v="1190"/>
    <n v="0.04"/>
    <x v="434"/>
    <s v="Venta Grande"/>
    <s v="Samsung Oficial"/>
    <x v="0"/>
    <s v="ALM-02"/>
  </r>
  <r>
    <n v="182"/>
    <d v="2024-06-30T00:00:00"/>
    <x v="1"/>
    <s v="Aspiradora Robot"/>
    <x v="1"/>
    <x v="1"/>
    <n v="12"/>
    <n v="1188"/>
    <n v="0.05"/>
    <x v="435"/>
    <s v="Venta Grande"/>
    <s v="Samsung Oficial"/>
    <x v="0"/>
    <s v="ALM-02"/>
  </r>
  <r>
    <n v="246"/>
    <d v="2024-09-02T00:00:00"/>
    <x v="0"/>
    <s v="Monitor 24&quot;"/>
    <x v="2"/>
    <x v="0"/>
    <n v="20"/>
    <n v="1163"/>
    <n v="0.11"/>
    <x v="436"/>
    <s v="Venta Grande"/>
    <s v="Office Design"/>
    <x v="0"/>
    <s v="ALM-03"/>
  </r>
  <r>
    <n v="40"/>
    <d v="2024-02-09T00:00:00"/>
    <x v="3"/>
    <s v="Silla Ergonómica"/>
    <x v="2"/>
    <x v="3"/>
    <n v="17"/>
    <n v="1149"/>
    <n v="0.05"/>
    <x v="437"/>
    <s v="Venta Grande"/>
    <s v="LG Electronics"/>
    <x v="0"/>
    <s v="ALM-03"/>
  </r>
  <r>
    <n v="158"/>
    <d v="2024-06-06T00:00:00"/>
    <x v="2"/>
    <s v="Monitor 24&quot;"/>
    <x v="2"/>
    <x v="2"/>
    <n v="14"/>
    <n v="1076"/>
    <n v="0.12"/>
    <x v="438"/>
    <s v="Venta Grande"/>
    <s v="Office Design"/>
    <x v="0"/>
    <s v="ALM-03"/>
  </r>
  <r>
    <n v="442"/>
    <d v="2025-03-17T00:00:00"/>
    <x v="1"/>
    <s v="Celular Samsung"/>
    <x v="0"/>
    <x v="1"/>
    <n v="6"/>
    <n v="634"/>
    <n v="0.14000000000000001"/>
    <x v="439"/>
    <s v="Venta Normal"/>
    <s v="Samsung Oficial"/>
    <x v="1"/>
    <m/>
  </r>
  <r>
    <n v="11"/>
    <d v="2024-01-11T00:00:00"/>
    <x v="0"/>
    <s v="Smart TV 50&quot;"/>
    <x v="0"/>
    <x v="0"/>
    <n v="14"/>
    <n v="1073"/>
    <n v="7.0000000000000007E-2"/>
    <x v="440"/>
    <s v="Venta Grande"/>
    <s v="LG Electronics"/>
    <x v="0"/>
    <s v="ALM-01"/>
  </r>
  <r>
    <n v="431"/>
    <d v="2025-03-06T00:00:00"/>
    <x v="0"/>
    <s v="Celular Samsung"/>
    <x v="0"/>
    <x v="0"/>
    <n v="13"/>
    <n v="1073"/>
    <n v="0.11"/>
    <x v="441"/>
    <s v="Venta Grande"/>
    <s v="Samsung Oficial"/>
    <x v="0"/>
    <s v="ALM-01"/>
  </r>
  <r>
    <n v="15"/>
    <d v="2024-01-15T00:00:00"/>
    <x v="3"/>
    <s v="Monitor 24&quot;"/>
    <x v="2"/>
    <x v="3"/>
    <n v="14"/>
    <n v="1060"/>
    <n v="0.1"/>
    <x v="442"/>
    <s v="Venta Grande"/>
    <s v="Office Design"/>
    <x v="0"/>
    <s v="ALM-03"/>
  </r>
  <r>
    <n v="452"/>
    <d v="2025-03-27T00:00:00"/>
    <x v="1"/>
    <s v="Smart TV 50&quot;"/>
    <x v="0"/>
    <x v="1"/>
    <n v="17"/>
    <n v="1058"/>
    <n v="0.15"/>
    <x v="443"/>
    <s v="Venta Grande"/>
    <s v="LG Electronics"/>
    <x v="0"/>
    <s v="ALM-01"/>
  </r>
  <r>
    <n v="64"/>
    <d v="2024-03-04T00:00:00"/>
    <x v="4"/>
    <s v="Licuadora de Mano"/>
    <x v="1"/>
    <x v="4"/>
    <n v="14"/>
    <n v="1055"/>
    <n v="0.12"/>
    <x v="444"/>
    <s v="Venta Grande"/>
    <s v="LG Electronics"/>
    <x v="0"/>
    <s v="ALM-02"/>
  </r>
  <r>
    <n v="448"/>
    <d v="2025-03-23T00:00:00"/>
    <x v="2"/>
    <s v="Tablet Lenovo"/>
    <x v="0"/>
    <x v="2"/>
    <n v="13"/>
    <n v="145"/>
    <n v="0.03"/>
    <x v="445"/>
    <s v="Venta Normal"/>
    <s v="Office Design"/>
    <x v="1"/>
    <m/>
  </r>
  <r>
    <n v="226"/>
    <d v="2024-08-13T00:00:00"/>
    <x v="0"/>
    <s v="Aspiradora Robot"/>
    <x v="1"/>
    <x v="0"/>
    <n v="14"/>
    <n v="1044"/>
    <n v="0.15"/>
    <x v="446"/>
    <s v="Venta Grande"/>
    <s v="Samsung Oficial"/>
    <x v="0"/>
    <s v="ALM-02"/>
  </r>
  <r>
    <n v="250"/>
    <d v="2024-09-06T00:00:00"/>
    <x v="3"/>
    <s v="Tablet Lenovo"/>
    <x v="0"/>
    <x v="3"/>
    <n v="7"/>
    <n v="1026"/>
    <n v="0.03"/>
    <x v="447"/>
    <s v="Venta Grande"/>
    <s v="Office Design"/>
    <x v="0"/>
    <s v="ALM-01"/>
  </r>
  <r>
    <n v="316"/>
    <d v="2024-11-11T00:00:00"/>
    <x v="0"/>
    <s v="Tablet Lenovo"/>
    <x v="0"/>
    <x v="0"/>
    <n v="16"/>
    <n v="1012"/>
    <n v="0.05"/>
    <x v="448"/>
    <s v="Venta Grande"/>
    <s v="Office Design"/>
    <x v="0"/>
    <s v="ALM-01"/>
  </r>
  <r>
    <n v="118"/>
    <d v="2024-04-27T00:00:00"/>
    <x v="2"/>
    <s v="Tablet Lenovo"/>
    <x v="0"/>
    <x v="2"/>
    <n v="18"/>
    <n v="1005"/>
    <n v="0.05"/>
    <x v="449"/>
    <s v="Venta Grande"/>
    <s v="Office Design"/>
    <x v="0"/>
    <s v="ALM-01"/>
  </r>
  <r>
    <n v="479"/>
    <d v="2025-04-23T00:00:00"/>
    <x v="4"/>
    <s v="Aspiradora Robot"/>
    <x v="1"/>
    <x v="4"/>
    <n v="20"/>
    <n v="981"/>
    <n v="0.08"/>
    <x v="450"/>
    <s v="Venta Grande"/>
    <s v="Samsung Oficial"/>
    <x v="0"/>
    <s v="ALM-02"/>
  </r>
  <r>
    <n v="66"/>
    <d v="2024-03-06T00:00:00"/>
    <x v="0"/>
    <s v="Smart TV 50&quot;"/>
    <x v="0"/>
    <x v="0"/>
    <n v="16"/>
    <n v="974"/>
    <n v="0.05"/>
    <x v="451"/>
    <s v="Venta Grande"/>
    <s v="LG Electronics"/>
    <x v="0"/>
    <s v="ALM-01"/>
  </r>
  <r>
    <n v="455"/>
    <d v="2025-03-30T00:00:00"/>
    <x v="3"/>
    <s v="Monitor 24&quot;"/>
    <x v="2"/>
    <x v="3"/>
    <n v="17"/>
    <n v="111"/>
    <n v="0.04"/>
    <x v="452"/>
    <s v="Venta Normal"/>
    <s v="Office Design"/>
    <x v="1"/>
    <m/>
  </r>
  <r>
    <n v="173"/>
    <d v="2024-06-21T00:00:00"/>
    <x v="2"/>
    <s v="Tablet Lenovo"/>
    <x v="0"/>
    <x v="2"/>
    <n v="18"/>
    <n v="968"/>
    <n v="0.02"/>
    <x v="453"/>
    <s v="Venta Grande"/>
    <s v="Office Design"/>
    <x v="0"/>
    <s v="ALM-01"/>
  </r>
  <r>
    <n v="215"/>
    <d v="2024-08-02T00:00:00"/>
    <x v="3"/>
    <s v="Aspiradora Robot"/>
    <x v="1"/>
    <x v="3"/>
    <n v="12"/>
    <n v="960"/>
    <n v="0.09"/>
    <x v="454"/>
    <s v="Venta Grande"/>
    <s v="Samsung Oficial"/>
    <x v="0"/>
    <s v="ALM-02"/>
  </r>
  <r>
    <n v="280"/>
    <d v="2024-10-06T00:00:00"/>
    <x v="3"/>
    <s v="Auriculares Bluetooth"/>
    <x v="0"/>
    <x v="3"/>
    <n v="9"/>
    <n v="936"/>
    <n v="0.08"/>
    <x v="455"/>
    <s v="Venta Grande"/>
    <s v="LG Electronics"/>
    <x v="0"/>
    <s v="ALM-01"/>
  </r>
  <r>
    <n v="430"/>
    <d v="2025-03-05T00:00:00"/>
    <x v="3"/>
    <s v="Smart TV 50&quot;"/>
    <x v="0"/>
    <x v="3"/>
    <n v="19"/>
    <n v="936"/>
    <n v="0.11"/>
    <x v="71"/>
    <s v="Venta Grande"/>
    <s v="LG Electronics"/>
    <x v="0"/>
    <s v="ALM-01"/>
  </r>
  <r>
    <n v="340"/>
    <d v="2024-12-05T00:00:00"/>
    <x v="3"/>
    <s v="Teclado Mecánico"/>
    <x v="2"/>
    <x v="3"/>
    <n v="12"/>
    <n v="921"/>
    <n v="0.06"/>
    <x v="456"/>
    <s v="Venta Grande"/>
    <s v="Samsung Oficial"/>
    <x v="0"/>
    <s v="ALM-03"/>
  </r>
  <r>
    <n v="252"/>
    <d v="2024-09-08T00:00:00"/>
    <x v="1"/>
    <s v="Teclado Mecánico"/>
    <x v="2"/>
    <x v="1"/>
    <n v="9"/>
    <n v="917"/>
    <n v="0.02"/>
    <x v="457"/>
    <s v="Venta Grande"/>
    <s v="Samsung Oficial"/>
    <x v="0"/>
    <s v="ALM-03"/>
  </r>
  <r>
    <n v="286"/>
    <d v="2024-10-12T00:00:00"/>
    <x v="0"/>
    <s v="Smart TV 50&quot;"/>
    <x v="0"/>
    <x v="0"/>
    <n v="9"/>
    <n v="906"/>
    <n v="0.04"/>
    <x v="458"/>
    <s v="Venta Grande"/>
    <s v="LG Electronics"/>
    <x v="0"/>
    <s v="ALM-01"/>
  </r>
  <r>
    <n v="463"/>
    <d v="2025-04-07T00:00:00"/>
    <x v="2"/>
    <s v="Smart TV 50&quot;"/>
    <x v="0"/>
    <x v="2"/>
    <n v="2"/>
    <n v="2047"/>
    <n v="0.05"/>
    <x v="459"/>
    <s v="Venta Normal"/>
    <s v="LG Electronics"/>
    <x v="1"/>
    <m/>
  </r>
  <r>
    <n v="464"/>
    <d v="2025-04-08T00:00:00"/>
    <x v="4"/>
    <s v="Celular Samsung"/>
    <x v="0"/>
    <x v="4"/>
    <n v="2"/>
    <n v="1011"/>
    <n v="0.08"/>
    <x v="460"/>
    <s v="Venta Normal"/>
    <s v="Samsung Oficial"/>
    <x v="1"/>
    <m/>
  </r>
  <r>
    <n v="153"/>
    <d v="2024-06-01T00:00:00"/>
    <x v="2"/>
    <s v="Teclado Mecánico"/>
    <x v="2"/>
    <x v="2"/>
    <n v="6"/>
    <n v="883"/>
    <n v="0.06"/>
    <x v="461"/>
    <s v="Venta Grande"/>
    <s v="Samsung Oficial"/>
    <x v="0"/>
    <s v="ALM-03"/>
  </r>
  <r>
    <n v="451"/>
    <d v="2025-03-26T00:00:00"/>
    <x v="0"/>
    <s v="Smart TV 50&quot;"/>
    <x v="0"/>
    <x v="0"/>
    <n v="20"/>
    <n v="848"/>
    <n v="7.0000000000000007E-2"/>
    <x v="462"/>
    <s v="Venta Grande"/>
    <s v="LG Electronics"/>
    <x v="0"/>
    <s v="ALM-01"/>
  </r>
  <r>
    <n v="29"/>
    <d v="2024-01-29T00:00:00"/>
    <x v="4"/>
    <s v="Silla Ergonómica"/>
    <x v="2"/>
    <x v="4"/>
    <n v="15"/>
    <n v="845"/>
    <n v="0.09"/>
    <x v="463"/>
    <s v="Venta Grande"/>
    <s v="LG Electronics"/>
    <x v="0"/>
    <s v="ALM-03"/>
  </r>
  <r>
    <n v="481"/>
    <d v="2025-04-25T00:00:00"/>
    <x v="0"/>
    <s v="Tablet Lenovo"/>
    <x v="0"/>
    <x v="0"/>
    <n v="8"/>
    <n v="844"/>
    <n v="0.1"/>
    <x v="464"/>
    <s v="Venta Grande"/>
    <s v="Office Design"/>
    <x v="0"/>
    <s v="ALM-01"/>
  </r>
  <r>
    <n v="357"/>
    <d v="2024-12-22T00:00:00"/>
    <x v="1"/>
    <s v="Auriculares Bluetooth"/>
    <x v="0"/>
    <x v="1"/>
    <n v="11"/>
    <n v="830"/>
    <n v="0.04"/>
    <x v="465"/>
    <s v="Venta Grande"/>
    <s v="LG Electronics"/>
    <x v="0"/>
    <s v="ALM-01"/>
  </r>
  <r>
    <n v="338"/>
    <d v="2024-12-03T00:00:00"/>
    <x v="2"/>
    <s v="Tablet Lenovo"/>
    <x v="0"/>
    <x v="2"/>
    <n v="20"/>
    <n v="821"/>
    <n v="0.14000000000000001"/>
    <x v="466"/>
    <s v="Venta Grande"/>
    <s v="Office Design"/>
    <x v="0"/>
    <s v="ALM-01"/>
  </r>
  <r>
    <n v="175"/>
    <d v="2024-06-23T00:00:00"/>
    <x v="3"/>
    <s v="Teclado Mecánico"/>
    <x v="2"/>
    <x v="3"/>
    <n v="10"/>
    <n v="801"/>
    <n v="0.08"/>
    <x v="467"/>
    <s v="Venta Grande"/>
    <s v="Samsung Oficial"/>
    <x v="0"/>
    <s v="ALM-03"/>
  </r>
  <r>
    <n v="440"/>
    <d v="2025-03-15T00:00:00"/>
    <x v="3"/>
    <s v="Smart TV 50&quot;"/>
    <x v="0"/>
    <x v="3"/>
    <n v="20"/>
    <n v="800"/>
    <n v="0.04"/>
    <x v="468"/>
    <s v="Venta Grande"/>
    <s v="LG Electronics"/>
    <x v="0"/>
    <s v="ALM-01"/>
  </r>
  <r>
    <n v="473"/>
    <d v="2025-04-17T00:00:00"/>
    <x v="2"/>
    <s v="Smart TV 50&quot;"/>
    <x v="0"/>
    <x v="2"/>
    <n v="4"/>
    <n v="301"/>
    <n v="0.08"/>
    <x v="469"/>
    <s v="Venta Normal"/>
    <s v="LG Electronics"/>
    <x v="1"/>
    <m/>
  </r>
  <r>
    <n v="222"/>
    <d v="2024-08-09T00:00:00"/>
    <x v="1"/>
    <s v="Celular Samsung"/>
    <x v="0"/>
    <x v="1"/>
    <n v="17"/>
    <n v="788"/>
    <n v="0.11"/>
    <x v="470"/>
    <s v="Venta Grande"/>
    <s v="Samsung Oficial"/>
    <x v="0"/>
    <s v="ALM-01"/>
  </r>
  <r>
    <n v="445"/>
    <d v="2025-03-20T00:00:00"/>
    <x v="3"/>
    <s v="Auriculares Bluetooth"/>
    <x v="0"/>
    <x v="3"/>
    <n v="14"/>
    <n v="769"/>
    <n v="0.15"/>
    <x v="471"/>
    <s v="Venta Grande"/>
    <s v="LG Electronics"/>
    <x v="0"/>
    <s v="ALM-01"/>
  </r>
  <r>
    <n v="476"/>
    <d v="2025-04-20T00:00:00"/>
    <x v="0"/>
    <s v="Cafetera Eléctrica"/>
    <x v="1"/>
    <x v="0"/>
    <n v="1"/>
    <n v="983"/>
    <n v="0.06"/>
    <x v="472"/>
    <s v="Venta Normal"/>
    <s v="LG Electronics"/>
    <x v="1"/>
    <m/>
  </r>
  <r>
    <n v="443"/>
    <d v="2025-03-18T00:00:00"/>
    <x v="2"/>
    <s v="Cafetera Eléctrica"/>
    <x v="1"/>
    <x v="2"/>
    <n v="16"/>
    <n v="748"/>
    <n v="0.06"/>
    <x v="473"/>
    <s v="Venta Grande"/>
    <s v="LG Electronics"/>
    <x v="0"/>
    <s v="ALM-02"/>
  </r>
  <r>
    <n v="363"/>
    <d v="2024-12-28T00:00:00"/>
    <x v="2"/>
    <s v="Smart TV 50&quot;"/>
    <x v="0"/>
    <x v="2"/>
    <n v="20"/>
    <n v="738"/>
    <n v="0.11"/>
    <x v="474"/>
    <s v="Venta Grande"/>
    <s v="LG Electronics"/>
    <x v="0"/>
    <s v="ALM-01"/>
  </r>
  <r>
    <n v="244"/>
    <d v="2024-08-31T00:00:00"/>
    <x v="4"/>
    <s v="Celular Samsung"/>
    <x v="0"/>
    <x v="4"/>
    <n v="17"/>
    <n v="724"/>
    <n v="0.05"/>
    <x v="475"/>
    <s v="Venta Grande"/>
    <s v="Samsung Oficial"/>
    <x v="0"/>
    <s v="ALM-01"/>
  </r>
  <r>
    <n v="480"/>
    <d v="2025-04-24T00:00:00"/>
    <x v="3"/>
    <s v="Silla Ergonómica"/>
    <x v="2"/>
    <x v="3"/>
    <n v="3"/>
    <n v="1014"/>
    <n v="0.06"/>
    <x v="476"/>
    <s v="Venta Normal"/>
    <s v="LG Electronics"/>
    <x v="1"/>
    <m/>
  </r>
  <r>
    <n v="484"/>
    <d v="2025-04-28T00:00:00"/>
    <x v="4"/>
    <s v="Smart TV 50&quot;"/>
    <x v="0"/>
    <x v="4"/>
    <n v="14"/>
    <n v="701"/>
    <n v="0.12"/>
    <x v="477"/>
    <s v="Venta Grande"/>
    <s v="LG Electronics"/>
    <x v="0"/>
    <s v="ALM-01"/>
  </r>
  <r>
    <n v="177"/>
    <d v="2024-06-25T00:00:00"/>
    <x v="1"/>
    <s v="Smart TV 50&quot;"/>
    <x v="0"/>
    <x v="1"/>
    <n v="9"/>
    <n v="700"/>
    <n v="0.04"/>
    <x v="478"/>
    <s v="Venta Grande"/>
    <s v="LG Electronics"/>
    <x v="0"/>
    <s v="ALM-01"/>
  </r>
  <r>
    <n v="89"/>
    <d v="2024-03-29T00:00:00"/>
    <x v="4"/>
    <s v="Smart TV 50&quot;"/>
    <x v="0"/>
    <x v="4"/>
    <n v="9"/>
    <n v="675"/>
    <n v="0.01"/>
    <x v="479"/>
    <s v="Venta Grande"/>
    <s v="LG Electronics"/>
    <x v="0"/>
    <s v="ALM-01"/>
  </r>
  <r>
    <n v="61"/>
    <d v="2024-03-01T00:00:00"/>
    <x v="0"/>
    <s v="Aspiradora Robot"/>
    <x v="1"/>
    <x v="0"/>
    <n v="15"/>
    <n v="639"/>
    <n v="0.12"/>
    <x v="480"/>
    <s v="Venta Grande"/>
    <s v="Samsung Oficial"/>
    <x v="0"/>
    <s v="ALM-02"/>
  </r>
  <r>
    <n v="132"/>
    <d v="2024-05-11T00:00:00"/>
    <x v="1"/>
    <s v="Smart TV 50&quot;"/>
    <x v="0"/>
    <x v="1"/>
    <n v="15"/>
    <n v="636"/>
    <n v="0.01"/>
    <x v="481"/>
    <s v="Venta Grande"/>
    <s v="LG Electronics"/>
    <x v="0"/>
    <s v="ALM-01"/>
  </r>
  <r>
    <n v="369"/>
    <d v="2025-01-03T00:00:00"/>
    <x v="4"/>
    <s v="Aspiradora Robot"/>
    <x v="1"/>
    <x v="4"/>
    <n v="18"/>
    <n v="635"/>
    <n v="0.1"/>
    <x v="482"/>
    <s v="Venta Grande"/>
    <s v="Samsung Oficial"/>
    <x v="0"/>
    <s v="ALM-02"/>
  </r>
  <r>
    <n v="230"/>
    <d v="2024-08-17T00:00:00"/>
    <x v="3"/>
    <s v="Teclado Mecánico"/>
    <x v="2"/>
    <x v="3"/>
    <n v="11"/>
    <n v="597"/>
    <n v="0.06"/>
    <x v="483"/>
    <s v="Venta Grande"/>
    <s v="Samsung Oficial"/>
    <x v="0"/>
    <s v="ALM-03"/>
  </r>
  <r>
    <n v="384"/>
    <d v="2025-01-18T00:00:00"/>
    <x v="4"/>
    <s v="Teclado Mecánico"/>
    <x v="2"/>
    <x v="4"/>
    <n v="11"/>
    <n v="543"/>
    <n v="0.03"/>
    <x v="484"/>
    <s v="Venta Grande"/>
    <s v="Samsung Oficial"/>
    <x v="0"/>
    <s v="ALM-03"/>
  </r>
  <r>
    <n v="12"/>
    <d v="2024-01-12T00:00:00"/>
    <x v="1"/>
    <s v="Smart TV 50&quot;"/>
    <x v="0"/>
    <x v="1"/>
    <n v="16"/>
    <n v="524"/>
    <n v="0.09"/>
    <x v="485"/>
    <s v="Venta Grande"/>
    <s v="LG Electronics"/>
    <x v="0"/>
    <s v="ALM-01"/>
  </r>
  <r>
    <n v="16"/>
    <d v="2024-01-16T00:00:00"/>
    <x v="0"/>
    <s v="Auriculares Bluetooth"/>
    <x v="0"/>
    <x v="0"/>
    <n v="11"/>
    <n v="520"/>
    <n v="0.15"/>
    <x v="486"/>
    <s v="Venta Grande"/>
    <s v="LG Electronics"/>
    <x v="0"/>
    <s v="ALM-01"/>
  </r>
  <r>
    <n v="264"/>
    <d v="2024-09-20T00:00:00"/>
    <x v="4"/>
    <s v="Smart TV 50&quot;"/>
    <x v="0"/>
    <x v="4"/>
    <n v="15"/>
    <n v="509"/>
    <n v="0.04"/>
    <x v="487"/>
    <s v="Venta Grande"/>
    <s v="LG Electronics"/>
    <x v="0"/>
    <s v="ALM-01"/>
  </r>
  <r>
    <n v="54"/>
    <d v="2024-02-23T00:00:00"/>
    <x v="4"/>
    <s v="Teclado Mecánico"/>
    <x v="2"/>
    <x v="4"/>
    <n v="14"/>
    <n v="507"/>
    <n v="0.08"/>
    <x v="488"/>
    <s v="Venta Grande"/>
    <s v="Samsung Oficial"/>
    <x v="0"/>
    <s v="ALM-03"/>
  </r>
  <r>
    <n v="301"/>
    <d v="2024-10-27T00:00:00"/>
    <x v="0"/>
    <s v="Monitor 24&quot;"/>
    <x v="2"/>
    <x v="0"/>
    <n v="14"/>
    <n v="494"/>
    <n v="7.0000000000000007E-2"/>
    <x v="489"/>
    <s v="Venta Grande"/>
    <s v="Office Design"/>
    <x v="0"/>
    <s v="ALM-03"/>
  </r>
  <r>
    <n v="181"/>
    <d v="2024-06-29T00:00:00"/>
    <x v="0"/>
    <s v="Auriculares Bluetooth"/>
    <x v="0"/>
    <x v="0"/>
    <n v="18"/>
    <n v="442"/>
    <n v="0.02"/>
    <x v="490"/>
    <s v="Venta Grande"/>
    <s v="LG Electronics"/>
    <x v="0"/>
    <s v="ALM-01"/>
  </r>
  <r>
    <n v="495"/>
    <d v="2025-05-09T00:00:00"/>
    <x v="3"/>
    <s v="Smart TV 50&quot;"/>
    <x v="0"/>
    <x v="3"/>
    <n v="2"/>
    <n v="1183"/>
    <n v="0.05"/>
    <x v="491"/>
    <s v="Venta Normal"/>
    <s v="LG Electronics"/>
    <x v="1"/>
    <m/>
  </r>
  <r>
    <n v="309"/>
    <d v="2024-11-04T00:00:00"/>
    <x v="4"/>
    <s v="Smart TV 50&quot;"/>
    <x v="0"/>
    <x v="4"/>
    <n v="19"/>
    <n v="421"/>
    <n v="0.04"/>
    <x v="492"/>
    <s v="Venta Grande"/>
    <s v="LG Electronics"/>
    <x v="0"/>
    <s v="ALM-01"/>
  </r>
  <r>
    <n v="234"/>
    <d v="2024-08-21T00:00:00"/>
    <x v="4"/>
    <s v="Cafetera Eléctrica"/>
    <x v="1"/>
    <x v="4"/>
    <n v="17"/>
    <n v="400"/>
    <n v="0.1"/>
    <x v="493"/>
    <s v="Venta Grande"/>
    <s v="LG Electronics"/>
    <x v="0"/>
    <s v="ALM-02"/>
  </r>
  <r>
    <n v="101"/>
    <d v="2024-04-10T00:00:00"/>
    <x v="0"/>
    <s v="Celular Samsung"/>
    <x v="0"/>
    <x v="0"/>
    <n v="15"/>
    <n v="390"/>
    <n v="0.06"/>
    <x v="494"/>
    <s v="Venta Grande"/>
    <s v="Samsung Oficial"/>
    <x v="0"/>
    <s v="ALM-01"/>
  </r>
  <r>
    <n v="380"/>
    <d v="2025-01-14T00:00:00"/>
    <x v="3"/>
    <s v="Aspiradora Robot"/>
    <x v="1"/>
    <x v="3"/>
    <n v="17"/>
    <n v="389"/>
    <n v="0.04"/>
    <x v="495"/>
    <s v="Venta Grande"/>
    <s v="Samsung Oficial"/>
    <x v="0"/>
    <s v="ALM-02"/>
  </r>
  <r>
    <n v="500"/>
    <d v="2025-05-14T00:00:00"/>
    <x v="3"/>
    <s v="Auriculares Bluetooth"/>
    <x v="0"/>
    <x v="3"/>
    <n v="2"/>
    <n v="2199"/>
    <n v="0.08"/>
    <x v="496"/>
    <s v="Venta Normal"/>
    <s v="LG Electronics"/>
    <x v="1"/>
    <m/>
  </r>
  <r>
    <n v="427"/>
    <d v="2025-03-02T00:00:00"/>
    <x v="1"/>
    <s v="Licuadora de Mano"/>
    <x v="1"/>
    <x v="1"/>
    <n v="14"/>
    <n v="362"/>
    <n v="0.13"/>
    <x v="497"/>
    <s v="Venta Grande"/>
    <s v="LG Electronics"/>
    <x v="0"/>
    <s v="ALM-02"/>
  </r>
  <r>
    <n v="389"/>
    <d v="2025-01-23T00:00:00"/>
    <x v="4"/>
    <s v="Monitor 24&quot;"/>
    <x v="2"/>
    <x v="4"/>
    <n v="20"/>
    <n v="360"/>
    <n v="0.01"/>
    <x v="498"/>
    <s v="Venta Grande"/>
    <s v="Office Design"/>
    <x v="0"/>
    <s v="ALM-03"/>
  </r>
  <r>
    <m/>
    <m/>
    <x v="5"/>
    <m/>
    <x v="3"/>
    <x v="5"/>
    <m/>
    <m/>
    <m/>
    <x v="499"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46FC0-AFE3-44CE-8A1B-3BF30789A5F4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17:B20" firstHeaderRow="1" firstDataRow="1" firstDataCol="1"/>
  <pivotFields count="14">
    <pivotField showAll="0"/>
    <pivotField showAll="0"/>
    <pivotField showAll="0">
      <items count="7">
        <item x="0"/>
        <item x="3"/>
        <item x="1"/>
        <item x="4"/>
        <item x="2"/>
        <item x="5"/>
        <item t="default"/>
      </items>
    </pivotField>
    <pivotField showAll="0"/>
    <pivotField showAll="0">
      <items count="5">
        <item x="1"/>
        <item x="2"/>
        <item x="0"/>
        <item h="1" x="3"/>
        <item t="default"/>
      </items>
    </pivotField>
    <pivotField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dataField="1" numFmtId="164" showAll="0">
      <items count="501">
        <item x="158"/>
        <item x="217"/>
        <item x="68"/>
        <item x="22"/>
        <item x="146"/>
        <item x="382"/>
        <item x="305"/>
        <item x="162"/>
        <item x="62"/>
        <item x="281"/>
        <item x="237"/>
        <item x="381"/>
        <item x="472"/>
        <item x="35"/>
        <item x="1"/>
        <item x="469"/>
        <item x="390"/>
        <item x="275"/>
        <item x="365"/>
        <item x="408"/>
        <item x="417"/>
        <item x="347"/>
        <item x="328"/>
        <item x="167"/>
        <item x="109"/>
        <item x="409"/>
        <item x="73"/>
        <item x="318"/>
        <item x="445"/>
        <item x="452"/>
        <item x="182"/>
        <item x="104"/>
        <item x="320"/>
        <item x="122"/>
        <item x="255"/>
        <item x="183"/>
        <item x="292"/>
        <item x="460"/>
        <item x="133"/>
        <item x="137"/>
        <item x="125"/>
        <item x="289"/>
        <item x="74"/>
        <item x="491"/>
        <item x="345"/>
        <item x="324"/>
        <item x="410"/>
        <item x="41"/>
        <item x="2"/>
        <item x="315"/>
        <item x="425"/>
        <item x="368"/>
        <item x="36"/>
        <item x="79"/>
        <item x="344"/>
        <item x="70"/>
        <item x="250"/>
        <item x="476"/>
        <item x="392"/>
        <item x="128"/>
        <item x="205"/>
        <item x="46"/>
        <item x="130"/>
        <item x="93"/>
        <item x="231"/>
        <item x="228"/>
        <item x="16"/>
        <item x="291"/>
        <item x="29"/>
        <item x="194"/>
        <item x="58"/>
        <item x="439"/>
        <item x="32"/>
        <item x="256"/>
        <item x="163"/>
        <item x="4"/>
        <item x="459"/>
        <item x="57"/>
        <item x="201"/>
        <item x="300"/>
        <item x="99"/>
        <item x="202"/>
        <item x="496"/>
        <item x="385"/>
        <item x="140"/>
        <item x="387"/>
        <item x="304"/>
        <item x="141"/>
        <item x="223"/>
        <item x="391"/>
        <item x="303"/>
        <item x="286"/>
        <item x="285"/>
        <item x="497"/>
        <item x="461"/>
        <item x="373"/>
        <item x="372"/>
        <item x="371"/>
        <item x="411"/>
        <item x="359"/>
        <item x="486"/>
        <item x="494"/>
        <item x="242"/>
        <item x="484"/>
        <item x="479"/>
        <item x="232"/>
        <item x="336"/>
        <item x="478"/>
        <item x="222"/>
        <item x="483"/>
        <item x="495"/>
        <item x="464"/>
        <item x="493"/>
        <item x="489"/>
        <item x="312"/>
        <item x="488"/>
        <item x="447"/>
        <item x="498"/>
        <item x="298"/>
        <item x="395"/>
        <item x="429"/>
        <item x="427"/>
        <item x="487"/>
        <item x="490"/>
        <item x="492"/>
        <item x="467"/>
        <item x="458"/>
        <item x="457"/>
        <item x="338"/>
        <item x="102"/>
        <item x="485"/>
        <item x="455"/>
        <item x="433"/>
        <item x="88"/>
        <item x="81"/>
        <item x="465"/>
        <item x="42"/>
        <item x="33"/>
        <item x="406"/>
        <item x="481"/>
        <item x="480"/>
        <item x="306"/>
        <item x="210"/>
        <item x="477"/>
        <item x="10"/>
        <item x="0"/>
        <item x="348"/>
        <item x="342"/>
        <item x="340"/>
        <item x="184"/>
        <item x="376"/>
        <item x="414"/>
        <item x="266"/>
        <item x="334"/>
        <item x="471"/>
        <item x="333"/>
        <item x="456"/>
        <item x="253"/>
        <item x="402"/>
        <item x="482"/>
        <item x="454"/>
        <item x="420"/>
        <item x="308"/>
        <item x="473"/>
        <item x="121"/>
        <item x="302"/>
        <item x="431"/>
        <item x="295"/>
        <item x="475"/>
        <item x="293"/>
        <item x="108"/>
        <item x="221"/>
        <item x="463"/>
        <item x="91"/>
        <item x="361"/>
        <item x="208"/>
        <item x="199"/>
        <item x="470"/>
        <item x="393"/>
        <item x="65"/>
        <item x="407"/>
        <item x="55"/>
        <item x="323"/>
        <item x="179"/>
        <item x="441"/>
        <item x="259"/>
        <item x="313"/>
        <item x="349"/>
        <item x="421"/>
        <item x="435"/>
        <item x="434"/>
        <item x="399"/>
        <item x="245"/>
        <item x="446"/>
        <item x="474"/>
        <item x="444"/>
        <item x="366"/>
        <item x="161"/>
        <item x="442"/>
        <item x="428"/>
        <item x="440"/>
        <item x="155"/>
        <item x="438"/>
        <item x="148"/>
        <item x="279"/>
        <item x="278"/>
        <item x="277"/>
        <item x="274"/>
        <item x="451"/>
        <item x="418"/>
        <item x="415"/>
        <item x="468"/>
        <item x="120"/>
        <item x="448"/>
        <item x="466"/>
        <item x="110"/>
        <item x="106"/>
        <item x="193"/>
        <item x="404"/>
        <item x="92"/>
        <item x="462"/>
        <item x="301"/>
        <item x="432"/>
        <item x="401"/>
        <item x="386"/>
        <item x="180"/>
        <item x="453"/>
        <item x="412"/>
        <item x="244"/>
        <item x="374"/>
        <item x="71"/>
        <item x="280"/>
        <item x="443"/>
        <item x="63"/>
        <item x="449"/>
        <item x="346"/>
        <item x="339"/>
        <item x="379"/>
        <item x="316"/>
        <item x="363"/>
        <item x="400"/>
        <item x="377"/>
        <item x="26"/>
        <item x="219"/>
        <item x="261"/>
        <item x="437"/>
        <item x="450"/>
        <item x="207"/>
        <item x="351"/>
        <item x="5"/>
        <item x="247"/>
        <item x="398"/>
        <item x="426"/>
        <item x="329"/>
        <item x="356"/>
        <item x="105"/>
        <item x="416"/>
        <item x="177"/>
        <item x="424"/>
        <item x="352"/>
        <item x="230"/>
        <item x="388"/>
        <item x="430"/>
        <item x="384"/>
        <item x="287"/>
        <item x="423"/>
        <item x="397"/>
        <item x="436"/>
        <item x="135"/>
        <item x="132"/>
        <item x="405"/>
        <item x="191"/>
        <item x="403"/>
        <item x="413"/>
        <item x="296"/>
        <item x="115"/>
        <item x="354"/>
        <item x="294"/>
        <item x="389"/>
        <item x="326"/>
        <item x="322"/>
        <item x="394"/>
        <item x="258"/>
        <item x="220"/>
        <item x="283"/>
        <item x="171"/>
        <item x="422"/>
        <item x="314"/>
        <item x="311"/>
        <item x="419"/>
        <item x="211"/>
        <item x="360"/>
        <item x="204"/>
        <item x="72"/>
        <item x="265"/>
        <item x="353"/>
        <item x="64"/>
        <item x="238"/>
        <item x="396"/>
        <item x="37"/>
        <item x="257"/>
        <item x="343"/>
        <item x="249"/>
        <item x="116"/>
        <item x="248"/>
        <item x="112"/>
        <item x="103"/>
        <item x="330"/>
        <item x="100"/>
        <item x="213"/>
        <item x="337"/>
        <item x="14"/>
        <item x="335"/>
        <item x="240"/>
        <item x="94"/>
        <item x="90"/>
        <item x="317"/>
        <item x="233"/>
        <item x="187"/>
        <item x="145"/>
        <item x="383"/>
        <item x="75"/>
        <item x="138"/>
        <item x="367"/>
        <item x="364"/>
        <item x="269"/>
        <item x="378"/>
        <item x="39"/>
        <item x="172"/>
        <item x="168"/>
        <item x="380"/>
        <item x="30"/>
        <item x="310"/>
        <item x="27"/>
        <item x="262"/>
        <item x="23"/>
        <item x="159"/>
        <item x="260"/>
        <item x="86"/>
        <item x="149"/>
        <item x="246"/>
        <item x="147"/>
        <item x="225"/>
        <item x="341"/>
        <item x="369"/>
        <item x="375"/>
        <item x="362"/>
        <item x="358"/>
        <item x="355"/>
        <item x="370"/>
        <item x="117"/>
        <item x="197"/>
        <item x="114"/>
        <item x="229"/>
        <item x="160"/>
        <item x="290"/>
        <item x="331"/>
        <item x="357"/>
        <item x="350"/>
        <item x="216"/>
        <item x="139"/>
        <item x="134"/>
        <item x="83"/>
        <item x="273"/>
        <item x="82"/>
        <item x="9"/>
        <item x="270"/>
        <item x="332"/>
        <item x="175"/>
        <item x="3"/>
        <item x="264"/>
        <item x="284"/>
        <item x="166"/>
        <item x="309"/>
        <item x="165"/>
        <item x="282"/>
        <item x="307"/>
        <item x="107"/>
        <item x="319"/>
        <item x="218"/>
        <item x="153"/>
        <item x="181"/>
        <item x="178"/>
        <item x="143"/>
        <item x="288"/>
        <item x="209"/>
        <item x="235"/>
        <item x="89"/>
        <item x="176"/>
        <item x="325"/>
        <item x="321"/>
        <item x="169"/>
        <item x="297"/>
        <item x="188"/>
        <item x="164"/>
        <item x="8"/>
        <item x="254"/>
        <item x="327"/>
        <item x="268"/>
        <item x="111"/>
        <item x="151"/>
        <item x="203"/>
        <item x="96"/>
        <item x="136"/>
        <item x="227"/>
        <item x="34"/>
        <item x="87"/>
        <item x="299"/>
        <item x="276"/>
        <item x="152"/>
        <item x="6"/>
        <item x="192"/>
        <item x="95"/>
        <item x="173"/>
        <item x="267"/>
        <item x="251"/>
        <item x="236"/>
        <item x="215"/>
        <item x="272"/>
        <item x="271"/>
        <item x="157"/>
        <item x="76"/>
        <item x="144"/>
        <item x="263"/>
        <item x="189"/>
        <item x="174"/>
        <item x="126"/>
        <item x="243"/>
        <item x="226"/>
        <item x="156"/>
        <item x="200"/>
        <item x="252"/>
        <item x="239"/>
        <item x="195"/>
        <item x="142"/>
        <item x="170"/>
        <item x="241"/>
        <item x="124"/>
        <item x="52"/>
        <item x="84"/>
        <item x="150"/>
        <item x="234"/>
        <item x="31"/>
        <item x="186"/>
        <item x="28"/>
        <item x="212"/>
        <item x="185"/>
        <item x="206"/>
        <item x="19"/>
        <item x="66"/>
        <item x="224"/>
        <item x="129"/>
        <item x="198"/>
        <item x="196"/>
        <item x="13"/>
        <item x="190"/>
        <item x="214"/>
        <item x="113"/>
        <item x="80"/>
        <item x="131"/>
        <item x="24"/>
        <item x="123"/>
        <item x="61"/>
        <item x="56"/>
        <item x="11"/>
        <item x="118"/>
        <item x="7"/>
        <item x="77"/>
        <item x="98"/>
        <item x="25"/>
        <item x="154"/>
        <item x="53"/>
        <item x="12"/>
        <item x="127"/>
        <item x="101"/>
        <item x="67"/>
        <item x="21"/>
        <item x="119"/>
        <item x="85"/>
        <item x="51"/>
        <item x="15"/>
        <item x="45"/>
        <item x="97"/>
        <item x="59"/>
        <item x="54"/>
        <item x="50"/>
        <item x="78"/>
        <item x="40"/>
        <item x="38"/>
        <item x="69"/>
        <item x="60"/>
        <item x="20"/>
        <item x="49"/>
        <item x="18"/>
        <item x="48"/>
        <item x="47"/>
        <item x="44"/>
        <item x="43"/>
        <item x="17"/>
        <item x="499"/>
        <item t="default"/>
      </items>
    </pivotField>
    <pivotField showAll="0"/>
    <pivotField showAll="0"/>
    <pivotField axis="axisRow" showAll="0">
      <items count="4">
        <item x="2"/>
        <item x="0"/>
        <item h="1"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a de TOTAL_VENTA" fld="9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3F593-3334-4A8B-97E9-EDDBF9236994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11:B15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5">
        <item h="1" x="3"/>
        <item x="0"/>
        <item x="2"/>
        <item x="1"/>
        <item t="default"/>
      </items>
    </pivotField>
    <pivotField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dataField="1" numFmtId="164" showAll="0">
      <items count="501">
        <item x="158"/>
        <item x="217"/>
        <item x="68"/>
        <item x="22"/>
        <item x="146"/>
        <item x="382"/>
        <item x="305"/>
        <item x="162"/>
        <item x="62"/>
        <item x="281"/>
        <item x="237"/>
        <item x="381"/>
        <item x="472"/>
        <item x="35"/>
        <item x="1"/>
        <item x="469"/>
        <item x="390"/>
        <item x="275"/>
        <item x="365"/>
        <item x="408"/>
        <item x="417"/>
        <item x="347"/>
        <item x="328"/>
        <item x="167"/>
        <item x="109"/>
        <item x="409"/>
        <item x="73"/>
        <item x="318"/>
        <item x="445"/>
        <item x="452"/>
        <item x="182"/>
        <item x="104"/>
        <item x="320"/>
        <item x="122"/>
        <item x="255"/>
        <item x="183"/>
        <item x="292"/>
        <item x="460"/>
        <item x="133"/>
        <item x="137"/>
        <item x="125"/>
        <item x="289"/>
        <item x="74"/>
        <item x="491"/>
        <item x="345"/>
        <item x="324"/>
        <item x="410"/>
        <item x="41"/>
        <item x="2"/>
        <item x="315"/>
        <item x="425"/>
        <item x="368"/>
        <item x="36"/>
        <item x="79"/>
        <item x="344"/>
        <item x="70"/>
        <item x="250"/>
        <item x="476"/>
        <item x="392"/>
        <item x="128"/>
        <item x="205"/>
        <item x="46"/>
        <item x="130"/>
        <item x="93"/>
        <item x="231"/>
        <item x="228"/>
        <item x="16"/>
        <item x="291"/>
        <item x="29"/>
        <item x="194"/>
        <item x="58"/>
        <item x="439"/>
        <item x="32"/>
        <item x="256"/>
        <item x="163"/>
        <item x="4"/>
        <item x="459"/>
        <item x="57"/>
        <item x="201"/>
        <item x="300"/>
        <item x="99"/>
        <item x="202"/>
        <item x="496"/>
        <item x="385"/>
        <item x="140"/>
        <item x="387"/>
        <item x="304"/>
        <item x="141"/>
        <item x="223"/>
        <item x="391"/>
        <item x="303"/>
        <item x="286"/>
        <item x="285"/>
        <item x="497"/>
        <item x="461"/>
        <item x="373"/>
        <item x="372"/>
        <item x="371"/>
        <item x="411"/>
        <item x="359"/>
        <item x="486"/>
        <item x="494"/>
        <item x="242"/>
        <item x="484"/>
        <item x="479"/>
        <item x="232"/>
        <item x="336"/>
        <item x="478"/>
        <item x="222"/>
        <item x="483"/>
        <item x="495"/>
        <item x="464"/>
        <item x="493"/>
        <item x="489"/>
        <item x="312"/>
        <item x="488"/>
        <item x="447"/>
        <item x="498"/>
        <item x="298"/>
        <item x="395"/>
        <item x="429"/>
        <item x="427"/>
        <item x="487"/>
        <item x="490"/>
        <item x="492"/>
        <item x="467"/>
        <item x="458"/>
        <item x="457"/>
        <item x="338"/>
        <item x="102"/>
        <item x="485"/>
        <item x="455"/>
        <item x="433"/>
        <item x="88"/>
        <item x="81"/>
        <item x="465"/>
        <item x="42"/>
        <item x="33"/>
        <item x="406"/>
        <item x="481"/>
        <item x="480"/>
        <item x="306"/>
        <item x="210"/>
        <item x="477"/>
        <item x="10"/>
        <item x="0"/>
        <item x="348"/>
        <item x="342"/>
        <item x="340"/>
        <item x="184"/>
        <item x="376"/>
        <item x="414"/>
        <item x="266"/>
        <item x="334"/>
        <item x="471"/>
        <item x="333"/>
        <item x="456"/>
        <item x="253"/>
        <item x="402"/>
        <item x="482"/>
        <item x="454"/>
        <item x="420"/>
        <item x="308"/>
        <item x="473"/>
        <item x="121"/>
        <item x="302"/>
        <item x="431"/>
        <item x="295"/>
        <item x="475"/>
        <item x="293"/>
        <item x="108"/>
        <item x="221"/>
        <item x="463"/>
        <item x="91"/>
        <item x="361"/>
        <item x="208"/>
        <item x="199"/>
        <item x="470"/>
        <item x="393"/>
        <item x="65"/>
        <item x="407"/>
        <item x="55"/>
        <item x="323"/>
        <item x="179"/>
        <item x="441"/>
        <item x="259"/>
        <item x="313"/>
        <item x="349"/>
        <item x="421"/>
        <item x="435"/>
        <item x="434"/>
        <item x="399"/>
        <item x="245"/>
        <item x="446"/>
        <item x="474"/>
        <item x="444"/>
        <item x="366"/>
        <item x="161"/>
        <item x="442"/>
        <item x="428"/>
        <item x="440"/>
        <item x="155"/>
        <item x="438"/>
        <item x="148"/>
        <item x="279"/>
        <item x="278"/>
        <item x="277"/>
        <item x="274"/>
        <item x="451"/>
        <item x="418"/>
        <item x="415"/>
        <item x="468"/>
        <item x="120"/>
        <item x="448"/>
        <item x="466"/>
        <item x="110"/>
        <item x="106"/>
        <item x="193"/>
        <item x="404"/>
        <item x="92"/>
        <item x="462"/>
        <item x="301"/>
        <item x="432"/>
        <item x="401"/>
        <item x="386"/>
        <item x="180"/>
        <item x="453"/>
        <item x="412"/>
        <item x="244"/>
        <item x="374"/>
        <item x="71"/>
        <item x="280"/>
        <item x="443"/>
        <item x="63"/>
        <item x="449"/>
        <item x="346"/>
        <item x="339"/>
        <item x="379"/>
        <item x="316"/>
        <item x="363"/>
        <item x="400"/>
        <item x="377"/>
        <item x="26"/>
        <item x="219"/>
        <item x="261"/>
        <item x="437"/>
        <item x="450"/>
        <item x="207"/>
        <item x="351"/>
        <item x="5"/>
        <item x="247"/>
        <item x="398"/>
        <item x="426"/>
        <item x="329"/>
        <item x="356"/>
        <item x="105"/>
        <item x="416"/>
        <item x="177"/>
        <item x="424"/>
        <item x="352"/>
        <item x="230"/>
        <item x="388"/>
        <item x="430"/>
        <item x="384"/>
        <item x="287"/>
        <item x="423"/>
        <item x="397"/>
        <item x="436"/>
        <item x="135"/>
        <item x="132"/>
        <item x="405"/>
        <item x="191"/>
        <item x="403"/>
        <item x="413"/>
        <item x="296"/>
        <item x="115"/>
        <item x="354"/>
        <item x="294"/>
        <item x="389"/>
        <item x="326"/>
        <item x="322"/>
        <item x="394"/>
        <item x="258"/>
        <item x="220"/>
        <item x="283"/>
        <item x="171"/>
        <item x="422"/>
        <item x="314"/>
        <item x="311"/>
        <item x="419"/>
        <item x="211"/>
        <item x="360"/>
        <item x="204"/>
        <item x="72"/>
        <item x="265"/>
        <item x="353"/>
        <item x="64"/>
        <item x="238"/>
        <item x="396"/>
        <item x="37"/>
        <item x="257"/>
        <item x="343"/>
        <item x="249"/>
        <item x="116"/>
        <item x="248"/>
        <item x="112"/>
        <item x="103"/>
        <item x="330"/>
        <item x="100"/>
        <item x="213"/>
        <item x="337"/>
        <item x="14"/>
        <item x="335"/>
        <item x="240"/>
        <item x="94"/>
        <item x="90"/>
        <item x="317"/>
        <item x="233"/>
        <item x="187"/>
        <item x="145"/>
        <item x="383"/>
        <item x="75"/>
        <item x="138"/>
        <item x="367"/>
        <item x="364"/>
        <item x="269"/>
        <item x="378"/>
        <item x="39"/>
        <item x="172"/>
        <item x="168"/>
        <item x="380"/>
        <item x="30"/>
        <item x="310"/>
        <item x="27"/>
        <item x="262"/>
        <item x="23"/>
        <item x="159"/>
        <item x="260"/>
        <item x="86"/>
        <item x="149"/>
        <item x="246"/>
        <item x="147"/>
        <item x="225"/>
        <item x="341"/>
        <item x="369"/>
        <item x="375"/>
        <item x="362"/>
        <item x="358"/>
        <item x="355"/>
        <item x="370"/>
        <item x="117"/>
        <item x="197"/>
        <item x="114"/>
        <item x="229"/>
        <item x="160"/>
        <item x="290"/>
        <item x="331"/>
        <item x="357"/>
        <item x="350"/>
        <item x="216"/>
        <item x="139"/>
        <item x="134"/>
        <item x="83"/>
        <item x="273"/>
        <item x="82"/>
        <item x="9"/>
        <item x="270"/>
        <item x="332"/>
        <item x="175"/>
        <item x="3"/>
        <item x="264"/>
        <item x="284"/>
        <item x="166"/>
        <item x="309"/>
        <item x="165"/>
        <item x="282"/>
        <item x="307"/>
        <item x="107"/>
        <item x="319"/>
        <item x="218"/>
        <item x="153"/>
        <item x="181"/>
        <item x="178"/>
        <item x="143"/>
        <item x="288"/>
        <item x="209"/>
        <item x="235"/>
        <item x="89"/>
        <item x="176"/>
        <item x="325"/>
        <item x="321"/>
        <item x="169"/>
        <item x="297"/>
        <item x="188"/>
        <item x="164"/>
        <item x="8"/>
        <item x="254"/>
        <item x="327"/>
        <item x="268"/>
        <item x="111"/>
        <item x="151"/>
        <item x="203"/>
        <item x="96"/>
        <item x="136"/>
        <item x="227"/>
        <item x="34"/>
        <item x="87"/>
        <item x="299"/>
        <item x="276"/>
        <item x="152"/>
        <item x="6"/>
        <item x="192"/>
        <item x="95"/>
        <item x="173"/>
        <item x="267"/>
        <item x="251"/>
        <item x="236"/>
        <item x="215"/>
        <item x="272"/>
        <item x="271"/>
        <item x="157"/>
        <item x="76"/>
        <item x="144"/>
        <item x="263"/>
        <item x="189"/>
        <item x="174"/>
        <item x="126"/>
        <item x="243"/>
        <item x="226"/>
        <item x="156"/>
        <item x="200"/>
        <item x="252"/>
        <item x="239"/>
        <item x="195"/>
        <item x="142"/>
        <item x="170"/>
        <item x="241"/>
        <item x="124"/>
        <item x="52"/>
        <item x="84"/>
        <item x="150"/>
        <item x="234"/>
        <item x="31"/>
        <item x="186"/>
        <item x="28"/>
        <item x="212"/>
        <item x="185"/>
        <item x="206"/>
        <item x="19"/>
        <item x="66"/>
        <item x="224"/>
        <item x="129"/>
        <item x="198"/>
        <item x="196"/>
        <item x="13"/>
        <item x="190"/>
        <item x="214"/>
        <item x="113"/>
        <item x="80"/>
        <item x="131"/>
        <item x="24"/>
        <item x="123"/>
        <item x="61"/>
        <item x="56"/>
        <item x="11"/>
        <item x="118"/>
        <item x="7"/>
        <item x="77"/>
        <item x="98"/>
        <item x="25"/>
        <item x="154"/>
        <item x="53"/>
        <item x="12"/>
        <item x="127"/>
        <item x="101"/>
        <item x="67"/>
        <item x="21"/>
        <item x="119"/>
        <item x="85"/>
        <item x="51"/>
        <item x="15"/>
        <item x="45"/>
        <item x="97"/>
        <item x="59"/>
        <item x="54"/>
        <item x="50"/>
        <item x="78"/>
        <item x="40"/>
        <item x="38"/>
        <item x="69"/>
        <item x="60"/>
        <item x="20"/>
        <item x="49"/>
        <item x="18"/>
        <item x="48"/>
        <item x="47"/>
        <item x="44"/>
        <item x="43"/>
        <item x="17"/>
        <item x="49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a de TOTAL_VENTA" fld="9" baseField="0" baseItem="0" numFmtId="16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98D01-0791-430B-A85D-3502A140FA7A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4">
    <pivotField showAll="0"/>
    <pivotField showAll="0"/>
    <pivotField showAll="0"/>
    <pivotField showAll="0"/>
    <pivotField showAll="0">
      <items count="5">
        <item x="1"/>
        <item x="2"/>
        <item x="0"/>
        <item h="1" x="3"/>
        <item t="default"/>
      </items>
    </pivotField>
    <pivotField axis="axisRow"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_VENTA" fld="9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01DC99A9-D76C-4F52-BC6B-560650DABA78}" sourceName="REGION ">
  <pivotTables>
    <pivotTable tabId="8" name="TablaDinámica3"/>
    <pivotTable tabId="8" name="TablaDinámica6"/>
    <pivotTable tabId="8" name="TablaDinámica5"/>
  </pivotTables>
  <data>
    <tabular pivotCacheId="1843371080" customListSort="0" showMissing="0">
      <items count="6">
        <i x="2" s="1"/>
        <i x="4" s="1"/>
        <i x="0" s="1"/>
        <i x="3" s="1"/>
        <i x="1" s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7EEBEB9F-8FC0-41AB-A356-B322F0CED065}" sourceName="CATEGORIA ">
  <pivotTables>
    <pivotTable tabId="8" name="TablaDinámica3"/>
    <pivotTable tabId="8" name="TablaDinámica6"/>
    <pivotTable tabId="8" name="TablaDinámica5"/>
  </pivotTables>
  <data>
    <tabular pivotCacheId="1843371080">
      <items count="4">
        <i x="1" s="1"/>
        <i x="2" s="1"/>
        <i x="0" s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TAL_VENTA" xr10:uid="{9CB06C5B-B7E3-4D6A-ABC3-DFF5177BD3F1}" sourceName="TOTAL_VENTA">
  <pivotTables>
    <pivotTable tabId="8" name="TablaDinámica6"/>
  </pivotTables>
  <data>
    <tabular pivotCacheId="1843371080">
      <items count="500">
        <i x="158" s="1"/>
        <i x="217" s="1"/>
        <i x="68" s="1"/>
        <i x="22" s="1"/>
        <i x="146" s="1"/>
        <i x="382" s="1"/>
        <i x="305" s="1"/>
        <i x="162" s="1"/>
        <i x="62" s="1"/>
        <i x="281" s="1"/>
        <i x="237" s="1"/>
        <i x="381" s="1"/>
        <i x="472" s="1"/>
        <i x="35" s="1"/>
        <i x="1" s="1"/>
        <i x="469" s="1"/>
        <i x="390" s="1"/>
        <i x="275" s="1"/>
        <i x="365" s="1"/>
        <i x="408" s="1"/>
        <i x="417" s="1"/>
        <i x="347" s="1"/>
        <i x="328" s="1"/>
        <i x="167" s="1"/>
        <i x="109" s="1"/>
        <i x="409" s="1"/>
        <i x="73" s="1"/>
        <i x="318" s="1"/>
        <i x="445" s="1"/>
        <i x="452" s="1"/>
        <i x="182" s="1"/>
        <i x="104" s="1"/>
        <i x="320" s="1"/>
        <i x="122" s="1"/>
        <i x="255" s="1"/>
        <i x="183" s="1"/>
        <i x="292" s="1"/>
        <i x="460" s="1"/>
        <i x="133" s="1"/>
        <i x="137" s="1"/>
        <i x="125" s="1"/>
        <i x="289" s="1"/>
        <i x="74" s="1"/>
        <i x="491" s="1"/>
        <i x="345" s="1"/>
        <i x="324" s="1"/>
        <i x="410" s="1"/>
        <i x="41" s="1"/>
        <i x="2" s="1"/>
        <i x="315" s="1"/>
        <i x="425" s="1"/>
        <i x="368" s="1"/>
        <i x="36" s="1"/>
        <i x="79" s="1"/>
        <i x="344" s="1"/>
        <i x="70" s="1"/>
        <i x="250" s="1"/>
        <i x="476" s="1"/>
        <i x="392" s="1"/>
        <i x="128" s="1"/>
        <i x="205" s="1"/>
        <i x="46" s="1"/>
        <i x="130" s="1"/>
        <i x="93" s="1"/>
        <i x="231" s="1"/>
        <i x="228" s="1"/>
        <i x="16" s="1"/>
        <i x="291" s="1"/>
        <i x="29" s="1"/>
        <i x="194" s="1"/>
        <i x="58" s="1"/>
        <i x="439" s="1"/>
        <i x="32" s="1"/>
        <i x="256" s="1"/>
        <i x="163" s="1"/>
        <i x="4" s="1"/>
        <i x="459" s="1"/>
        <i x="57" s="1"/>
        <i x="201" s="1"/>
        <i x="300" s="1"/>
        <i x="99" s="1"/>
        <i x="202" s="1"/>
        <i x="496" s="1"/>
        <i x="385" s="1"/>
        <i x="140" s="1"/>
        <i x="387" s="1"/>
        <i x="304" s="1"/>
        <i x="141" s="1"/>
        <i x="223" s="1"/>
        <i x="391" s="1"/>
        <i x="303" s="1"/>
        <i x="286" s="1"/>
        <i x="285" s="1"/>
        <i x="497" s="1"/>
        <i x="461" s="1"/>
        <i x="373" s="1"/>
        <i x="372" s="1"/>
        <i x="371" s="1"/>
        <i x="411" s="1"/>
        <i x="359" s="1"/>
        <i x="486" s="1"/>
        <i x="494" s="1"/>
        <i x="242" s="1"/>
        <i x="484" s="1"/>
        <i x="479" s="1"/>
        <i x="232" s="1"/>
        <i x="336" s="1"/>
        <i x="478" s="1"/>
        <i x="222" s="1"/>
        <i x="483" s="1"/>
        <i x="495" s="1"/>
        <i x="464" s="1"/>
        <i x="493" s="1"/>
        <i x="489" s="1"/>
        <i x="312" s="1"/>
        <i x="488" s="1"/>
        <i x="447" s="1"/>
        <i x="498" s="1"/>
        <i x="298" s="1"/>
        <i x="395" s="1"/>
        <i x="429" s="1"/>
        <i x="427" s="1"/>
        <i x="487" s="1"/>
        <i x="490" s="1"/>
        <i x="492" s="1"/>
        <i x="467" s="1"/>
        <i x="458" s="1"/>
        <i x="457" s="1"/>
        <i x="338" s="1"/>
        <i x="102" s="1"/>
        <i x="485" s="1"/>
        <i x="455" s="1"/>
        <i x="433" s="1"/>
        <i x="88" s="1"/>
        <i x="81" s="1"/>
        <i x="465" s="1"/>
        <i x="42" s="1"/>
        <i x="33" s="1"/>
        <i x="406" s="1"/>
        <i x="481" s="1"/>
        <i x="480" s="1"/>
        <i x="306" s="1"/>
        <i x="210" s="1"/>
        <i x="477" s="1"/>
        <i x="10" s="1"/>
        <i x="0" s="1"/>
        <i x="348" s="1"/>
        <i x="342" s="1"/>
        <i x="340" s="1"/>
        <i x="184" s="1"/>
        <i x="376" s="1"/>
        <i x="414" s="1"/>
        <i x="266" s="1"/>
        <i x="334" s="1"/>
        <i x="471" s="1"/>
        <i x="333" s="1"/>
        <i x="456" s="1"/>
        <i x="253" s="1"/>
        <i x="402" s="1"/>
        <i x="482" s="1"/>
        <i x="454" s="1"/>
        <i x="420" s="1"/>
        <i x="308" s="1"/>
        <i x="473" s="1"/>
        <i x="121" s="1"/>
        <i x="302" s="1"/>
        <i x="431" s="1"/>
        <i x="295" s="1"/>
        <i x="475" s="1"/>
        <i x="293" s="1"/>
        <i x="108" s="1"/>
        <i x="221" s="1"/>
        <i x="463" s="1"/>
        <i x="91" s="1"/>
        <i x="361" s="1"/>
        <i x="208" s="1"/>
        <i x="199" s="1"/>
        <i x="470" s="1"/>
        <i x="393" s="1"/>
        <i x="65" s="1"/>
        <i x="407" s="1"/>
        <i x="55" s="1"/>
        <i x="323" s="1"/>
        <i x="179" s="1"/>
        <i x="441" s="1"/>
        <i x="259" s="1"/>
        <i x="313" s="1"/>
        <i x="349" s="1"/>
        <i x="421" s="1"/>
        <i x="435" s="1"/>
        <i x="434" s="1"/>
        <i x="399" s="1"/>
        <i x="245" s="1"/>
        <i x="446" s="1"/>
        <i x="474" s="1"/>
        <i x="444" s="1"/>
        <i x="366" s="1"/>
        <i x="161" s="1"/>
        <i x="442" s="1"/>
        <i x="428" s="1"/>
        <i x="440" s="1"/>
        <i x="155" s="1"/>
        <i x="438" s="1"/>
        <i x="148" s="1"/>
        <i x="279" s="1"/>
        <i x="278" s="1"/>
        <i x="277" s="1"/>
        <i x="274" s="1"/>
        <i x="451" s="1"/>
        <i x="418" s="1"/>
        <i x="415" s="1"/>
        <i x="468" s="1"/>
        <i x="120" s="1"/>
        <i x="448" s="1"/>
        <i x="466" s="1"/>
        <i x="110" s="1"/>
        <i x="106" s="1"/>
        <i x="193" s="1"/>
        <i x="404" s="1"/>
        <i x="92" s="1"/>
        <i x="462" s="1"/>
        <i x="301" s="1"/>
        <i x="432" s="1"/>
        <i x="401" s="1"/>
        <i x="386" s="1"/>
        <i x="180" s="1"/>
        <i x="453" s="1"/>
        <i x="412" s="1"/>
        <i x="244" s="1"/>
        <i x="374" s="1"/>
        <i x="71" s="1"/>
        <i x="280" s="1"/>
        <i x="443" s="1"/>
        <i x="63" s="1"/>
        <i x="449" s="1"/>
        <i x="346" s="1"/>
        <i x="339" s="1"/>
        <i x="379" s="1"/>
        <i x="316" s="1"/>
        <i x="363" s="1"/>
        <i x="400" s="1"/>
        <i x="377" s="1"/>
        <i x="26" s="1"/>
        <i x="219" s="1"/>
        <i x="261" s="1"/>
        <i x="437" s="1"/>
        <i x="450" s="1"/>
        <i x="207" s="1"/>
        <i x="351" s="1"/>
        <i x="5" s="1"/>
        <i x="247" s="1"/>
        <i x="398" s="1"/>
        <i x="426" s="1"/>
        <i x="329" s="1"/>
        <i x="356" s="1"/>
        <i x="105" s="1"/>
        <i x="416" s="1"/>
        <i x="177" s="1"/>
        <i x="424" s="1"/>
        <i x="352" s="1"/>
        <i x="230" s="1"/>
        <i x="388" s="1"/>
        <i x="430" s="1"/>
        <i x="384" s="1"/>
        <i x="287" s="1"/>
        <i x="423" s="1"/>
        <i x="397" s="1"/>
        <i x="436" s="1"/>
        <i x="135" s="1"/>
        <i x="132" s="1"/>
        <i x="405" s="1"/>
        <i x="191" s="1"/>
        <i x="403" s="1"/>
        <i x="413" s="1"/>
        <i x="296" s="1"/>
        <i x="115" s="1"/>
        <i x="354" s="1"/>
        <i x="294" s="1"/>
        <i x="389" s="1"/>
        <i x="326" s="1"/>
        <i x="322" s="1"/>
        <i x="394" s="1"/>
        <i x="258" s="1"/>
        <i x="220" s="1"/>
        <i x="283" s="1"/>
        <i x="171" s="1"/>
        <i x="422" s="1"/>
        <i x="314" s="1"/>
        <i x="311" s="1"/>
        <i x="419" s="1"/>
        <i x="211" s="1"/>
        <i x="360" s="1"/>
        <i x="204" s="1"/>
        <i x="72" s="1"/>
        <i x="265" s="1"/>
        <i x="353" s="1"/>
        <i x="64" s="1"/>
        <i x="238" s="1"/>
        <i x="396" s="1"/>
        <i x="37" s="1"/>
        <i x="257" s="1"/>
        <i x="343" s="1"/>
        <i x="249" s="1"/>
        <i x="116" s="1"/>
        <i x="248" s="1"/>
        <i x="112" s="1"/>
        <i x="103" s="1"/>
        <i x="330" s="1"/>
        <i x="100" s="1"/>
        <i x="213" s="1"/>
        <i x="337" s="1"/>
        <i x="14" s="1"/>
        <i x="335" s="1"/>
        <i x="240" s="1"/>
        <i x="94" s="1"/>
        <i x="90" s="1"/>
        <i x="317" s="1"/>
        <i x="233" s="1"/>
        <i x="187" s="1"/>
        <i x="145" s="1"/>
        <i x="383" s="1"/>
        <i x="75" s="1"/>
        <i x="138" s="1"/>
        <i x="367" s="1"/>
        <i x="364" s="1"/>
        <i x="269" s="1"/>
        <i x="378" s="1"/>
        <i x="39" s="1"/>
        <i x="172" s="1"/>
        <i x="168" s="1"/>
        <i x="380" s="1"/>
        <i x="30" s="1"/>
        <i x="310" s="1"/>
        <i x="27" s="1"/>
        <i x="262" s="1"/>
        <i x="23" s="1"/>
        <i x="159" s="1"/>
        <i x="260" s="1"/>
        <i x="86" s="1"/>
        <i x="149" s="1"/>
        <i x="246" s="1"/>
        <i x="147" s="1"/>
        <i x="225" s="1"/>
        <i x="341" s="1"/>
        <i x="369" s="1"/>
        <i x="375" s="1"/>
        <i x="362" s="1"/>
        <i x="358" s="1"/>
        <i x="355" s="1"/>
        <i x="370" s="1"/>
        <i x="117" s="1"/>
        <i x="197" s="1"/>
        <i x="114" s="1"/>
        <i x="229" s="1"/>
        <i x="160" s="1"/>
        <i x="290" s="1"/>
        <i x="331" s="1"/>
        <i x="357" s="1"/>
        <i x="350" s="1"/>
        <i x="216" s="1"/>
        <i x="139" s="1"/>
        <i x="134" s="1"/>
        <i x="83" s="1"/>
        <i x="273" s="1"/>
        <i x="82" s="1"/>
        <i x="9" s="1"/>
        <i x="270" s="1"/>
        <i x="332" s="1"/>
        <i x="175" s="1"/>
        <i x="3" s="1"/>
        <i x="264" s="1"/>
        <i x="284" s="1"/>
        <i x="166" s="1"/>
        <i x="309" s="1"/>
        <i x="165" s="1"/>
        <i x="282" s="1"/>
        <i x="307" s="1"/>
        <i x="107" s="1"/>
        <i x="319" s="1"/>
        <i x="218" s="1"/>
        <i x="153" s="1"/>
        <i x="181" s="1"/>
        <i x="178" s="1"/>
        <i x="143" s="1"/>
        <i x="288" s="1"/>
        <i x="209" s="1"/>
        <i x="235" s="1"/>
        <i x="89" s="1"/>
        <i x="176" s="1"/>
        <i x="325" s="1"/>
        <i x="321" s="1"/>
        <i x="169" s="1"/>
        <i x="297" s="1"/>
        <i x="188" s="1"/>
        <i x="164" s="1"/>
        <i x="8" s="1"/>
        <i x="254" s="1"/>
        <i x="327" s="1"/>
        <i x="268" s="1"/>
        <i x="111" s="1"/>
        <i x="151" s="1"/>
        <i x="203" s="1"/>
        <i x="96" s="1"/>
        <i x="136" s="1"/>
        <i x="227" s="1"/>
        <i x="34" s="1"/>
        <i x="87" s="1"/>
        <i x="299" s="1"/>
        <i x="276" s="1"/>
        <i x="152" s="1"/>
        <i x="6" s="1"/>
        <i x="192" s="1"/>
        <i x="95" s="1"/>
        <i x="173" s="1"/>
        <i x="267" s="1"/>
        <i x="251" s="1"/>
        <i x="236" s="1"/>
        <i x="215" s="1"/>
        <i x="272" s="1"/>
        <i x="271" s="1"/>
        <i x="157" s="1"/>
        <i x="76" s="1"/>
        <i x="144" s="1"/>
        <i x="263" s="1"/>
        <i x="189" s="1"/>
        <i x="174" s="1"/>
        <i x="126" s="1"/>
        <i x="243" s="1"/>
        <i x="226" s="1"/>
        <i x="156" s="1"/>
        <i x="200" s="1"/>
        <i x="252" s="1"/>
        <i x="239" s="1"/>
        <i x="195" s="1"/>
        <i x="142" s="1"/>
        <i x="170" s="1"/>
        <i x="241" s="1"/>
        <i x="124" s="1"/>
        <i x="52" s="1"/>
        <i x="84" s="1"/>
        <i x="150" s="1"/>
        <i x="234" s="1"/>
        <i x="31" s="1"/>
        <i x="186" s="1"/>
        <i x="28" s="1"/>
        <i x="212" s="1"/>
        <i x="185" s="1"/>
        <i x="206" s="1"/>
        <i x="19" s="1"/>
        <i x="66" s="1"/>
        <i x="224" s="1"/>
        <i x="129" s="1"/>
        <i x="198" s="1"/>
        <i x="196" s="1"/>
        <i x="13" s="1"/>
        <i x="190" s="1"/>
        <i x="214" s="1"/>
        <i x="113" s="1"/>
        <i x="80" s="1"/>
        <i x="131" s="1"/>
        <i x="24" s="1"/>
        <i x="123" s="1"/>
        <i x="61" s="1"/>
        <i x="56" s="1"/>
        <i x="11" s="1"/>
        <i x="118" s="1"/>
        <i x="7" s="1"/>
        <i x="77" s="1"/>
        <i x="98" s="1"/>
        <i x="25" s="1"/>
        <i x="154" s="1"/>
        <i x="53" s="1"/>
        <i x="12" s="1"/>
        <i x="127" s="1"/>
        <i x="101" s="1"/>
        <i x="67" s="1"/>
        <i x="21" s="1"/>
        <i x="119" s="1"/>
        <i x="85" s="1"/>
        <i x="51" s="1"/>
        <i x="15" s="1"/>
        <i x="45" s="1"/>
        <i x="97" s="1"/>
        <i x="59" s="1"/>
        <i x="54" s="1"/>
        <i x="50" s="1"/>
        <i x="78" s="1"/>
        <i x="40" s="1"/>
        <i x="38" s="1"/>
        <i x="69" s="1"/>
        <i x="60" s="1"/>
        <i x="20" s="1"/>
        <i x="49" s="1"/>
        <i x="18" s="1"/>
        <i x="48" s="1"/>
        <i x="47" s="1"/>
        <i x="44" s="1"/>
        <i x="43" s="1"/>
        <i x="17" s="1"/>
        <i x="49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1AE74927-8E47-4C0F-8EE5-236E39FEBE3D}" sourceName="VENDEDOR">
  <pivotTables>
    <pivotTable tabId="8" name="TablaDinámica5"/>
  </pivotTables>
  <data>
    <tabular pivotCacheId="1843371080">
      <items count="6">
        <i x="0" s="1"/>
        <i x="3" s="1"/>
        <i x="1" s="1"/>
        <i x="4" s="1"/>
        <i x="2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TAL_VENTA1" xr10:uid="{B5C64B49-F18E-4810-950F-213D37026E97}" sourceName="TOTAL_VENTA">
  <pivotTables>
    <pivotTable tabId="8" name="TablaDinámica5"/>
  </pivotTables>
  <data>
    <tabular pivotCacheId="1843371080">
      <items count="500">
        <i x="286" s="1"/>
        <i x="285" s="1"/>
        <i x="497" s="1"/>
        <i x="461" s="1"/>
        <i x="373" s="1"/>
        <i x="372" s="1"/>
        <i x="371" s="1"/>
        <i x="411" s="1"/>
        <i x="359" s="1"/>
        <i x="486" s="1"/>
        <i x="494" s="1"/>
        <i x="242" s="1"/>
        <i x="484" s="1"/>
        <i x="479" s="1"/>
        <i x="232" s="1"/>
        <i x="336" s="1"/>
        <i x="478" s="1"/>
        <i x="222" s="1"/>
        <i x="483" s="1"/>
        <i x="495" s="1"/>
        <i x="464" s="1"/>
        <i x="493" s="1"/>
        <i x="489" s="1"/>
        <i x="312" s="1"/>
        <i x="488" s="1"/>
        <i x="447" s="1"/>
        <i x="498" s="1"/>
        <i x="298" s="1"/>
        <i x="395" s="1"/>
        <i x="429" s="1"/>
        <i x="427" s="1"/>
        <i x="487" s="1"/>
        <i x="490" s="1"/>
        <i x="492" s="1"/>
        <i x="467" s="1"/>
        <i x="458" s="1"/>
        <i x="457" s="1"/>
        <i x="338" s="1"/>
        <i x="102" s="1"/>
        <i x="485" s="1"/>
        <i x="455" s="1"/>
        <i x="433" s="1"/>
        <i x="88" s="1"/>
        <i x="81" s="1"/>
        <i x="465" s="1"/>
        <i x="42" s="1"/>
        <i x="33" s="1"/>
        <i x="406" s="1"/>
        <i x="481" s="1"/>
        <i x="480" s="1"/>
        <i x="306" s="1"/>
        <i x="210" s="1"/>
        <i x="477" s="1"/>
        <i x="10" s="1"/>
        <i x="0" s="1"/>
        <i x="348" s="1"/>
        <i x="342" s="1"/>
        <i x="340" s="1"/>
        <i x="184" s="1"/>
        <i x="376" s="1"/>
        <i x="414" s="1"/>
        <i x="266" s="1"/>
        <i x="334" s="1"/>
        <i x="471" s="1"/>
        <i x="333" s="1"/>
        <i x="456" s="1"/>
        <i x="253" s="1"/>
        <i x="402" s="1"/>
        <i x="482" s="1"/>
        <i x="454" s="1"/>
        <i x="420" s="1"/>
        <i x="308" s="1"/>
        <i x="473" s="1"/>
        <i x="121" s="1"/>
        <i x="302" s="1"/>
        <i x="431" s="1"/>
        <i x="295" s="1"/>
        <i x="475" s="1"/>
        <i x="293" s="1"/>
        <i x="108" s="1"/>
        <i x="221" s="1"/>
        <i x="463" s="1"/>
        <i x="91" s="1"/>
        <i x="361" s="1"/>
        <i x="208" s="1"/>
        <i x="199" s="1"/>
        <i x="470" s="1"/>
        <i x="393" s="1"/>
        <i x="65" s="1"/>
        <i x="407" s="1"/>
        <i x="55" s="1"/>
        <i x="323" s="1"/>
        <i x="179" s="1"/>
        <i x="441" s="1"/>
        <i x="259" s="1"/>
        <i x="313" s="1"/>
        <i x="349" s="1"/>
        <i x="421" s="1"/>
        <i x="435" s="1"/>
        <i x="434" s="1"/>
        <i x="399" s="1"/>
        <i x="245" s="1"/>
        <i x="446" s="1"/>
        <i x="474" s="1"/>
        <i x="444" s="1"/>
        <i x="366" s="1"/>
        <i x="161" s="1"/>
        <i x="442" s="1"/>
        <i x="428" s="1"/>
        <i x="440" s="1"/>
        <i x="155" s="1"/>
        <i x="438" s="1"/>
        <i x="148" s="1"/>
        <i x="279" s="1"/>
        <i x="278" s="1"/>
        <i x="277" s="1"/>
        <i x="274" s="1"/>
        <i x="451" s="1"/>
        <i x="418" s="1"/>
        <i x="415" s="1"/>
        <i x="468" s="1"/>
        <i x="120" s="1"/>
        <i x="448" s="1"/>
        <i x="466" s="1"/>
        <i x="110" s="1"/>
        <i x="106" s="1"/>
        <i x="193" s="1"/>
        <i x="404" s="1"/>
        <i x="92" s="1"/>
        <i x="462" s="1"/>
        <i x="301" s="1"/>
        <i x="432" s="1"/>
        <i x="401" s="1"/>
        <i x="386" s="1"/>
        <i x="180" s="1"/>
        <i x="453" s="1"/>
        <i x="412" s="1"/>
        <i x="244" s="1"/>
        <i x="374" s="1"/>
        <i x="71" s="1"/>
        <i x="280" s="1"/>
        <i x="443" s="1"/>
        <i x="63" s="1"/>
        <i x="449" s="1"/>
        <i x="346" s="1"/>
        <i x="339" s="1"/>
        <i x="379" s="1"/>
        <i x="316" s="1"/>
        <i x="363" s="1"/>
        <i x="400" s="1"/>
        <i x="377" s="1"/>
        <i x="26" s="1"/>
        <i x="219" s="1"/>
        <i x="261" s="1"/>
        <i x="437" s="1"/>
        <i x="450" s="1"/>
        <i x="207" s="1"/>
        <i x="351" s="1"/>
        <i x="5" s="1"/>
        <i x="247" s="1"/>
        <i x="398" s="1"/>
        <i x="426" s="1"/>
        <i x="329" s="1"/>
        <i x="356" s="1"/>
        <i x="105" s="1"/>
        <i x="416" s="1"/>
        <i x="177" s="1"/>
        <i x="424" s="1"/>
        <i x="352" s="1"/>
        <i x="230" s="1"/>
        <i x="388" s="1"/>
        <i x="430" s="1"/>
        <i x="384" s="1"/>
        <i x="287" s="1"/>
        <i x="423" s="1"/>
        <i x="397" s="1"/>
        <i x="436" s="1"/>
        <i x="135" s="1"/>
        <i x="132" s="1"/>
        <i x="405" s="1"/>
        <i x="191" s="1"/>
        <i x="403" s="1"/>
        <i x="413" s="1"/>
        <i x="296" s="1"/>
        <i x="115" s="1"/>
        <i x="354" s="1"/>
        <i x="294" s="1"/>
        <i x="389" s="1"/>
        <i x="326" s="1"/>
        <i x="322" s="1"/>
        <i x="394" s="1"/>
        <i x="258" s="1"/>
        <i x="220" s="1"/>
        <i x="283" s="1"/>
        <i x="171" s="1"/>
        <i x="422" s="1"/>
        <i x="314" s="1"/>
        <i x="311" s="1"/>
        <i x="419" s="1"/>
        <i x="211" s="1"/>
        <i x="360" s="1"/>
        <i x="204" s="1"/>
        <i x="72" s="1"/>
        <i x="265" s="1"/>
        <i x="353" s="1"/>
        <i x="64" s="1"/>
        <i x="238" s="1"/>
        <i x="396" s="1"/>
        <i x="37" s="1"/>
        <i x="257" s="1"/>
        <i x="343" s="1"/>
        <i x="249" s="1"/>
        <i x="116" s="1"/>
        <i x="248" s="1"/>
        <i x="112" s="1"/>
        <i x="103" s="1"/>
        <i x="330" s="1"/>
        <i x="100" s="1"/>
        <i x="213" s="1"/>
        <i x="337" s="1"/>
        <i x="14" s="1"/>
        <i x="335" s="1"/>
        <i x="240" s="1"/>
        <i x="94" s="1"/>
        <i x="90" s="1"/>
        <i x="317" s="1"/>
        <i x="233" s="1"/>
        <i x="187" s="1"/>
        <i x="145" s="1"/>
        <i x="383" s="1"/>
        <i x="75" s="1"/>
        <i x="138" s="1"/>
        <i x="367" s="1"/>
        <i x="364" s="1"/>
        <i x="269" s="1"/>
        <i x="378" s="1"/>
        <i x="39" s="1"/>
        <i x="172" s="1"/>
        <i x="168" s="1"/>
        <i x="380" s="1"/>
        <i x="30" s="1"/>
        <i x="310" s="1"/>
        <i x="27" s="1"/>
        <i x="262" s="1"/>
        <i x="23" s="1"/>
        <i x="159" s="1"/>
        <i x="260" s="1"/>
        <i x="86" s="1"/>
        <i x="149" s="1"/>
        <i x="246" s="1"/>
        <i x="147" s="1"/>
        <i x="225" s="1"/>
        <i x="341" s="1"/>
        <i x="369" s="1"/>
        <i x="375" s="1"/>
        <i x="362" s="1"/>
        <i x="358" s="1"/>
        <i x="355" s="1"/>
        <i x="370" s="1"/>
        <i x="117" s="1"/>
        <i x="197" s="1"/>
        <i x="114" s="1"/>
        <i x="229" s="1"/>
        <i x="160" s="1"/>
        <i x="290" s="1"/>
        <i x="331" s="1"/>
        <i x="357" s="1"/>
        <i x="350" s="1"/>
        <i x="216" s="1"/>
        <i x="139" s="1"/>
        <i x="134" s="1"/>
        <i x="83" s="1"/>
        <i x="273" s="1"/>
        <i x="82" s="1"/>
        <i x="9" s="1"/>
        <i x="270" s="1"/>
        <i x="332" s="1"/>
        <i x="175" s="1"/>
        <i x="3" s="1"/>
        <i x="264" s="1"/>
        <i x="284" s="1"/>
        <i x="166" s="1"/>
        <i x="309" s="1"/>
        <i x="165" s="1"/>
        <i x="282" s="1"/>
        <i x="307" s="1"/>
        <i x="107" s="1"/>
        <i x="319" s="1"/>
        <i x="218" s="1"/>
        <i x="153" s="1"/>
        <i x="181" s="1"/>
        <i x="178" s="1"/>
        <i x="143" s="1"/>
        <i x="288" s="1"/>
        <i x="209" s="1"/>
        <i x="235" s="1"/>
        <i x="89" s="1"/>
        <i x="176" s="1"/>
        <i x="325" s="1"/>
        <i x="321" s="1"/>
        <i x="169" s="1"/>
        <i x="297" s="1"/>
        <i x="188" s="1"/>
        <i x="164" s="1"/>
        <i x="8" s="1"/>
        <i x="254" s="1"/>
        <i x="327" s="1"/>
        <i x="268" s="1"/>
        <i x="111" s="1"/>
        <i x="151" s="1"/>
        <i x="203" s="1"/>
        <i x="96" s="1"/>
        <i x="136" s="1"/>
        <i x="227" s="1"/>
        <i x="34" s="1"/>
        <i x="87" s="1"/>
        <i x="299" s="1"/>
        <i x="276" s="1"/>
        <i x="152" s="1"/>
        <i x="6" s="1"/>
        <i x="192" s="1"/>
        <i x="95" s="1"/>
        <i x="173" s="1"/>
        <i x="267" s="1"/>
        <i x="251" s="1"/>
        <i x="236" s="1"/>
        <i x="215" s="1"/>
        <i x="272" s="1"/>
        <i x="271" s="1"/>
        <i x="157" s="1"/>
        <i x="76" s="1"/>
        <i x="144" s="1"/>
        <i x="263" s="1"/>
        <i x="189" s="1"/>
        <i x="174" s="1"/>
        <i x="126" s="1"/>
        <i x="243" s="1"/>
        <i x="226" s="1"/>
        <i x="156" s="1"/>
        <i x="200" s="1"/>
        <i x="252" s="1"/>
        <i x="239" s="1"/>
        <i x="195" s="1"/>
        <i x="142" s="1"/>
        <i x="170" s="1"/>
        <i x="241" s="1"/>
        <i x="124" s="1"/>
        <i x="52" s="1"/>
        <i x="84" s="1"/>
        <i x="150" s="1"/>
        <i x="234" s="1"/>
        <i x="31" s="1"/>
        <i x="186" s="1"/>
        <i x="28" s="1"/>
        <i x="212" s="1"/>
        <i x="185" s="1"/>
        <i x="206" s="1"/>
        <i x="19" s="1"/>
        <i x="66" s="1"/>
        <i x="224" s="1"/>
        <i x="129" s="1"/>
        <i x="198" s="1"/>
        <i x="196" s="1"/>
        <i x="13" s="1"/>
        <i x="190" s="1"/>
        <i x="214" s="1"/>
        <i x="113" s="1"/>
        <i x="80" s="1"/>
        <i x="131" s="1"/>
        <i x="24" s="1"/>
        <i x="123" s="1"/>
        <i x="61" s="1"/>
        <i x="56" s="1"/>
        <i x="11" s="1"/>
        <i x="118" s="1"/>
        <i x="7" s="1"/>
        <i x="77" s="1"/>
        <i x="98" s="1"/>
        <i x="25" s="1"/>
        <i x="154" s="1"/>
        <i x="53" s="1"/>
        <i x="12" s="1"/>
        <i x="127" s="1"/>
        <i x="101" s="1"/>
        <i x="67" s="1"/>
        <i x="21" s="1"/>
        <i x="119" s="1"/>
        <i x="85" s="1"/>
        <i x="51" s="1"/>
        <i x="15" s="1"/>
        <i x="45" s="1"/>
        <i x="97" s="1"/>
        <i x="59" s="1"/>
        <i x="54" s="1"/>
        <i x="50" s="1"/>
        <i x="78" s="1"/>
        <i x="40" s="1"/>
        <i x="38" s="1"/>
        <i x="69" s="1"/>
        <i x="60" s="1"/>
        <i x="20" s="1"/>
        <i x="49" s="1"/>
        <i x="18" s="1"/>
        <i x="48" s="1"/>
        <i x="47" s="1"/>
        <i x="44" s="1"/>
        <i x="43" s="1"/>
        <i x="17" s="1"/>
        <i x="158" s="1" nd="1"/>
        <i x="217" s="1" nd="1"/>
        <i x="68" s="1" nd="1"/>
        <i x="22" s="1" nd="1"/>
        <i x="146" s="1" nd="1"/>
        <i x="382" s="1" nd="1"/>
        <i x="305" s="1" nd="1"/>
        <i x="162" s="1" nd="1"/>
        <i x="62" s="1" nd="1"/>
        <i x="281" s="1" nd="1"/>
        <i x="237" s="1" nd="1"/>
        <i x="381" s="1" nd="1"/>
        <i x="472" s="1" nd="1"/>
        <i x="35" s="1" nd="1"/>
        <i x="1" s="1" nd="1"/>
        <i x="469" s="1" nd="1"/>
        <i x="390" s="1" nd="1"/>
        <i x="275" s="1" nd="1"/>
        <i x="365" s="1" nd="1"/>
        <i x="408" s="1" nd="1"/>
        <i x="417" s="1" nd="1"/>
        <i x="347" s="1" nd="1"/>
        <i x="328" s="1" nd="1"/>
        <i x="167" s="1" nd="1"/>
        <i x="109" s="1" nd="1"/>
        <i x="409" s="1" nd="1"/>
        <i x="73" s="1" nd="1"/>
        <i x="318" s="1" nd="1"/>
        <i x="445" s="1" nd="1"/>
        <i x="452" s="1" nd="1"/>
        <i x="182" s="1" nd="1"/>
        <i x="104" s="1" nd="1"/>
        <i x="320" s="1" nd="1"/>
        <i x="122" s="1" nd="1"/>
        <i x="255" s="1" nd="1"/>
        <i x="183" s="1" nd="1"/>
        <i x="292" s="1" nd="1"/>
        <i x="460" s="1" nd="1"/>
        <i x="133" s="1" nd="1"/>
        <i x="137" s="1" nd="1"/>
        <i x="125" s="1" nd="1"/>
        <i x="289" s="1" nd="1"/>
        <i x="74" s="1" nd="1"/>
        <i x="491" s="1" nd="1"/>
        <i x="345" s="1" nd="1"/>
        <i x="324" s="1" nd="1"/>
        <i x="410" s="1" nd="1"/>
        <i x="41" s="1" nd="1"/>
        <i x="2" s="1" nd="1"/>
        <i x="315" s="1" nd="1"/>
        <i x="425" s="1" nd="1"/>
        <i x="368" s="1" nd="1"/>
        <i x="36" s="1" nd="1"/>
        <i x="79" s="1" nd="1"/>
        <i x="344" s="1" nd="1"/>
        <i x="70" s="1" nd="1"/>
        <i x="250" s="1" nd="1"/>
        <i x="476" s="1" nd="1"/>
        <i x="392" s="1" nd="1"/>
        <i x="128" s="1" nd="1"/>
        <i x="205" s="1" nd="1"/>
        <i x="46" s="1" nd="1"/>
        <i x="130" s="1" nd="1"/>
        <i x="93" s="1" nd="1"/>
        <i x="231" s="1" nd="1"/>
        <i x="228" s="1" nd="1"/>
        <i x="16" s="1" nd="1"/>
        <i x="291" s="1" nd="1"/>
        <i x="29" s="1" nd="1"/>
        <i x="194" s="1" nd="1"/>
        <i x="58" s="1" nd="1"/>
        <i x="439" s="1" nd="1"/>
        <i x="32" s="1" nd="1"/>
        <i x="256" s="1" nd="1"/>
        <i x="163" s="1" nd="1"/>
        <i x="4" s="1" nd="1"/>
        <i x="459" s="1" nd="1"/>
        <i x="57" s="1" nd="1"/>
        <i x="201" s="1" nd="1"/>
        <i x="300" s="1" nd="1"/>
        <i x="99" s="1" nd="1"/>
        <i x="202" s="1" nd="1"/>
        <i x="496" s="1" nd="1"/>
        <i x="385" s="1" nd="1"/>
        <i x="140" s="1" nd="1"/>
        <i x="387" s="1" nd="1"/>
        <i x="304" s="1" nd="1"/>
        <i x="141" s="1" nd="1"/>
        <i x="223" s="1" nd="1"/>
        <i x="391" s="1" nd="1"/>
        <i x="303" s="1" nd="1"/>
        <i x="49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" xr10:uid="{5E68A944-D852-4078-9C4E-EAFCACE9F16D}" cache="SegmentaciónDeDatos_REGION" caption="REGION " style="SlicerStyleDark1" rowHeight="241300"/>
  <slicer name="CATEGORIA " xr10:uid="{31E763DA-9CA6-4C46-A132-B9BD14B42003}" cache="SegmentaciónDeDatos_CATEGORIA" caption="CATEGORIA " style="SlicerStyleDark1" rowHeight="241300"/>
  <slicer name="CATEGORIA  1" xr10:uid="{F1AA5105-5923-4F09-8376-79FD6EEFDEF9}" cache="SegmentaciónDeDatos_CATEGORIA" caption="CATEGORIA " rowHeight="241300"/>
  <slicer name="TOTAL_VENTA" xr10:uid="{87A819E9-D8E3-4D35-91F1-2C8F5E048256}" cache="SegmentaciónDeDatos_TOTAL_VENTA" caption="TOTAL_VENTA" startItem="44" style="SlicerStyleDark1" rowHeight="241300"/>
  <slicer name="VENDEDOR" xr10:uid="{16DE3449-E4DC-4655-AB08-657B3E3DF757}" cache="SegmentaciónDeDatos_VENDEDOR" caption="VENDEDOR" rowHeight="241300"/>
  <slicer name="TOTAL_VENTA 1" xr10:uid="{030AC63B-7E0A-4C09-BF6F-A78E86A0AD89}" cache="SegmentaciónDeDatos_TOTAL_VENTA1" caption="TOTAL_VENTA" startItem="48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B78F0-B88D-4B83-B04C-D1C95DAC1F35}" name="Tabla2" displayName="Tabla2" ref="A1:B12" totalsRowShown="0" headerRowDxfId="6" dataDxfId="4" headerRowBorderDxfId="5" tableBorderDxfId="3" totalsRowBorderDxfId="2">
  <autoFilter ref="A1:B12" xr:uid="{C94B78F0-B88D-4B83-B04C-D1C95DAC1F35}"/>
  <tableColumns count="2">
    <tableColumn id="1" xr3:uid="{B8FBCBDB-2C72-420B-B246-D14E0FF68A81}" name="Producto " dataDxfId="1"/>
    <tableColumn id="2" xr3:uid="{B5434E3C-E032-43DA-9E16-E20F7B447422}" name="Proveedor 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98CB-568C-4FA0-A85A-F0379B74B33E}">
  <dimension ref="A1:Q34"/>
  <sheetViews>
    <sheetView showGridLines="0" topLeftCell="A4" workbookViewId="0">
      <selection activeCell="K19" sqref="K19"/>
    </sheetView>
  </sheetViews>
  <sheetFormatPr baseColWidth="10" defaultRowHeight="15" x14ac:dyDescent="0.25"/>
  <cols>
    <col min="10" max="10" width="16.85546875" customWidth="1"/>
  </cols>
  <sheetData>
    <row r="1" spans="1:17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</row>
    <row r="3" spans="1:17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17" ht="19.5" thickBot="1" x14ac:dyDescent="0.35">
      <c r="A4" s="70"/>
      <c r="B4" s="70"/>
      <c r="C4" s="70"/>
      <c r="D4" s="70"/>
      <c r="E4" s="75"/>
      <c r="F4" s="75"/>
      <c r="G4" s="75"/>
      <c r="H4" s="75"/>
      <c r="I4" s="75"/>
      <c r="J4" s="70"/>
      <c r="K4" s="70"/>
      <c r="L4" s="70"/>
      <c r="M4" s="70"/>
      <c r="N4" s="70"/>
      <c r="O4" s="70"/>
      <c r="P4" s="70"/>
      <c r="Q4" s="70"/>
    </row>
    <row r="5" spans="1:17" ht="21.75" thickTop="1" x14ac:dyDescent="0.35">
      <c r="A5" s="70"/>
      <c r="B5" s="70"/>
      <c r="C5" s="70"/>
      <c r="D5" s="70"/>
      <c r="E5" s="76"/>
      <c r="F5" s="77"/>
      <c r="G5" s="77"/>
      <c r="H5" s="77"/>
      <c r="I5" s="77"/>
      <c r="J5" s="78"/>
      <c r="K5" s="70"/>
      <c r="L5" s="70"/>
      <c r="M5" s="70"/>
      <c r="N5" s="70"/>
      <c r="O5" s="70"/>
      <c r="P5" s="70"/>
      <c r="Q5" s="70"/>
    </row>
    <row r="6" spans="1:17" ht="21" x14ac:dyDescent="0.35">
      <c r="A6" s="70"/>
      <c r="B6" s="70"/>
      <c r="C6" s="70"/>
      <c r="D6" s="70"/>
      <c r="E6" s="79"/>
      <c r="F6" s="80" t="s">
        <v>549</v>
      </c>
      <c r="G6" s="81"/>
      <c r="H6" s="81"/>
      <c r="I6" s="81"/>
      <c r="J6" s="82"/>
      <c r="K6" s="70"/>
      <c r="L6" s="70"/>
      <c r="M6" s="70"/>
      <c r="N6" s="70"/>
      <c r="O6" s="70"/>
      <c r="P6" s="70"/>
      <c r="Q6" s="70"/>
    </row>
    <row r="7" spans="1:17" ht="21" x14ac:dyDescent="0.35">
      <c r="A7" s="70"/>
      <c r="B7" s="70"/>
      <c r="C7" s="70"/>
      <c r="D7" s="70"/>
      <c r="E7" s="79"/>
      <c r="F7" s="80"/>
      <c r="G7" s="81"/>
      <c r="H7" s="81"/>
      <c r="I7" s="81"/>
      <c r="J7" s="82"/>
      <c r="K7" s="70"/>
      <c r="L7" s="70"/>
      <c r="M7" s="70"/>
      <c r="N7" s="70"/>
      <c r="O7" s="70"/>
      <c r="P7" s="70"/>
      <c r="Q7" s="70"/>
    </row>
    <row r="8" spans="1:17" ht="21" x14ac:dyDescent="0.35">
      <c r="A8" s="70"/>
      <c r="B8" s="70"/>
      <c r="C8" s="70"/>
      <c r="D8" s="70"/>
      <c r="E8" s="79"/>
      <c r="F8" s="80" t="s">
        <v>550</v>
      </c>
      <c r="G8" s="81"/>
      <c r="H8" s="81"/>
      <c r="I8" s="81"/>
      <c r="J8" s="82"/>
      <c r="K8" s="70"/>
      <c r="L8" s="70"/>
      <c r="M8" s="70"/>
      <c r="N8" s="70"/>
      <c r="O8" s="70"/>
      <c r="P8" s="70"/>
      <c r="Q8" s="70"/>
    </row>
    <row r="9" spans="1:17" ht="21" x14ac:dyDescent="0.35">
      <c r="A9" s="70"/>
      <c r="B9" s="70"/>
      <c r="C9" s="70"/>
      <c r="D9" s="70"/>
      <c r="E9" s="79"/>
      <c r="F9" s="80"/>
      <c r="G9" s="81"/>
      <c r="H9" s="81"/>
      <c r="I9" s="81"/>
      <c r="J9" s="82"/>
      <c r="K9" s="70"/>
      <c r="L9" s="70"/>
      <c r="M9" s="70"/>
      <c r="N9" s="70"/>
      <c r="O9" s="70"/>
      <c r="P9" s="70"/>
      <c r="Q9" s="70"/>
    </row>
    <row r="10" spans="1:17" ht="21" x14ac:dyDescent="0.35">
      <c r="A10" s="70"/>
      <c r="B10" s="70"/>
      <c r="C10" s="70"/>
      <c r="D10" s="70"/>
      <c r="E10" s="79"/>
      <c r="F10" s="80" t="s">
        <v>551</v>
      </c>
      <c r="G10" s="81"/>
      <c r="H10" s="81"/>
      <c r="I10" s="81"/>
      <c r="J10" s="82"/>
      <c r="K10" s="70"/>
      <c r="L10" s="70"/>
      <c r="M10" s="70"/>
      <c r="N10" s="70"/>
      <c r="O10" s="70"/>
      <c r="P10" s="70"/>
      <c r="Q10" s="70"/>
    </row>
    <row r="11" spans="1:17" ht="21.75" thickBot="1" x14ac:dyDescent="0.4">
      <c r="A11" s="70"/>
      <c r="B11" s="70"/>
      <c r="C11" s="70"/>
      <c r="D11" s="70"/>
      <c r="E11" s="83"/>
      <c r="F11" s="84"/>
      <c r="G11" s="84"/>
      <c r="H11" s="84"/>
      <c r="I11" s="84"/>
      <c r="J11" s="85"/>
      <c r="K11" s="70"/>
      <c r="L11" s="70"/>
      <c r="M11" s="70"/>
      <c r="N11" s="70"/>
      <c r="O11" s="70"/>
      <c r="P11" s="70"/>
      <c r="Q11" s="70"/>
    </row>
    <row r="12" spans="1:17" ht="19.5" thickTop="1" x14ac:dyDescent="0.3">
      <c r="A12" s="70"/>
      <c r="B12" s="70"/>
      <c r="C12" s="70"/>
      <c r="D12" s="70"/>
      <c r="E12" s="75"/>
      <c r="F12" s="75"/>
      <c r="G12" s="75"/>
      <c r="H12" s="75"/>
      <c r="I12" s="75"/>
      <c r="J12" s="70"/>
      <c r="K12" s="70"/>
      <c r="L12" s="70"/>
      <c r="M12" s="70"/>
      <c r="N12" s="70"/>
      <c r="O12" s="70"/>
      <c r="P12" s="70"/>
      <c r="Q12" s="70"/>
    </row>
    <row r="13" spans="1:17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spans="1:17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1:17" x14ac:dyDescent="0.25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spans="1:17" x14ac:dyDescent="0.25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spans="1:17" x14ac:dyDescent="0.25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1:17" x14ac:dyDescent="0.25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1:17" x14ac:dyDescent="0.25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1:17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</row>
    <row r="23" spans="1:17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</row>
    <row r="24" spans="1:17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spans="1:17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1:17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</row>
    <row r="27" spans="1:17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spans="1:17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1:17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1:17" x14ac:dyDescent="0.2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</row>
    <row r="31" spans="1:17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1:17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spans="1:17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</row>
    <row r="34" spans="1:17" x14ac:dyDescent="0.25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72F9-BCFF-4EB4-87AE-3EB66B55BE93}">
  <dimension ref="A1:F26"/>
  <sheetViews>
    <sheetView showGridLines="0" workbookViewId="0"/>
  </sheetViews>
  <sheetFormatPr baseColWidth="10" defaultRowHeight="15" x14ac:dyDescent="0.25"/>
  <cols>
    <col min="1" max="1" width="131.42578125" customWidth="1"/>
  </cols>
  <sheetData>
    <row r="1" spans="1:6" x14ac:dyDescent="0.25">
      <c r="A1" s="70"/>
      <c r="B1" s="70"/>
      <c r="C1" s="70"/>
      <c r="D1" s="70"/>
      <c r="E1" s="70"/>
      <c r="F1" s="70"/>
    </row>
    <row r="2" spans="1:6" ht="15.75" x14ac:dyDescent="0.25">
      <c r="A2" s="71"/>
      <c r="B2" s="70"/>
      <c r="C2" s="70"/>
      <c r="D2" s="70"/>
      <c r="E2" s="70"/>
      <c r="F2" s="70"/>
    </row>
    <row r="3" spans="1:6" ht="23.25" x14ac:dyDescent="0.35">
      <c r="A3" s="72" t="s">
        <v>586</v>
      </c>
      <c r="B3" s="70"/>
      <c r="C3" s="70"/>
      <c r="D3" s="70"/>
      <c r="E3" s="70"/>
      <c r="F3" s="70"/>
    </row>
    <row r="4" spans="1:6" ht="15.75" x14ac:dyDescent="0.25">
      <c r="A4" s="71"/>
      <c r="B4" s="70"/>
      <c r="C4" s="70"/>
      <c r="D4" s="70"/>
      <c r="E4" s="70"/>
      <c r="F4" s="70"/>
    </row>
    <row r="5" spans="1:6" ht="18.75" x14ac:dyDescent="0.3">
      <c r="A5" s="72" t="s">
        <v>556</v>
      </c>
      <c r="B5" s="70"/>
      <c r="C5" s="70"/>
      <c r="D5" s="70"/>
      <c r="E5" s="70"/>
      <c r="F5" s="70"/>
    </row>
    <row r="6" spans="1:6" ht="15.75" x14ac:dyDescent="0.25">
      <c r="A6" s="71"/>
      <c r="B6" s="70"/>
      <c r="C6" s="70"/>
      <c r="D6" s="70"/>
      <c r="E6" s="70"/>
      <c r="F6" s="70"/>
    </row>
    <row r="7" spans="1:6" ht="18.75" x14ac:dyDescent="0.3">
      <c r="A7" s="72" t="s">
        <v>557</v>
      </c>
      <c r="B7" s="70"/>
      <c r="C7" s="70"/>
      <c r="D7" s="70"/>
      <c r="E7" s="70"/>
      <c r="F7" s="70"/>
    </row>
    <row r="8" spans="1:6" ht="15.75" x14ac:dyDescent="0.25">
      <c r="A8" s="71"/>
      <c r="B8" s="70"/>
      <c r="C8" s="70"/>
      <c r="D8" s="70"/>
      <c r="E8" s="70"/>
      <c r="F8" s="70"/>
    </row>
    <row r="9" spans="1:6" ht="18.75" x14ac:dyDescent="0.3">
      <c r="A9" s="72" t="s">
        <v>558</v>
      </c>
      <c r="B9" s="70"/>
      <c r="C9" s="70"/>
      <c r="D9" s="70"/>
      <c r="E9" s="70"/>
      <c r="F9" s="70"/>
    </row>
    <row r="10" spans="1:6" ht="15.75" x14ac:dyDescent="0.25">
      <c r="A10" s="72"/>
      <c r="B10" s="70"/>
      <c r="C10" s="70"/>
      <c r="D10" s="70"/>
      <c r="E10" s="70"/>
      <c r="F10" s="70"/>
    </row>
    <row r="11" spans="1:6" ht="15.75" x14ac:dyDescent="0.25">
      <c r="A11" s="71"/>
      <c r="B11" s="70"/>
      <c r="C11" s="70"/>
      <c r="D11" s="70"/>
      <c r="E11" s="70"/>
      <c r="F11" s="70"/>
    </row>
    <row r="12" spans="1:6" ht="23.25" x14ac:dyDescent="0.35">
      <c r="A12" s="90" t="s">
        <v>587</v>
      </c>
      <c r="B12" s="70"/>
      <c r="C12" s="70"/>
      <c r="D12" s="70"/>
      <c r="E12" s="70"/>
      <c r="F12" s="70"/>
    </row>
    <row r="13" spans="1:6" ht="15.75" x14ac:dyDescent="0.25">
      <c r="A13" s="73"/>
      <c r="B13" s="70"/>
      <c r="C13" s="70"/>
      <c r="D13" s="70"/>
      <c r="E13" s="70"/>
      <c r="F13" s="70"/>
    </row>
    <row r="14" spans="1:6" ht="18.75" x14ac:dyDescent="0.25">
      <c r="A14" s="74" t="s">
        <v>553</v>
      </c>
      <c r="B14" s="70"/>
      <c r="C14" s="70"/>
      <c r="D14" s="70"/>
      <c r="E14" s="70"/>
      <c r="F14" s="70"/>
    </row>
    <row r="15" spans="1:6" ht="15.75" x14ac:dyDescent="0.25">
      <c r="A15" s="73"/>
      <c r="B15" s="70"/>
      <c r="C15" s="70"/>
      <c r="D15" s="70"/>
      <c r="E15" s="70"/>
      <c r="F15" s="70"/>
    </row>
    <row r="16" spans="1:6" ht="18.75" x14ac:dyDescent="0.25">
      <c r="A16" s="74" t="s">
        <v>552</v>
      </c>
      <c r="B16" s="70"/>
      <c r="C16" s="70"/>
      <c r="D16" s="70"/>
      <c r="E16" s="70"/>
      <c r="F16" s="70"/>
    </row>
    <row r="17" spans="1:6" ht="15.75" x14ac:dyDescent="0.25">
      <c r="A17" s="73"/>
      <c r="B17" s="70"/>
      <c r="C17" s="70"/>
      <c r="D17" s="70"/>
      <c r="E17" s="70"/>
      <c r="F17" s="70"/>
    </row>
    <row r="18" spans="1:6" ht="18.75" x14ac:dyDescent="0.25">
      <c r="A18" s="74" t="s">
        <v>554</v>
      </c>
      <c r="B18" s="70"/>
      <c r="C18" s="70"/>
      <c r="D18" s="70"/>
      <c r="E18" s="70"/>
      <c r="F18" s="70"/>
    </row>
    <row r="19" spans="1:6" ht="15.75" x14ac:dyDescent="0.25">
      <c r="A19" s="73"/>
      <c r="B19" s="70"/>
      <c r="C19" s="70"/>
      <c r="D19" s="70"/>
      <c r="E19" s="70"/>
      <c r="F19" s="70"/>
    </row>
    <row r="20" spans="1:6" ht="18.75" x14ac:dyDescent="0.25">
      <c r="A20" s="74" t="s">
        <v>555</v>
      </c>
      <c r="B20" s="70"/>
      <c r="C20" s="70"/>
      <c r="D20" s="70"/>
      <c r="E20" s="70"/>
      <c r="F20" s="70"/>
    </row>
    <row r="21" spans="1:6" ht="15.75" x14ac:dyDescent="0.25">
      <c r="A21" s="73"/>
      <c r="B21" s="70"/>
      <c r="C21" s="70"/>
      <c r="D21" s="70"/>
      <c r="E21" s="70"/>
      <c r="F21" s="70"/>
    </row>
    <row r="22" spans="1:6" ht="18.75" x14ac:dyDescent="0.3">
      <c r="A22" s="75"/>
      <c r="B22" s="70"/>
      <c r="C22" s="70"/>
      <c r="D22" s="70"/>
      <c r="E22" s="70"/>
      <c r="F22" s="70"/>
    </row>
    <row r="23" spans="1:6" x14ac:dyDescent="0.25">
      <c r="A23" s="70"/>
      <c r="B23" s="70"/>
      <c r="C23" s="70"/>
      <c r="D23" s="70"/>
      <c r="E23" s="70"/>
      <c r="F23" s="70"/>
    </row>
    <row r="24" spans="1:6" x14ac:dyDescent="0.25">
      <c r="A24" s="70"/>
      <c r="B24" s="70"/>
      <c r="C24" s="70"/>
      <c r="D24" s="70"/>
      <c r="E24" s="70"/>
      <c r="F24" s="70"/>
    </row>
    <row r="25" spans="1:6" x14ac:dyDescent="0.25">
      <c r="A25" s="70"/>
      <c r="B25" s="70"/>
      <c r="C25" s="70"/>
      <c r="D25" s="70"/>
      <c r="E25" s="70"/>
      <c r="F25" s="70"/>
    </row>
    <row r="26" spans="1:6" x14ac:dyDescent="0.25">
      <c r="A26" s="70"/>
      <c r="B26" s="70"/>
      <c r="C26" s="70"/>
      <c r="D26" s="70"/>
      <c r="E26" s="70"/>
      <c r="F26" s="7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1E68-A92B-4BC6-A743-65D84AB0E3DD}">
  <dimension ref="A1:G10"/>
  <sheetViews>
    <sheetView showGridLines="0" workbookViewId="0">
      <selection sqref="A1:E1"/>
    </sheetView>
  </sheetViews>
  <sheetFormatPr baseColWidth="10" defaultRowHeight="15" x14ac:dyDescent="0.25"/>
  <cols>
    <col min="1" max="1" width="5.28515625" customWidth="1"/>
    <col min="2" max="2" width="53.140625" style="3" bestFit="1" customWidth="1"/>
    <col min="3" max="3" width="52.28515625" style="3" customWidth="1"/>
    <col min="4" max="4" width="52.42578125" style="13" bestFit="1" customWidth="1"/>
    <col min="5" max="5" width="21.5703125" bestFit="1" customWidth="1"/>
  </cols>
  <sheetData>
    <row r="1" spans="1:7" ht="25.5" customHeight="1" x14ac:dyDescent="0.3">
      <c r="A1" s="93" t="s">
        <v>46</v>
      </c>
      <c r="B1" s="93"/>
      <c r="C1" s="93"/>
      <c r="D1" s="93"/>
      <c r="E1" s="93"/>
      <c r="F1" s="48"/>
      <c r="G1" s="48"/>
    </row>
    <row r="3" spans="1:7" ht="15.75" thickBot="1" x14ac:dyDescent="0.3"/>
    <row r="4" spans="1:7" ht="20.25" thickTop="1" thickBot="1" x14ac:dyDescent="0.3">
      <c r="B4" s="64" t="s">
        <v>559</v>
      </c>
      <c r="C4" s="66" t="s">
        <v>560</v>
      </c>
      <c r="D4" s="68" t="s">
        <v>561</v>
      </c>
    </row>
    <row r="5" spans="1:7" ht="31.5" thickTop="1" thickBot="1" x14ac:dyDescent="0.3">
      <c r="B5" s="65" t="s">
        <v>562</v>
      </c>
      <c r="C5" s="67" t="s">
        <v>563</v>
      </c>
      <c r="D5" s="69" t="s">
        <v>564</v>
      </c>
    </row>
    <row r="6" spans="1:7" ht="17.25" thickTop="1" thickBot="1" x14ac:dyDescent="0.3">
      <c r="B6" s="65" t="s">
        <v>565</v>
      </c>
      <c r="C6" s="67" t="s">
        <v>566</v>
      </c>
      <c r="D6" s="69" t="s">
        <v>567</v>
      </c>
    </row>
    <row r="7" spans="1:7" ht="29.25" customHeight="1" thickTop="1" x14ac:dyDescent="0.25">
      <c r="B7" s="94" t="s">
        <v>568</v>
      </c>
      <c r="C7" s="96" t="s">
        <v>569</v>
      </c>
      <c r="D7" s="98" t="s">
        <v>570</v>
      </c>
    </row>
    <row r="8" spans="1:7" ht="15.75" thickBot="1" x14ac:dyDescent="0.3">
      <c r="B8" s="95"/>
      <c r="C8" s="97"/>
      <c r="D8" s="99"/>
    </row>
    <row r="9" spans="1:7" ht="17.25" thickTop="1" thickBot="1" x14ac:dyDescent="0.3">
      <c r="B9" s="65" t="s">
        <v>571</v>
      </c>
      <c r="C9" s="67" t="s">
        <v>572</v>
      </c>
      <c r="D9" s="69" t="s">
        <v>573</v>
      </c>
    </row>
    <row r="10" spans="1:7" ht="15.75" thickTop="1" x14ac:dyDescent="0.25"/>
  </sheetData>
  <mergeCells count="4">
    <mergeCell ref="A1:E1"/>
    <mergeCell ref="B7:B8"/>
    <mergeCell ref="C7:C8"/>
    <mergeCell ref="D7:D8"/>
  </mergeCells>
  <conditionalFormatting sqref="B4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A05A-D178-4284-AD69-4A211EEBF930}">
  <dimension ref="B2:K504"/>
  <sheetViews>
    <sheetView workbookViewId="0">
      <selection activeCell="H22" sqref="H22"/>
    </sheetView>
  </sheetViews>
  <sheetFormatPr baseColWidth="10" defaultRowHeight="15" x14ac:dyDescent="0.25"/>
  <cols>
    <col min="3" max="3" width="13" customWidth="1"/>
    <col min="5" max="5" width="20.42578125" bestFit="1" customWidth="1"/>
    <col min="6" max="6" width="12.7109375" bestFit="1" customWidth="1"/>
    <col min="10" max="10" width="12.7109375" bestFit="1" customWidth="1"/>
    <col min="11" max="11" width="15" bestFit="1" customWidth="1"/>
  </cols>
  <sheetData>
    <row r="2" spans="2:11" ht="15.75" x14ac:dyDescent="0.25">
      <c r="B2" s="86" t="s">
        <v>0</v>
      </c>
      <c r="C2" s="86" t="s">
        <v>1</v>
      </c>
      <c r="D2" s="86" t="s">
        <v>2</v>
      </c>
      <c r="E2" s="86" t="s">
        <v>3</v>
      </c>
      <c r="F2" s="86" t="s">
        <v>4</v>
      </c>
      <c r="G2" s="86" t="s">
        <v>5</v>
      </c>
      <c r="H2" s="86" t="s">
        <v>6</v>
      </c>
      <c r="I2" s="86" t="s">
        <v>7</v>
      </c>
      <c r="J2" s="86" t="s">
        <v>8</v>
      </c>
      <c r="K2" s="86" t="s">
        <v>9</v>
      </c>
    </row>
    <row r="3" spans="2:11" x14ac:dyDescent="0.25">
      <c r="B3" s="87">
        <v>1</v>
      </c>
      <c r="C3" s="88" t="s">
        <v>47</v>
      </c>
      <c r="D3" s="87" t="s">
        <v>10</v>
      </c>
      <c r="E3" s="87" t="s">
        <v>23</v>
      </c>
      <c r="F3" s="87" t="s">
        <v>15</v>
      </c>
      <c r="G3" s="87" t="s">
        <v>34</v>
      </c>
      <c r="H3" s="87">
        <v>11</v>
      </c>
      <c r="I3" s="87">
        <v>1725</v>
      </c>
      <c r="J3" s="87">
        <f t="shared" ref="J3:J8" ca="1" si="0">RANDBETWEEN(0, 15) / 100</f>
        <v>0.12</v>
      </c>
      <c r="K3" s="87">
        <f>H3*I3</f>
        <v>18975</v>
      </c>
    </row>
    <row r="4" spans="2:11" x14ac:dyDescent="0.25">
      <c r="B4" s="87">
        <v>2</v>
      </c>
      <c r="C4" s="88" t="s">
        <v>48</v>
      </c>
      <c r="D4" s="87" t="s">
        <v>11</v>
      </c>
      <c r="E4" s="87" t="s">
        <v>24</v>
      </c>
      <c r="F4" s="87" t="s">
        <v>16</v>
      </c>
      <c r="G4" s="87" t="s">
        <v>35</v>
      </c>
      <c r="H4" s="87">
        <v>2</v>
      </c>
      <c r="I4" s="87">
        <v>557</v>
      </c>
      <c r="J4" s="87">
        <f t="shared" ca="1" si="0"/>
        <v>0.02</v>
      </c>
      <c r="K4" s="88">
        <f>H4*I4</f>
        <v>1114</v>
      </c>
    </row>
    <row r="5" spans="2:11" x14ac:dyDescent="0.25">
      <c r="B5" s="87">
        <v>3</v>
      </c>
      <c r="C5" s="88" t="s">
        <v>49</v>
      </c>
      <c r="D5" s="87" t="s">
        <v>12</v>
      </c>
      <c r="E5" s="87" t="s">
        <v>25</v>
      </c>
      <c r="F5" s="87" t="s">
        <v>17</v>
      </c>
      <c r="G5" s="87" t="s">
        <v>36</v>
      </c>
      <c r="H5" s="87">
        <v>2</v>
      </c>
      <c r="I5" s="87">
        <v>1305</v>
      </c>
      <c r="J5" s="87">
        <f t="shared" ca="1" si="0"/>
        <v>0.1</v>
      </c>
      <c r="K5" s="88">
        <f t="shared" ref="K5:K68" si="1">H5*I5</f>
        <v>2610</v>
      </c>
    </row>
    <row r="6" spans="2:11" x14ac:dyDescent="0.25">
      <c r="B6" s="87">
        <v>4</v>
      </c>
      <c r="C6" s="88" t="s">
        <v>50</v>
      </c>
      <c r="D6" s="87" t="s">
        <v>13</v>
      </c>
      <c r="E6" s="87" t="s">
        <v>26</v>
      </c>
      <c r="F6" s="87" t="s">
        <v>18</v>
      </c>
      <c r="G6" s="87" t="s">
        <v>37</v>
      </c>
      <c r="H6" s="87">
        <v>16</v>
      </c>
      <c r="I6" s="87">
        <v>4398</v>
      </c>
      <c r="J6" s="87">
        <f t="shared" ca="1" si="0"/>
        <v>0.11</v>
      </c>
      <c r="K6" s="88">
        <f t="shared" si="1"/>
        <v>70368</v>
      </c>
    </row>
    <row r="7" spans="2:11" x14ac:dyDescent="0.25">
      <c r="B7" s="87">
        <v>5</v>
      </c>
      <c r="C7" s="88" t="s">
        <v>51</v>
      </c>
      <c r="D7" s="87" t="s">
        <v>14</v>
      </c>
      <c r="E7" s="87" t="s">
        <v>27</v>
      </c>
      <c r="F7" s="87" t="s">
        <v>16</v>
      </c>
      <c r="G7" s="87" t="s">
        <v>38</v>
      </c>
      <c r="H7" s="87">
        <v>1</v>
      </c>
      <c r="I7" s="87">
        <v>3882</v>
      </c>
      <c r="J7" s="87">
        <f t="shared" ca="1" si="0"/>
        <v>0.13</v>
      </c>
      <c r="K7" s="88">
        <f t="shared" si="1"/>
        <v>3882</v>
      </c>
    </row>
    <row r="8" spans="2:11" x14ac:dyDescent="0.25">
      <c r="B8" s="87">
        <v>6</v>
      </c>
      <c r="C8" s="88" t="s">
        <v>52</v>
      </c>
      <c r="D8" s="87" t="s">
        <v>10</v>
      </c>
      <c r="E8" s="87" t="s">
        <v>28</v>
      </c>
      <c r="F8" s="87" t="s">
        <v>17</v>
      </c>
      <c r="G8" s="87" t="s">
        <v>34</v>
      </c>
      <c r="H8" s="87">
        <v>20</v>
      </c>
      <c r="I8" s="87">
        <v>4622</v>
      </c>
      <c r="J8" s="87">
        <f t="shared" ca="1" si="0"/>
        <v>0.15</v>
      </c>
      <c r="K8" s="88">
        <f t="shared" si="1"/>
        <v>92440</v>
      </c>
    </row>
    <row r="9" spans="2:11" x14ac:dyDescent="0.25">
      <c r="B9" s="87">
        <v>7</v>
      </c>
      <c r="C9" s="88" t="s">
        <v>53</v>
      </c>
      <c r="D9" s="87" t="s">
        <v>11</v>
      </c>
      <c r="E9" s="87" t="s">
        <v>29</v>
      </c>
      <c r="F9" s="87" t="s">
        <v>18</v>
      </c>
      <c r="G9" s="87" t="s">
        <v>35</v>
      </c>
      <c r="H9" s="87">
        <v>2</v>
      </c>
      <c r="I9" s="87">
        <v>4911</v>
      </c>
      <c r="J9" s="87">
        <f t="shared" ref="J9:J72" ca="1" si="2">RANDBETWEEN(0, 15) / 100</f>
        <v>0.12</v>
      </c>
      <c r="K9" s="88">
        <f t="shared" si="1"/>
        <v>9822</v>
      </c>
    </row>
    <row r="10" spans="2:11" x14ac:dyDescent="0.25">
      <c r="B10" s="87">
        <v>8</v>
      </c>
      <c r="C10" s="88" t="s">
        <v>54</v>
      </c>
      <c r="D10" s="87" t="s">
        <v>12</v>
      </c>
      <c r="E10" s="87" t="s">
        <v>30</v>
      </c>
      <c r="F10" s="87" t="s">
        <v>16</v>
      </c>
      <c r="G10" s="87" t="s">
        <v>36</v>
      </c>
      <c r="H10" s="87">
        <v>13</v>
      </c>
      <c r="I10" s="87">
        <v>1347</v>
      </c>
      <c r="J10" s="87">
        <f t="shared" ca="1" si="2"/>
        <v>0.02</v>
      </c>
      <c r="K10" s="88">
        <f t="shared" si="1"/>
        <v>17511</v>
      </c>
    </row>
    <row r="11" spans="2:11" x14ac:dyDescent="0.25">
      <c r="B11" s="87">
        <v>9</v>
      </c>
      <c r="C11" s="88" t="s">
        <v>55</v>
      </c>
      <c r="D11" s="87" t="s">
        <v>13</v>
      </c>
      <c r="E11" s="87" t="s">
        <v>31</v>
      </c>
      <c r="F11" s="87" t="s">
        <v>17</v>
      </c>
      <c r="G11" s="87" t="s">
        <v>37</v>
      </c>
      <c r="H11" s="87">
        <v>19</v>
      </c>
      <c r="I11" s="87">
        <v>3782</v>
      </c>
      <c r="J11" s="87">
        <f t="shared" ca="1" si="2"/>
        <v>0.03</v>
      </c>
      <c r="K11" s="88">
        <f t="shared" si="1"/>
        <v>71858</v>
      </c>
    </row>
    <row r="12" spans="2:11" x14ac:dyDescent="0.25">
      <c r="B12" s="87">
        <v>10</v>
      </c>
      <c r="C12" s="88" t="s">
        <v>56</v>
      </c>
      <c r="D12" s="87" t="s">
        <v>14</v>
      </c>
      <c r="E12" s="87" t="s">
        <v>32</v>
      </c>
      <c r="F12" s="87" t="s">
        <v>18</v>
      </c>
      <c r="G12" s="87" t="s">
        <v>38</v>
      </c>
      <c r="H12" s="87">
        <v>5</v>
      </c>
      <c r="I12" s="87">
        <v>2020</v>
      </c>
      <c r="J12" s="87">
        <f t="shared" ca="1" si="2"/>
        <v>0.15</v>
      </c>
      <c r="K12" s="88">
        <f t="shared" si="1"/>
        <v>10100</v>
      </c>
    </row>
    <row r="13" spans="2:11" x14ac:dyDescent="0.25">
      <c r="B13" s="87">
        <v>11</v>
      </c>
      <c r="C13" s="88" t="s">
        <v>57</v>
      </c>
      <c r="D13" s="87" t="s">
        <v>10</v>
      </c>
      <c r="E13" s="87" t="s">
        <v>33</v>
      </c>
      <c r="F13" s="87" t="s">
        <v>16</v>
      </c>
      <c r="G13" s="87" t="s">
        <v>34</v>
      </c>
      <c r="H13" s="87">
        <v>14</v>
      </c>
      <c r="I13" s="87">
        <v>1073</v>
      </c>
      <c r="J13" s="87">
        <f t="shared" ca="1" si="2"/>
        <v>0.01</v>
      </c>
      <c r="K13" s="88">
        <f t="shared" si="1"/>
        <v>15022</v>
      </c>
    </row>
    <row r="14" spans="2:11" x14ac:dyDescent="0.25">
      <c r="B14" s="87">
        <v>12</v>
      </c>
      <c r="C14" s="88" t="s">
        <v>58</v>
      </c>
      <c r="D14" s="87" t="s">
        <v>11</v>
      </c>
      <c r="E14" s="87" t="s">
        <v>23</v>
      </c>
      <c r="F14" s="87" t="s">
        <v>15</v>
      </c>
      <c r="G14" s="87" t="s">
        <v>35</v>
      </c>
      <c r="H14" s="87">
        <v>16</v>
      </c>
      <c r="I14" s="87">
        <v>524</v>
      </c>
      <c r="J14" s="87">
        <f t="shared" ca="1" si="2"/>
        <v>0.15</v>
      </c>
      <c r="K14" s="88">
        <f t="shared" si="1"/>
        <v>8384</v>
      </c>
    </row>
    <row r="15" spans="2:11" x14ac:dyDescent="0.25">
      <c r="B15" s="87">
        <v>13</v>
      </c>
      <c r="C15" s="88" t="s">
        <v>59</v>
      </c>
      <c r="D15" s="87" t="s">
        <v>12</v>
      </c>
      <c r="E15" s="87" t="s">
        <v>24</v>
      </c>
      <c r="F15" s="87" t="s">
        <v>16</v>
      </c>
      <c r="G15" s="87" t="s">
        <v>36</v>
      </c>
      <c r="H15" s="87">
        <v>12</v>
      </c>
      <c r="I15" s="87">
        <v>3477</v>
      </c>
      <c r="J15" s="87">
        <f t="shared" ca="1" si="2"/>
        <v>0.11</v>
      </c>
      <c r="K15" s="88">
        <f t="shared" si="1"/>
        <v>41724</v>
      </c>
    </row>
    <row r="16" spans="2:11" x14ac:dyDescent="0.25">
      <c r="B16" s="87">
        <v>14</v>
      </c>
      <c r="C16" s="88" t="s">
        <v>60</v>
      </c>
      <c r="D16" s="87" t="s">
        <v>13</v>
      </c>
      <c r="E16" s="87" t="s">
        <v>25</v>
      </c>
      <c r="F16" s="87" t="s">
        <v>17</v>
      </c>
      <c r="G16" s="87" t="s">
        <v>37</v>
      </c>
      <c r="H16" s="87">
        <v>6</v>
      </c>
      <c r="I16" s="87">
        <v>3906</v>
      </c>
      <c r="J16" s="87">
        <f t="shared" ca="1" si="2"/>
        <v>0.12</v>
      </c>
      <c r="K16" s="88">
        <f t="shared" si="1"/>
        <v>23436</v>
      </c>
    </row>
    <row r="17" spans="2:11" x14ac:dyDescent="0.25">
      <c r="B17" s="87">
        <v>15</v>
      </c>
      <c r="C17" s="88" t="s">
        <v>61</v>
      </c>
      <c r="D17" s="87" t="s">
        <v>14</v>
      </c>
      <c r="E17" s="87" t="s">
        <v>26</v>
      </c>
      <c r="F17" s="87" t="s">
        <v>18</v>
      </c>
      <c r="G17" s="87" t="s">
        <v>38</v>
      </c>
      <c r="H17" s="87">
        <v>14</v>
      </c>
      <c r="I17" s="87">
        <v>1060</v>
      </c>
      <c r="J17" s="87">
        <f t="shared" ca="1" si="2"/>
        <v>0.15</v>
      </c>
      <c r="K17" s="88">
        <f t="shared" si="1"/>
        <v>14840</v>
      </c>
    </row>
    <row r="18" spans="2:11" x14ac:dyDescent="0.25">
      <c r="B18" s="87">
        <v>16</v>
      </c>
      <c r="C18" s="88" t="s">
        <v>62</v>
      </c>
      <c r="D18" s="87" t="s">
        <v>10</v>
      </c>
      <c r="E18" s="87" t="s">
        <v>27</v>
      </c>
      <c r="F18" s="87" t="s">
        <v>16</v>
      </c>
      <c r="G18" s="87" t="s">
        <v>34</v>
      </c>
      <c r="H18" s="87">
        <v>11</v>
      </c>
      <c r="I18" s="87">
        <v>520</v>
      </c>
      <c r="J18" s="87">
        <f t="shared" ca="1" si="2"/>
        <v>7.0000000000000007E-2</v>
      </c>
      <c r="K18" s="88">
        <f t="shared" si="1"/>
        <v>5720</v>
      </c>
    </row>
    <row r="19" spans="2:11" x14ac:dyDescent="0.25">
      <c r="B19" s="87">
        <v>17</v>
      </c>
      <c r="C19" s="88" t="s">
        <v>63</v>
      </c>
      <c r="D19" s="87" t="s">
        <v>11</v>
      </c>
      <c r="E19" s="87" t="s">
        <v>28</v>
      </c>
      <c r="F19" s="87" t="s">
        <v>17</v>
      </c>
      <c r="G19" s="87" t="s">
        <v>35</v>
      </c>
      <c r="H19" s="87">
        <v>1</v>
      </c>
      <c r="I19" s="87">
        <v>3447</v>
      </c>
      <c r="J19" s="87">
        <f t="shared" ca="1" si="2"/>
        <v>0.06</v>
      </c>
      <c r="K19" s="88">
        <f t="shared" si="1"/>
        <v>3447</v>
      </c>
    </row>
    <row r="20" spans="2:11" x14ac:dyDescent="0.25">
      <c r="B20" s="87">
        <v>18</v>
      </c>
      <c r="C20" s="88" t="s">
        <v>64</v>
      </c>
      <c r="D20" s="87" t="s">
        <v>12</v>
      </c>
      <c r="E20" s="87" t="s">
        <v>29</v>
      </c>
      <c r="F20" s="87" t="s">
        <v>18</v>
      </c>
      <c r="G20" s="87" t="s">
        <v>36</v>
      </c>
      <c r="H20" s="87">
        <v>7</v>
      </c>
      <c r="I20" s="87">
        <v>2562</v>
      </c>
      <c r="J20" s="87">
        <f t="shared" ca="1" si="2"/>
        <v>0.04</v>
      </c>
      <c r="K20" s="88">
        <f t="shared" si="1"/>
        <v>17934</v>
      </c>
    </row>
    <row r="21" spans="2:11" x14ac:dyDescent="0.25">
      <c r="B21" s="87">
        <v>19</v>
      </c>
      <c r="C21" s="88" t="s">
        <v>65</v>
      </c>
      <c r="D21" s="87" t="s">
        <v>13</v>
      </c>
      <c r="E21" s="87" t="s">
        <v>30</v>
      </c>
      <c r="F21" s="87" t="s">
        <v>16</v>
      </c>
      <c r="G21" s="87" t="s">
        <v>37</v>
      </c>
      <c r="H21" s="87">
        <v>19</v>
      </c>
      <c r="I21" s="87">
        <v>1859</v>
      </c>
      <c r="J21" s="87">
        <f t="shared" ca="1" si="2"/>
        <v>0.13</v>
      </c>
      <c r="K21" s="88">
        <f t="shared" si="1"/>
        <v>35321</v>
      </c>
    </row>
    <row r="22" spans="2:11" x14ac:dyDescent="0.25">
      <c r="B22" s="87">
        <v>20</v>
      </c>
      <c r="C22" s="88" t="s">
        <v>66</v>
      </c>
      <c r="D22" s="87" t="s">
        <v>14</v>
      </c>
      <c r="E22" s="87" t="s">
        <v>31</v>
      </c>
      <c r="F22" s="87" t="s">
        <v>17</v>
      </c>
      <c r="G22" s="87" t="s">
        <v>38</v>
      </c>
      <c r="H22" s="87">
        <v>2</v>
      </c>
      <c r="I22" s="87">
        <v>4380</v>
      </c>
      <c r="J22" s="87">
        <f t="shared" ca="1" si="2"/>
        <v>0.13</v>
      </c>
      <c r="K22" s="88">
        <f t="shared" si="1"/>
        <v>8760</v>
      </c>
    </row>
    <row r="23" spans="2:11" x14ac:dyDescent="0.25">
      <c r="B23" s="87">
        <v>21</v>
      </c>
      <c r="C23" s="88" t="s">
        <v>67</v>
      </c>
      <c r="D23" s="87" t="s">
        <v>10</v>
      </c>
      <c r="E23" s="87" t="s">
        <v>32</v>
      </c>
      <c r="F23" s="87" t="s">
        <v>18</v>
      </c>
      <c r="G23" s="87" t="s">
        <v>34</v>
      </c>
      <c r="H23" s="87">
        <v>11</v>
      </c>
      <c r="I23" s="87">
        <v>3586</v>
      </c>
      <c r="J23" s="87">
        <f t="shared" ca="1" si="2"/>
        <v>0.04</v>
      </c>
      <c r="K23" s="88">
        <f t="shared" si="1"/>
        <v>39446</v>
      </c>
    </row>
    <row r="24" spans="2:11" x14ac:dyDescent="0.25">
      <c r="B24" s="87">
        <v>22</v>
      </c>
      <c r="C24" s="88" t="s">
        <v>68</v>
      </c>
      <c r="D24" s="87" t="s">
        <v>11</v>
      </c>
      <c r="E24" s="87" t="s">
        <v>33</v>
      </c>
      <c r="F24" s="87" t="s">
        <v>16</v>
      </c>
      <c r="G24" s="87" t="s">
        <v>35</v>
      </c>
      <c r="H24" s="87">
        <v>14</v>
      </c>
      <c r="I24" s="87">
        <v>3744</v>
      </c>
      <c r="J24" s="87">
        <f t="shared" ca="1" si="2"/>
        <v>0.12</v>
      </c>
      <c r="K24" s="88">
        <f t="shared" si="1"/>
        <v>52416</v>
      </c>
    </row>
    <row r="25" spans="2:11" x14ac:dyDescent="0.25">
      <c r="B25" s="87">
        <v>23</v>
      </c>
      <c r="C25" s="88" t="s">
        <v>69</v>
      </c>
      <c r="D25" s="87" t="s">
        <v>12</v>
      </c>
      <c r="E25" s="87" t="s">
        <v>23</v>
      </c>
      <c r="F25" s="87" t="s">
        <v>15</v>
      </c>
      <c r="G25" s="87" t="s">
        <v>36</v>
      </c>
      <c r="H25" s="87">
        <v>2</v>
      </c>
      <c r="I25" s="87">
        <v>272</v>
      </c>
      <c r="J25" s="87">
        <f t="shared" ca="1" si="2"/>
        <v>0.13</v>
      </c>
      <c r="K25" s="88">
        <f t="shared" si="1"/>
        <v>544</v>
      </c>
    </row>
    <row r="26" spans="2:11" x14ac:dyDescent="0.25">
      <c r="B26" s="87">
        <v>24</v>
      </c>
      <c r="C26" s="88" t="s">
        <v>70</v>
      </c>
      <c r="D26" s="87" t="s">
        <v>13</v>
      </c>
      <c r="E26" s="87" t="s">
        <v>24</v>
      </c>
      <c r="F26" s="87" t="s">
        <v>16</v>
      </c>
      <c r="G26" s="87" t="s">
        <v>37</v>
      </c>
      <c r="H26" s="87">
        <v>17</v>
      </c>
      <c r="I26" s="87">
        <v>4185</v>
      </c>
      <c r="J26" s="87">
        <f t="shared" ca="1" si="2"/>
        <v>0</v>
      </c>
      <c r="K26" s="88">
        <f t="shared" si="1"/>
        <v>71145</v>
      </c>
    </row>
    <row r="27" spans="2:11" x14ac:dyDescent="0.25">
      <c r="B27" s="87">
        <v>25</v>
      </c>
      <c r="C27" s="88" t="s">
        <v>71</v>
      </c>
      <c r="D27" s="87" t="s">
        <v>14</v>
      </c>
      <c r="E27" s="87" t="s">
        <v>25</v>
      </c>
      <c r="F27" s="87" t="s">
        <v>17</v>
      </c>
      <c r="G27" s="87" t="s">
        <v>38</v>
      </c>
      <c r="H27" s="87">
        <v>3</v>
      </c>
      <c r="I27" s="87">
        <v>2432</v>
      </c>
      <c r="J27" s="87">
        <f t="shared" ca="1" si="2"/>
        <v>0.13</v>
      </c>
      <c r="K27" s="88">
        <f t="shared" si="1"/>
        <v>7296</v>
      </c>
    </row>
    <row r="28" spans="2:11" x14ac:dyDescent="0.25">
      <c r="B28" s="87">
        <v>26</v>
      </c>
      <c r="C28" s="88" t="s">
        <v>72</v>
      </c>
      <c r="D28" s="87" t="s">
        <v>10</v>
      </c>
      <c r="E28" s="87" t="s">
        <v>26</v>
      </c>
      <c r="F28" s="87" t="s">
        <v>18</v>
      </c>
      <c r="G28" s="87" t="s">
        <v>34</v>
      </c>
      <c r="H28" s="87">
        <v>14</v>
      </c>
      <c r="I28" s="87">
        <v>3300</v>
      </c>
      <c r="J28" s="87">
        <f t="shared" ca="1" si="2"/>
        <v>0.13</v>
      </c>
      <c r="K28" s="88">
        <f t="shared" si="1"/>
        <v>46200</v>
      </c>
    </row>
    <row r="29" spans="2:11" x14ac:dyDescent="0.25">
      <c r="B29" s="87">
        <v>27</v>
      </c>
      <c r="C29" s="88" t="s">
        <v>73</v>
      </c>
      <c r="D29" s="87" t="s">
        <v>11</v>
      </c>
      <c r="E29" s="87" t="s">
        <v>27</v>
      </c>
      <c r="F29" s="87" t="s">
        <v>16</v>
      </c>
      <c r="G29" s="87" t="s">
        <v>35</v>
      </c>
      <c r="H29" s="87">
        <v>9</v>
      </c>
      <c r="I29" s="87">
        <v>4358</v>
      </c>
      <c r="J29" s="87">
        <f t="shared" ca="1" si="2"/>
        <v>0.13</v>
      </c>
      <c r="K29" s="88">
        <f t="shared" si="1"/>
        <v>39222</v>
      </c>
    </row>
    <row r="30" spans="2:11" x14ac:dyDescent="0.25">
      <c r="B30" s="87">
        <v>28</v>
      </c>
      <c r="C30" s="88" t="s">
        <v>74</v>
      </c>
      <c r="D30" s="87" t="s">
        <v>12</v>
      </c>
      <c r="E30" s="87" t="s">
        <v>28</v>
      </c>
      <c r="F30" s="87" t="s">
        <v>17</v>
      </c>
      <c r="G30" s="87" t="s">
        <v>36</v>
      </c>
      <c r="H30" s="87">
        <v>7</v>
      </c>
      <c r="I30" s="87">
        <v>4268</v>
      </c>
      <c r="J30" s="87">
        <f t="shared" ca="1" si="2"/>
        <v>0.1</v>
      </c>
      <c r="K30" s="88">
        <f t="shared" si="1"/>
        <v>29876</v>
      </c>
    </row>
    <row r="31" spans="2:11" x14ac:dyDescent="0.25">
      <c r="B31" s="87">
        <v>29</v>
      </c>
      <c r="C31" s="88" t="s">
        <v>75</v>
      </c>
      <c r="D31" s="87" t="s">
        <v>13</v>
      </c>
      <c r="E31" s="87" t="s">
        <v>29</v>
      </c>
      <c r="F31" s="87" t="s">
        <v>18</v>
      </c>
      <c r="G31" s="87" t="s">
        <v>37</v>
      </c>
      <c r="H31" s="87">
        <v>15</v>
      </c>
      <c r="I31" s="87">
        <v>845</v>
      </c>
      <c r="J31" s="87">
        <f t="shared" ca="1" si="2"/>
        <v>0.15</v>
      </c>
      <c r="K31" s="88">
        <f t="shared" si="1"/>
        <v>12675</v>
      </c>
    </row>
    <row r="32" spans="2:11" x14ac:dyDescent="0.25">
      <c r="B32" s="87">
        <v>30</v>
      </c>
      <c r="C32" s="88" t="s">
        <v>76</v>
      </c>
      <c r="D32" s="87" t="s">
        <v>14</v>
      </c>
      <c r="E32" s="87" t="s">
        <v>30</v>
      </c>
      <c r="F32" s="87" t="s">
        <v>16</v>
      </c>
      <c r="G32" s="87" t="s">
        <v>38</v>
      </c>
      <c r="H32" s="87">
        <v>10</v>
      </c>
      <c r="I32" s="87">
        <v>349</v>
      </c>
      <c r="J32" s="87">
        <f t="shared" ca="1" si="2"/>
        <v>0.1</v>
      </c>
      <c r="K32" s="88">
        <f t="shared" si="1"/>
        <v>3490</v>
      </c>
    </row>
    <row r="33" spans="2:11" x14ac:dyDescent="0.25">
      <c r="B33" s="87">
        <v>31</v>
      </c>
      <c r="C33" s="88" t="s">
        <v>77</v>
      </c>
      <c r="D33" s="87" t="s">
        <v>10</v>
      </c>
      <c r="E33" s="87" t="s">
        <v>31</v>
      </c>
      <c r="F33" s="87" t="s">
        <v>17</v>
      </c>
      <c r="G33" s="87" t="s">
        <v>34</v>
      </c>
      <c r="H33" s="87">
        <v>18</v>
      </c>
      <c r="I33" s="87">
        <v>2307</v>
      </c>
      <c r="J33" s="87">
        <f t="shared" ca="1" si="2"/>
        <v>0</v>
      </c>
      <c r="K33" s="88">
        <f t="shared" si="1"/>
        <v>41526</v>
      </c>
    </row>
    <row r="34" spans="2:11" x14ac:dyDescent="0.25">
      <c r="B34" s="87">
        <v>32</v>
      </c>
      <c r="C34" s="88" t="s">
        <v>78</v>
      </c>
      <c r="D34" s="87" t="s">
        <v>11</v>
      </c>
      <c r="E34" s="87" t="s">
        <v>32</v>
      </c>
      <c r="F34" s="87" t="s">
        <v>18</v>
      </c>
      <c r="G34" s="87" t="s">
        <v>35</v>
      </c>
      <c r="H34" s="87">
        <v>14</v>
      </c>
      <c r="I34" s="87">
        <v>3937</v>
      </c>
      <c r="J34" s="87">
        <f t="shared" ca="1" si="2"/>
        <v>0.14000000000000001</v>
      </c>
      <c r="K34" s="88">
        <f t="shared" si="1"/>
        <v>55118</v>
      </c>
    </row>
    <row r="35" spans="2:11" x14ac:dyDescent="0.25">
      <c r="B35" s="87">
        <v>33</v>
      </c>
      <c r="C35" s="88" t="s">
        <v>79</v>
      </c>
      <c r="D35" s="87" t="s">
        <v>12</v>
      </c>
      <c r="E35" s="87" t="s">
        <v>33</v>
      </c>
      <c r="F35" s="87" t="s">
        <v>16</v>
      </c>
      <c r="G35" s="87" t="s">
        <v>36</v>
      </c>
      <c r="H35" s="87">
        <v>1</v>
      </c>
      <c r="I35" s="87">
        <v>3859</v>
      </c>
      <c r="J35" s="87">
        <f t="shared" ca="1" si="2"/>
        <v>0.15</v>
      </c>
      <c r="K35" s="88">
        <f t="shared" si="1"/>
        <v>3859</v>
      </c>
    </row>
    <row r="36" spans="2:11" x14ac:dyDescent="0.25">
      <c r="B36" s="87">
        <v>34</v>
      </c>
      <c r="C36" s="88" t="s">
        <v>80</v>
      </c>
      <c r="D36" s="87" t="s">
        <v>13</v>
      </c>
      <c r="E36" s="87" t="s">
        <v>23</v>
      </c>
      <c r="F36" s="87" t="s">
        <v>15</v>
      </c>
      <c r="G36" s="87" t="s">
        <v>37</v>
      </c>
      <c r="H36" s="87">
        <v>9</v>
      </c>
      <c r="I36" s="87">
        <v>2027</v>
      </c>
      <c r="J36" s="87">
        <f t="shared" ca="1" si="2"/>
        <v>0.14000000000000001</v>
      </c>
      <c r="K36" s="88">
        <f t="shared" si="1"/>
        <v>18243</v>
      </c>
    </row>
    <row r="37" spans="2:11" x14ac:dyDescent="0.25">
      <c r="B37" s="87">
        <v>35</v>
      </c>
      <c r="C37" s="88" t="s">
        <v>81</v>
      </c>
      <c r="D37" s="87" t="s">
        <v>14</v>
      </c>
      <c r="E37" s="87" t="s">
        <v>24</v>
      </c>
      <c r="F37" s="87" t="s">
        <v>16</v>
      </c>
      <c r="G37" s="87" t="s">
        <v>38</v>
      </c>
      <c r="H37" s="87">
        <v>4</v>
      </c>
      <c r="I37" s="87">
        <v>3476</v>
      </c>
      <c r="J37" s="87">
        <f t="shared" ca="1" si="2"/>
        <v>0.12</v>
      </c>
      <c r="K37" s="88">
        <f t="shared" si="1"/>
        <v>13904</v>
      </c>
    </row>
    <row r="38" spans="2:11" x14ac:dyDescent="0.25">
      <c r="B38" s="87">
        <v>36</v>
      </c>
      <c r="C38" s="88" t="s">
        <v>82</v>
      </c>
      <c r="D38" s="87" t="s">
        <v>10</v>
      </c>
      <c r="E38" s="87" t="s">
        <v>25</v>
      </c>
      <c r="F38" s="87" t="s">
        <v>17</v>
      </c>
      <c r="G38" s="87" t="s">
        <v>34</v>
      </c>
      <c r="H38" s="87">
        <v>7</v>
      </c>
      <c r="I38" s="87">
        <v>146</v>
      </c>
      <c r="J38" s="87">
        <f t="shared" ca="1" si="2"/>
        <v>0.11</v>
      </c>
      <c r="K38" s="88">
        <f t="shared" si="1"/>
        <v>1022</v>
      </c>
    </row>
    <row r="39" spans="2:11" x14ac:dyDescent="0.25">
      <c r="B39" s="87">
        <v>37</v>
      </c>
      <c r="C39" s="88" t="s">
        <v>83</v>
      </c>
      <c r="D39" s="87" t="s">
        <v>11</v>
      </c>
      <c r="E39" s="87" t="s">
        <v>26</v>
      </c>
      <c r="F39" s="87" t="s">
        <v>18</v>
      </c>
      <c r="G39" s="87" t="s">
        <v>35</v>
      </c>
      <c r="H39" s="87">
        <v>3</v>
      </c>
      <c r="I39" s="87">
        <v>941</v>
      </c>
      <c r="J39" s="87">
        <f t="shared" ca="1" si="2"/>
        <v>0.02</v>
      </c>
      <c r="K39" s="88">
        <f t="shared" si="1"/>
        <v>2823</v>
      </c>
    </row>
    <row r="40" spans="2:11" x14ac:dyDescent="0.25">
      <c r="B40" s="87">
        <v>38</v>
      </c>
      <c r="C40" s="88" t="s">
        <v>84</v>
      </c>
      <c r="D40" s="87" t="s">
        <v>12</v>
      </c>
      <c r="E40" s="87" t="s">
        <v>27</v>
      </c>
      <c r="F40" s="87" t="s">
        <v>16</v>
      </c>
      <c r="G40" s="87" t="s">
        <v>36</v>
      </c>
      <c r="H40" s="87">
        <v>11</v>
      </c>
      <c r="I40" s="87">
        <v>2285</v>
      </c>
      <c r="J40" s="87">
        <f t="shared" ca="1" si="2"/>
        <v>0.09</v>
      </c>
      <c r="K40" s="88">
        <f t="shared" si="1"/>
        <v>25135</v>
      </c>
    </row>
    <row r="41" spans="2:11" x14ac:dyDescent="0.25">
      <c r="B41" s="87">
        <v>39</v>
      </c>
      <c r="C41" s="88" t="s">
        <v>85</v>
      </c>
      <c r="D41" s="87" t="s">
        <v>13</v>
      </c>
      <c r="E41" s="87" t="s">
        <v>28</v>
      </c>
      <c r="F41" s="87" t="s">
        <v>17</v>
      </c>
      <c r="G41" s="87" t="s">
        <v>37</v>
      </c>
      <c r="H41" s="87">
        <v>16</v>
      </c>
      <c r="I41" s="87">
        <v>4849</v>
      </c>
      <c r="J41" s="87">
        <f t="shared" ca="1" si="2"/>
        <v>0.05</v>
      </c>
      <c r="K41" s="88">
        <f t="shared" si="1"/>
        <v>77584</v>
      </c>
    </row>
    <row r="42" spans="2:11" x14ac:dyDescent="0.25">
      <c r="B42" s="87">
        <v>40</v>
      </c>
      <c r="C42" s="88" t="s">
        <v>86</v>
      </c>
      <c r="D42" s="87" t="s">
        <v>14</v>
      </c>
      <c r="E42" s="87" t="s">
        <v>29</v>
      </c>
      <c r="F42" s="87" t="s">
        <v>18</v>
      </c>
      <c r="G42" s="87" t="s">
        <v>38</v>
      </c>
      <c r="H42" s="87">
        <v>17</v>
      </c>
      <c r="I42" s="87">
        <v>1149</v>
      </c>
      <c r="J42" s="87">
        <f t="shared" ca="1" si="2"/>
        <v>0.1</v>
      </c>
      <c r="K42" s="88">
        <f t="shared" si="1"/>
        <v>19533</v>
      </c>
    </row>
    <row r="43" spans="2:11" x14ac:dyDescent="0.25">
      <c r="B43" s="87">
        <v>41</v>
      </c>
      <c r="C43" s="88" t="s">
        <v>87</v>
      </c>
      <c r="D43" s="87" t="s">
        <v>10</v>
      </c>
      <c r="E43" s="87" t="s">
        <v>30</v>
      </c>
      <c r="F43" s="87" t="s">
        <v>16</v>
      </c>
      <c r="G43" s="87" t="s">
        <v>34</v>
      </c>
      <c r="H43" s="87">
        <v>6</v>
      </c>
      <c r="I43" s="87">
        <v>4496</v>
      </c>
      <c r="J43" s="87">
        <f t="shared" ca="1" si="2"/>
        <v>0.12</v>
      </c>
      <c r="K43" s="88">
        <f t="shared" si="1"/>
        <v>26976</v>
      </c>
    </row>
    <row r="44" spans="2:11" x14ac:dyDescent="0.25">
      <c r="B44" s="87">
        <v>42</v>
      </c>
      <c r="C44" s="88" t="s">
        <v>88</v>
      </c>
      <c r="D44" s="87" t="s">
        <v>11</v>
      </c>
      <c r="E44" s="87" t="s">
        <v>31</v>
      </c>
      <c r="F44" s="87" t="s">
        <v>17</v>
      </c>
      <c r="G44" s="87" t="s">
        <v>35</v>
      </c>
      <c r="H44" s="87">
        <v>3</v>
      </c>
      <c r="I44" s="87">
        <v>865</v>
      </c>
      <c r="J44" s="87">
        <f t="shared" ca="1" si="2"/>
        <v>0.03</v>
      </c>
      <c r="K44" s="88">
        <f t="shared" si="1"/>
        <v>2595</v>
      </c>
    </row>
    <row r="45" spans="2:11" x14ac:dyDescent="0.25">
      <c r="B45" s="87">
        <v>43</v>
      </c>
      <c r="C45" s="88" t="s">
        <v>89</v>
      </c>
      <c r="D45" s="87" t="s">
        <v>12</v>
      </c>
      <c r="E45" s="87" t="s">
        <v>32</v>
      </c>
      <c r="F45" s="87" t="s">
        <v>18</v>
      </c>
      <c r="G45" s="87" t="s">
        <v>36</v>
      </c>
      <c r="H45" s="87">
        <v>14</v>
      </c>
      <c r="I45" s="87">
        <v>4478</v>
      </c>
      <c r="J45" s="87">
        <f t="shared" ca="1" si="2"/>
        <v>7.0000000000000007E-2</v>
      </c>
      <c r="K45" s="88">
        <f t="shared" si="1"/>
        <v>62692</v>
      </c>
    </row>
    <row r="46" spans="2:11" x14ac:dyDescent="0.25">
      <c r="B46" s="87">
        <v>44</v>
      </c>
      <c r="C46" s="88" t="s">
        <v>90</v>
      </c>
      <c r="D46" s="87" t="s">
        <v>13</v>
      </c>
      <c r="E46" s="87" t="s">
        <v>33</v>
      </c>
      <c r="F46" s="87" t="s">
        <v>16</v>
      </c>
      <c r="G46" s="87" t="s">
        <v>37</v>
      </c>
      <c r="H46" s="87">
        <v>4</v>
      </c>
      <c r="I46" s="87">
        <v>4121</v>
      </c>
      <c r="J46" s="87">
        <f t="shared" ca="1" si="2"/>
        <v>0.01</v>
      </c>
      <c r="K46" s="88">
        <f t="shared" si="1"/>
        <v>16484</v>
      </c>
    </row>
    <row r="47" spans="2:11" x14ac:dyDescent="0.25">
      <c r="B47" s="87">
        <v>45</v>
      </c>
      <c r="C47" s="88" t="s">
        <v>91</v>
      </c>
      <c r="D47" s="87" t="s">
        <v>14</v>
      </c>
      <c r="E47" s="87" t="s">
        <v>23</v>
      </c>
      <c r="F47" s="87" t="s">
        <v>15</v>
      </c>
      <c r="G47" s="87" t="s">
        <v>38</v>
      </c>
      <c r="H47" s="87">
        <v>20</v>
      </c>
      <c r="I47" s="87">
        <v>4606</v>
      </c>
      <c r="J47" s="87">
        <f t="shared" ca="1" si="2"/>
        <v>0.12</v>
      </c>
      <c r="K47" s="88">
        <f t="shared" si="1"/>
        <v>92120</v>
      </c>
    </row>
    <row r="48" spans="2:11" x14ac:dyDescent="0.25">
      <c r="B48" s="87">
        <v>46</v>
      </c>
      <c r="C48" s="88" t="s">
        <v>92</v>
      </c>
      <c r="D48" s="87" t="s">
        <v>10</v>
      </c>
      <c r="E48" s="87" t="s">
        <v>24</v>
      </c>
      <c r="F48" s="87" t="s">
        <v>16</v>
      </c>
      <c r="G48" s="87" t="s">
        <v>34</v>
      </c>
      <c r="H48" s="87">
        <v>9</v>
      </c>
      <c r="I48" s="87">
        <v>3733</v>
      </c>
      <c r="J48" s="87">
        <f t="shared" ca="1" si="2"/>
        <v>0.08</v>
      </c>
      <c r="K48" s="88">
        <f t="shared" si="1"/>
        <v>33597</v>
      </c>
    </row>
    <row r="49" spans="2:11" x14ac:dyDescent="0.25">
      <c r="B49" s="87">
        <v>47</v>
      </c>
      <c r="C49" s="88" t="s">
        <v>93</v>
      </c>
      <c r="D49" s="87" t="s">
        <v>11</v>
      </c>
      <c r="E49" s="87" t="s">
        <v>25</v>
      </c>
      <c r="F49" s="87" t="s">
        <v>17</v>
      </c>
      <c r="G49" s="87" t="s">
        <v>35</v>
      </c>
      <c r="H49" s="87">
        <v>2</v>
      </c>
      <c r="I49" s="87">
        <v>1643</v>
      </c>
      <c r="J49" s="87">
        <f t="shared" ca="1" si="2"/>
        <v>0.14000000000000001</v>
      </c>
      <c r="K49" s="88">
        <f t="shared" si="1"/>
        <v>3286</v>
      </c>
    </row>
    <row r="50" spans="2:11" x14ac:dyDescent="0.25">
      <c r="B50" s="87">
        <v>48</v>
      </c>
      <c r="C50" s="88" t="s">
        <v>94</v>
      </c>
      <c r="D50" s="87" t="s">
        <v>12</v>
      </c>
      <c r="E50" s="87" t="s">
        <v>26</v>
      </c>
      <c r="F50" s="87" t="s">
        <v>18</v>
      </c>
      <c r="G50" s="87" t="s">
        <v>36</v>
      </c>
      <c r="H50" s="87">
        <v>10</v>
      </c>
      <c r="I50" s="87">
        <v>1216</v>
      </c>
      <c r="J50" s="87">
        <f t="shared" ca="1" si="2"/>
        <v>0.15</v>
      </c>
      <c r="K50" s="88">
        <f t="shared" si="1"/>
        <v>12160</v>
      </c>
    </row>
    <row r="51" spans="2:11" x14ac:dyDescent="0.25">
      <c r="B51" s="87">
        <v>49</v>
      </c>
      <c r="C51" s="88" t="s">
        <v>95</v>
      </c>
      <c r="D51" s="87" t="s">
        <v>13</v>
      </c>
      <c r="E51" s="87" t="s">
        <v>27</v>
      </c>
      <c r="F51" s="87" t="s">
        <v>16</v>
      </c>
      <c r="G51" s="87" t="s">
        <v>37</v>
      </c>
      <c r="H51" s="87">
        <v>7</v>
      </c>
      <c r="I51" s="87">
        <v>4763</v>
      </c>
      <c r="J51" s="87">
        <f t="shared" ca="1" si="2"/>
        <v>0</v>
      </c>
      <c r="K51" s="88">
        <f t="shared" si="1"/>
        <v>33341</v>
      </c>
    </row>
    <row r="52" spans="2:11" x14ac:dyDescent="0.25">
      <c r="B52" s="87">
        <v>50</v>
      </c>
      <c r="C52" s="88" t="s">
        <v>96</v>
      </c>
      <c r="D52" s="87" t="s">
        <v>14</v>
      </c>
      <c r="E52" s="87" t="s">
        <v>28</v>
      </c>
      <c r="F52" s="87" t="s">
        <v>17</v>
      </c>
      <c r="G52" s="87" t="s">
        <v>38</v>
      </c>
      <c r="H52" s="87">
        <v>14</v>
      </c>
      <c r="I52" s="87">
        <v>4780</v>
      </c>
      <c r="J52" s="87">
        <f t="shared" ca="1" si="2"/>
        <v>0.1</v>
      </c>
      <c r="K52" s="88">
        <f t="shared" si="1"/>
        <v>66920</v>
      </c>
    </row>
    <row r="53" spans="2:11" x14ac:dyDescent="0.25">
      <c r="B53" s="87">
        <v>51</v>
      </c>
      <c r="C53" s="88" t="s">
        <v>97</v>
      </c>
      <c r="D53" s="87" t="s">
        <v>10</v>
      </c>
      <c r="E53" s="87" t="s">
        <v>29</v>
      </c>
      <c r="F53" s="87" t="s">
        <v>18</v>
      </c>
      <c r="G53" s="87" t="s">
        <v>34</v>
      </c>
      <c r="H53" s="87">
        <v>18</v>
      </c>
      <c r="I53" s="87">
        <v>2436</v>
      </c>
      <c r="J53" s="87">
        <f t="shared" ca="1" si="2"/>
        <v>0.02</v>
      </c>
      <c r="K53" s="88">
        <f t="shared" si="1"/>
        <v>43848</v>
      </c>
    </row>
    <row r="54" spans="2:11" x14ac:dyDescent="0.25">
      <c r="B54" s="87">
        <v>52</v>
      </c>
      <c r="C54" s="88" t="s">
        <v>98</v>
      </c>
      <c r="D54" s="87" t="s">
        <v>11</v>
      </c>
      <c r="E54" s="87" t="s">
        <v>30</v>
      </c>
      <c r="F54" s="87" t="s">
        <v>16</v>
      </c>
      <c r="G54" s="87" t="s">
        <v>35</v>
      </c>
      <c r="H54" s="87">
        <v>16</v>
      </c>
      <c r="I54" s="87">
        <v>1310</v>
      </c>
      <c r="J54" s="87">
        <f t="shared" ca="1" si="2"/>
        <v>0.08</v>
      </c>
      <c r="K54" s="88">
        <f t="shared" si="1"/>
        <v>20960</v>
      </c>
    </row>
    <row r="55" spans="2:11" x14ac:dyDescent="0.25">
      <c r="B55" s="87">
        <v>53</v>
      </c>
      <c r="C55" s="88" t="s">
        <v>99</v>
      </c>
      <c r="D55" s="87" t="s">
        <v>12</v>
      </c>
      <c r="E55" s="87" t="s">
        <v>31</v>
      </c>
      <c r="F55" s="87" t="s">
        <v>17</v>
      </c>
      <c r="G55" s="87" t="s">
        <v>36</v>
      </c>
      <c r="H55" s="87">
        <v>9</v>
      </c>
      <c r="I55" s="87">
        <v>3621</v>
      </c>
      <c r="J55" s="87">
        <f t="shared" ca="1" si="2"/>
        <v>0.14000000000000001</v>
      </c>
      <c r="K55" s="88">
        <f t="shared" si="1"/>
        <v>32589</v>
      </c>
    </row>
    <row r="56" spans="2:11" x14ac:dyDescent="0.25">
      <c r="B56" s="87">
        <v>54</v>
      </c>
      <c r="C56" s="88" t="s">
        <v>100</v>
      </c>
      <c r="D56" s="87" t="s">
        <v>13</v>
      </c>
      <c r="E56" s="87" t="s">
        <v>32</v>
      </c>
      <c r="F56" s="87" t="s">
        <v>18</v>
      </c>
      <c r="G56" s="87" t="s">
        <v>37</v>
      </c>
      <c r="H56" s="87">
        <v>14</v>
      </c>
      <c r="I56" s="87">
        <v>507</v>
      </c>
      <c r="J56" s="87">
        <f t="shared" ca="1" si="2"/>
        <v>7.0000000000000007E-2</v>
      </c>
      <c r="K56" s="88">
        <f t="shared" si="1"/>
        <v>7098</v>
      </c>
    </row>
    <row r="57" spans="2:11" x14ac:dyDescent="0.25">
      <c r="B57" s="87">
        <v>55</v>
      </c>
      <c r="C57" s="88" t="s">
        <v>101</v>
      </c>
      <c r="D57" s="87" t="s">
        <v>14</v>
      </c>
      <c r="E57" s="87" t="s">
        <v>33</v>
      </c>
      <c r="F57" s="87" t="s">
        <v>16</v>
      </c>
      <c r="G57" s="87" t="s">
        <v>38</v>
      </c>
      <c r="H57" s="87">
        <v>5</v>
      </c>
      <c r="I57" s="87">
        <v>1470</v>
      </c>
      <c r="J57" s="87">
        <f t="shared" ca="1" si="2"/>
        <v>0.05</v>
      </c>
      <c r="K57" s="88">
        <f t="shared" si="1"/>
        <v>7350</v>
      </c>
    </row>
    <row r="58" spans="2:11" x14ac:dyDescent="0.25">
      <c r="B58" s="87">
        <v>56</v>
      </c>
      <c r="C58" s="88" t="s">
        <v>102</v>
      </c>
      <c r="D58" s="87" t="s">
        <v>10</v>
      </c>
      <c r="E58" s="87" t="s">
        <v>23</v>
      </c>
      <c r="F58" s="87" t="s">
        <v>15</v>
      </c>
      <c r="G58" s="87" t="s">
        <v>34</v>
      </c>
      <c r="H58" s="87">
        <v>14</v>
      </c>
      <c r="I58" s="87">
        <v>1437</v>
      </c>
      <c r="J58" s="87">
        <f t="shared" ca="1" si="2"/>
        <v>0.05</v>
      </c>
      <c r="K58" s="88">
        <f t="shared" si="1"/>
        <v>20118</v>
      </c>
    </row>
    <row r="59" spans="2:11" x14ac:dyDescent="0.25">
      <c r="B59" s="87">
        <v>57</v>
      </c>
      <c r="C59" s="88" t="s">
        <v>103</v>
      </c>
      <c r="D59" s="87" t="s">
        <v>11</v>
      </c>
      <c r="E59" s="87" t="s">
        <v>24</v>
      </c>
      <c r="F59" s="87" t="s">
        <v>16</v>
      </c>
      <c r="G59" s="87" t="s">
        <v>35</v>
      </c>
      <c r="H59" s="87">
        <v>19</v>
      </c>
      <c r="I59" s="87">
        <v>3936</v>
      </c>
      <c r="J59" s="87">
        <f t="shared" ca="1" si="2"/>
        <v>0.11</v>
      </c>
      <c r="K59" s="88">
        <f t="shared" si="1"/>
        <v>74784</v>
      </c>
    </row>
    <row r="60" spans="2:11" x14ac:dyDescent="0.25">
      <c r="B60" s="87">
        <v>58</v>
      </c>
      <c r="C60" s="88" t="s">
        <v>104</v>
      </c>
      <c r="D60" s="87" t="s">
        <v>12</v>
      </c>
      <c r="E60" s="87" t="s">
        <v>25</v>
      </c>
      <c r="F60" s="87" t="s">
        <v>17</v>
      </c>
      <c r="G60" s="87" t="s">
        <v>36</v>
      </c>
      <c r="H60" s="87">
        <v>6</v>
      </c>
      <c r="I60" s="87">
        <v>694</v>
      </c>
      <c r="J60" s="87">
        <f t="shared" ca="1" si="2"/>
        <v>0</v>
      </c>
      <c r="K60" s="88">
        <f t="shared" si="1"/>
        <v>4164</v>
      </c>
    </row>
    <row r="61" spans="2:11" x14ac:dyDescent="0.25">
      <c r="B61" s="87">
        <v>59</v>
      </c>
      <c r="C61" s="88" t="s">
        <v>105</v>
      </c>
      <c r="D61" s="87" t="s">
        <v>13</v>
      </c>
      <c r="E61" s="87" t="s">
        <v>26</v>
      </c>
      <c r="F61" s="87" t="s">
        <v>18</v>
      </c>
      <c r="G61" s="87" t="s">
        <v>37</v>
      </c>
      <c r="H61" s="87">
        <v>1</v>
      </c>
      <c r="I61" s="87">
        <v>3724</v>
      </c>
      <c r="J61" s="87">
        <f t="shared" ca="1" si="2"/>
        <v>0.02</v>
      </c>
      <c r="K61" s="88">
        <f t="shared" si="1"/>
        <v>3724</v>
      </c>
    </row>
    <row r="62" spans="2:11" x14ac:dyDescent="0.25">
      <c r="B62" s="87">
        <v>60</v>
      </c>
      <c r="C62" s="88" t="s">
        <v>106</v>
      </c>
      <c r="D62" s="87" t="s">
        <v>14</v>
      </c>
      <c r="E62" s="87" t="s">
        <v>27</v>
      </c>
      <c r="F62" s="87" t="s">
        <v>16</v>
      </c>
      <c r="G62" s="87" t="s">
        <v>38</v>
      </c>
      <c r="H62" s="87">
        <v>19</v>
      </c>
      <c r="I62" s="87">
        <v>2584</v>
      </c>
      <c r="J62" s="87">
        <f t="shared" ca="1" si="2"/>
        <v>0.11</v>
      </c>
      <c r="K62" s="88">
        <f t="shared" si="1"/>
        <v>49096</v>
      </c>
    </row>
    <row r="63" spans="2:11" x14ac:dyDescent="0.25">
      <c r="B63" s="87">
        <v>61</v>
      </c>
      <c r="C63" s="88" t="s">
        <v>107</v>
      </c>
      <c r="D63" s="87" t="s">
        <v>10</v>
      </c>
      <c r="E63" s="87" t="s">
        <v>28</v>
      </c>
      <c r="F63" s="87" t="s">
        <v>17</v>
      </c>
      <c r="G63" s="87" t="s">
        <v>34</v>
      </c>
      <c r="H63" s="87">
        <v>15</v>
      </c>
      <c r="I63" s="87">
        <v>639</v>
      </c>
      <c r="J63" s="87">
        <f t="shared" ca="1" si="2"/>
        <v>0.11</v>
      </c>
      <c r="K63" s="88">
        <f t="shared" si="1"/>
        <v>9585</v>
      </c>
    </row>
    <row r="64" spans="2:11" x14ac:dyDescent="0.25">
      <c r="B64" s="87">
        <v>62</v>
      </c>
      <c r="C64" s="88" t="s">
        <v>108</v>
      </c>
      <c r="D64" s="87" t="s">
        <v>11</v>
      </c>
      <c r="E64" s="87" t="s">
        <v>29</v>
      </c>
      <c r="F64" s="87" t="s">
        <v>18</v>
      </c>
      <c r="G64" s="87" t="s">
        <v>35</v>
      </c>
      <c r="H64" s="87">
        <v>8</v>
      </c>
      <c r="I64" s="87">
        <v>3168</v>
      </c>
      <c r="J64" s="87">
        <f t="shared" ca="1" si="2"/>
        <v>0.15</v>
      </c>
      <c r="K64" s="88">
        <f t="shared" si="1"/>
        <v>25344</v>
      </c>
    </row>
    <row r="65" spans="2:11" x14ac:dyDescent="0.25">
      <c r="B65" s="87">
        <v>63</v>
      </c>
      <c r="C65" s="88" t="s">
        <v>109</v>
      </c>
      <c r="D65" s="87" t="s">
        <v>12</v>
      </c>
      <c r="E65" s="87" t="s">
        <v>30</v>
      </c>
      <c r="F65" s="87" t="s">
        <v>16</v>
      </c>
      <c r="G65" s="87" t="s">
        <v>36</v>
      </c>
      <c r="H65" s="87">
        <v>2</v>
      </c>
      <c r="I65" s="87">
        <v>469</v>
      </c>
      <c r="J65" s="87">
        <f t="shared" ca="1" si="2"/>
        <v>0.01</v>
      </c>
      <c r="K65" s="88">
        <f t="shared" si="1"/>
        <v>938</v>
      </c>
    </row>
    <row r="66" spans="2:11" x14ac:dyDescent="0.25">
      <c r="B66" s="87">
        <v>64</v>
      </c>
      <c r="C66" s="88" t="s">
        <v>110</v>
      </c>
      <c r="D66" s="87" t="s">
        <v>13</v>
      </c>
      <c r="E66" s="87" t="s">
        <v>31</v>
      </c>
      <c r="F66" s="87" t="s">
        <v>17</v>
      </c>
      <c r="G66" s="87" t="s">
        <v>37</v>
      </c>
      <c r="H66" s="87">
        <v>14</v>
      </c>
      <c r="I66" s="87">
        <v>1055</v>
      </c>
      <c r="J66" s="87">
        <f t="shared" ca="1" si="2"/>
        <v>0.09</v>
      </c>
      <c r="K66" s="88">
        <f t="shared" si="1"/>
        <v>14770</v>
      </c>
    </row>
    <row r="67" spans="2:11" x14ac:dyDescent="0.25">
      <c r="B67" s="87">
        <v>65</v>
      </c>
      <c r="C67" s="88" t="s">
        <v>111</v>
      </c>
      <c r="D67" s="87" t="s">
        <v>14</v>
      </c>
      <c r="E67" s="87" t="s">
        <v>32</v>
      </c>
      <c r="F67" s="87" t="s">
        <v>18</v>
      </c>
      <c r="G67" s="87" t="s">
        <v>38</v>
      </c>
      <c r="H67" s="87">
        <v>7</v>
      </c>
      <c r="I67" s="87">
        <v>4070</v>
      </c>
      <c r="J67" s="87">
        <f t="shared" ca="1" si="2"/>
        <v>7.0000000000000007E-2</v>
      </c>
      <c r="K67" s="88">
        <f t="shared" si="1"/>
        <v>28490</v>
      </c>
    </row>
    <row r="68" spans="2:11" x14ac:dyDescent="0.25">
      <c r="B68" s="87">
        <v>66</v>
      </c>
      <c r="C68" s="88" t="s">
        <v>112</v>
      </c>
      <c r="D68" s="87" t="s">
        <v>10</v>
      </c>
      <c r="E68" s="87" t="s">
        <v>33</v>
      </c>
      <c r="F68" s="87" t="s">
        <v>16</v>
      </c>
      <c r="G68" s="87" t="s">
        <v>34</v>
      </c>
      <c r="H68" s="87">
        <v>16</v>
      </c>
      <c r="I68" s="87">
        <v>974</v>
      </c>
      <c r="J68" s="87">
        <f t="shared" ca="1" si="2"/>
        <v>0.14000000000000001</v>
      </c>
      <c r="K68" s="88">
        <f t="shared" si="1"/>
        <v>15584</v>
      </c>
    </row>
    <row r="69" spans="2:11" x14ac:dyDescent="0.25">
      <c r="B69" s="87">
        <v>67</v>
      </c>
      <c r="C69" s="88" t="s">
        <v>113</v>
      </c>
      <c r="D69" s="87" t="s">
        <v>11</v>
      </c>
      <c r="E69" s="87" t="s">
        <v>23</v>
      </c>
      <c r="F69" s="87" t="s">
        <v>15</v>
      </c>
      <c r="G69" s="87" t="s">
        <v>35</v>
      </c>
      <c r="H69" s="87">
        <v>9</v>
      </c>
      <c r="I69" s="87">
        <v>3660</v>
      </c>
      <c r="J69" s="87">
        <f t="shared" ca="1" si="2"/>
        <v>0</v>
      </c>
      <c r="K69" s="88">
        <f t="shared" ref="K69:K132" si="3">H69*I69</f>
        <v>32940</v>
      </c>
    </row>
    <row r="70" spans="2:11" x14ac:dyDescent="0.25">
      <c r="B70" s="87">
        <v>68</v>
      </c>
      <c r="C70" s="88" t="s">
        <v>114</v>
      </c>
      <c r="D70" s="87" t="s">
        <v>12</v>
      </c>
      <c r="E70" s="87" t="s">
        <v>24</v>
      </c>
      <c r="F70" s="87" t="s">
        <v>16</v>
      </c>
      <c r="G70" s="87" t="s">
        <v>36</v>
      </c>
      <c r="H70" s="87">
        <v>2</v>
      </c>
      <c r="I70" s="87">
        <v>3060</v>
      </c>
      <c r="J70" s="87">
        <f t="shared" ca="1" si="2"/>
        <v>0.15</v>
      </c>
      <c r="K70" s="88">
        <f t="shared" si="3"/>
        <v>6120</v>
      </c>
    </row>
    <row r="71" spans="2:11" x14ac:dyDescent="0.25">
      <c r="B71" s="87">
        <v>69</v>
      </c>
      <c r="C71" s="88" t="s">
        <v>115</v>
      </c>
      <c r="D71" s="87" t="s">
        <v>13</v>
      </c>
      <c r="E71" s="87" t="s">
        <v>25</v>
      </c>
      <c r="F71" s="87" t="s">
        <v>17</v>
      </c>
      <c r="G71" s="87" t="s">
        <v>37</v>
      </c>
      <c r="H71" s="87">
        <v>1</v>
      </c>
      <c r="I71" s="87">
        <v>266</v>
      </c>
      <c r="J71" s="87">
        <f t="shared" ca="1" si="2"/>
        <v>0.03</v>
      </c>
      <c r="K71" s="88">
        <f t="shared" si="3"/>
        <v>266</v>
      </c>
    </row>
    <row r="72" spans="2:11" x14ac:dyDescent="0.25">
      <c r="B72" s="87">
        <v>70</v>
      </c>
      <c r="C72" s="88" t="s">
        <v>116</v>
      </c>
      <c r="D72" s="87" t="s">
        <v>14</v>
      </c>
      <c r="E72" s="87" t="s">
        <v>26</v>
      </c>
      <c r="F72" s="87" t="s">
        <v>18</v>
      </c>
      <c r="G72" s="87" t="s">
        <v>38</v>
      </c>
      <c r="H72" s="87">
        <v>13</v>
      </c>
      <c r="I72" s="87">
        <v>1431</v>
      </c>
      <c r="J72" s="87">
        <f t="shared" ca="1" si="2"/>
        <v>0.13</v>
      </c>
      <c r="K72" s="88">
        <f t="shared" si="3"/>
        <v>18603</v>
      </c>
    </row>
    <row r="73" spans="2:11" x14ac:dyDescent="0.25">
      <c r="B73" s="87">
        <v>71</v>
      </c>
      <c r="C73" s="88" t="s">
        <v>117</v>
      </c>
      <c r="D73" s="87" t="s">
        <v>10</v>
      </c>
      <c r="E73" s="87" t="s">
        <v>27</v>
      </c>
      <c r="F73" s="87" t="s">
        <v>16</v>
      </c>
      <c r="G73" s="87" t="s">
        <v>34</v>
      </c>
      <c r="H73" s="87">
        <v>6</v>
      </c>
      <c r="I73" s="87">
        <v>482</v>
      </c>
      <c r="J73" s="87">
        <f t="shared" ref="J73:J136" ca="1" si="4">RANDBETWEEN(0, 15) / 100</f>
        <v>0.08</v>
      </c>
      <c r="K73" s="88">
        <f t="shared" si="3"/>
        <v>2892</v>
      </c>
    </row>
    <row r="74" spans="2:11" x14ac:dyDescent="0.25">
      <c r="B74" s="87">
        <v>72</v>
      </c>
      <c r="C74" s="88" t="s">
        <v>118</v>
      </c>
      <c r="D74" s="87" t="s">
        <v>11</v>
      </c>
      <c r="E74" s="87" t="s">
        <v>28</v>
      </c>
      <c r="F74" s="87" t="s">
        <v>17</v>
      </c>
      <c r="G74" s="87" t="s">
        <v>35</v>
      </c>
      <c r="H74" s="87">
        <v>8</v>
      </c>
      <c r="I74" s="87">
        <v>3259</v>
      </c>
      <c r="J74" s="87">
        <f t="shared" ca="1" si="4"/>
        <v>0.06</v>
      </c>
      <c r="K74" s="88">
        <f t="shared" si="3"/>
        <v>26072</v>
      </c>
    </row>
    <row r="75" spans="2:11" x14ac:dyDescent="0.25">
      <c r="B75" s="87">
        <v>73</v>
      </c>
      <c r="C75" s="88" t="s">
        <v>119</v>
      </c>
      <c r="D75" s="87" t="s">
        <v>12</v>
      </c>
      <c r="E75" s="87" t="s">
        <v>29</v>
      </c>
      <c r="F75" s="87" t="s">
        <v>18</v>
      </c>
      <c r="G75" s="87" t="s">
        <v>36</v>
      </c>
      <c r="H75" s="87">
        <v>6</v>
      </c>
      <c r="I75" s="87">
        <v>2589</v>
      </c>
      <c r="J75" s="87">
        <f t="shared" ca="1" si="4"/>
        <v>0.03</v>
      </c>
      <c r="K75" s="88">
        <f t="shared" si="3"/>
        <v>15534</v>
      </c>
    </row>
    <row r="76" spans="2:11" x14ac:dyDescent="0.25">
      <c r="B76" s="87">
        <v>74</v>
      </c>
      <c r="C76" s="88" t="s">
        <v>120</v>
      </c>
      <c r="D76" s="87" t="s">
        <v>13</v>
      </c>
      <c r="E76" s="87" t="s">
        <v>30</v>
      </c>
      <c r="F76" s="87" t="s">
        <v>16</v>
      </c>
      <c r="G76" s="87" t="s">
        <v>37</v>
      </c>
      <c r="H76" s="87">
        <v>8</v>
      </c>
      <c r="I76" s="87">
        <v>225</v>
      </c>
      <c r="J76" s="87">
        <f t="shared" ca="1" si="4"/>
        <v>0.09</v>
      </c>
      <c r="K76" s="88">
        <f t="shared" si="3"/>
        <v>1800</v>
      </c>
    </row>
    <row r="77" spans="2:11" x14ac:dyDescent="0.25">
      <c r="B77" s="87">
        <v>75</v>
      </c>
      <c r="C77" s="88" t="s">
        <v>121</v>
      </c>
      <c r="D77" s="87" t="s">
        <v>14</v>
      </c>
      <c r="E77" s="87" t="s">
        <v>31</v>
      </c>
      <c r="F77" s="87" t="s">
        <v>17</v>
      </c>
      <c r="G77" s="87" t="s">
        <v>38</v>
      </c>
      <c r="H77" s="87">
        <v>9</v>
      </c>
      <c r="I77" s="87">
        <v>256</v>
      </c>
      <c r="J77" s="87">
        <f t="shared" ca="1" si="4"/>
        <v>0</v>
      </c>
      <c r="K77" s="88">
        <f t="shared" si="3"/>
        <v>2304</v>
      </c>
    </row>
    <row r="78" spans="2:11" x14ac:dyDescent="0.25">
      <c r="B78" s="87">
        <v>76</v>
      </c>
      <c r="C78" s="88" t="s">
        <v>122</v>
      </c>
      <c r="D78" s="87" t="s">
        <v>10</v>
      </c>
      <c r="E78" s="87" t="s">
        <v>32</v>
      </c>
      <c r="F78" s="87" t="s">
        <v>18</v>
      </c>
      <c r="G78" s="87" t="s">
        <v>34</v>
      </c>
      <c r="H78" s="87">
        <v>11</v>
      </c>
      <c r="I78" s="87">
        <v>3690</v>
      </c>
      <c r="J78" s="87">
        <f t="shared" ca="1" si="4"/>
        <v>0.15</v>
      </c>
      <c r="K78" s="88">
        <f t="shared" si="3"/>
        <v>40590</v>
      </c>
    </row>
    <row r="79" spans="2:11" x14ac:dyDescent="0.25">
      <c r="B79" s="87">
        <v>77</v>
      </c>
      <c r="C79" s="88" t="s">
        <v>123</v>
      </c>
      <c r="D79" s="87" t="s">
        <v>11</v>
      </c>
      <c r="E79" s="87" t="s">
        <v>33</v>
      </c>
      <c r="F79" s="87" t="s">
        <v>16</v>
      </c>
      <c r="G79" s="87" t="s">
        <v>35</v>
      </c>
      <c r="H79" s="87">
        <v>12</v>
      </c>
      <c r="I79" s="87">
        <v>2865</v>
      </c>
      <c r="J79" s="87">
        <f t="shared" ca="1" si="4"/>
        <v>0.09</v>
      </c>
      <c r="K79" s="88">
        <f t="shared" si="3"/>
        <v>34380</v>
      </c>
    </row>
    <row r="80" spans="2:11" x14ac:dyDescent="0.25">
      <c r="B80" s="87">
        <v>78</v>
      </c>
      <c r="C80" s="88" t="s">
        <v>124</v>
      </c>
      <c r="D80" s="87" t="s">
        <v>12</v>
      </c>
      <c r="E80" s="87" t="s">
        <v>23</v>
      </c>
      <c r="F80" s="87" t="s">
        <v>15</v>
      </c>
      <c r="G80" s="87" t="s">
        <v>36</v>
      </c>
      <c r="H80" s="87">
        <v>6</v>
      </c>
      <c r="I80" s="87">
        <v>4085</v>
      </c>
      <c r="J80" s="87">
        <f t="shared" ca="1" si="4"/>
        <v>0.11</v>
      </c>
      <c r="K80" s="88">
        <f t="shared" si="3"/>
        <v>24510</v>
      </c>
    </row>
    <row r="81" spans="2:11" x14ac:dyDescent="0.25">
      <c r="B81" s="87">
        <v>79</v>
      </c>
      <c r="C81" s="88" t="s">
        <v>125</v>
      </c>
      <c r="D81" s="87" t="s">
        <v>13</v>
      </c>
      <c r="E81" s="87" t="s">
        <v>24</v>
      </c>
      <c r="F81" s="87" t="s">
        <v>16</v>
      </c>
      <c r="G81" s="87" t="s">
        <v>37</v>
      </c>
      <c r="H81" s="87">
        <v>12</v>
      </c>
      <c r="I81" s="87">
        <v>1247</v>
      </c>
      <c r="J81" s="87">
        <f t="shared" ca="1" si="4"/>
        <v>0</v>
      </c>
      <c r="K81" s="88">
        <f t="shared" si="3"/>
        <v>14964</v>
      </c>
    </row>
    <row r="82" spans="2:11" x14ac:dyDescent="0.25">
      <c r="B82" s="87">
        <v>80</v>
      </c>
      <c r="C82" s="88" t="s">
        <v>126</v>
      </c>
      <c r="D82" s="87" t="s">
        <v>14</v>
      </c>
      <c r="E82" s="87" t="s">
        <v>25</v>
      </c>
      <c r="F82" s="87" t="s">
        <v>17</v>
      </c>
      <c r="G82" s="87" t="s">
        <v>38</v>
      </c>
      <c r="H82" s="87">
        <v>10</v>
      </c>
      <c r="I82" s="87">
        <v>285</v>
      </c>
      <c r="J82" s="87">
        <f t="shared" ca="1" si="4"/>
        <v>0.09</v>
      </c>
      <c r="K82" s="88">
        <f t="shared" si="3"/>
        <v>2850</v>
      </c>
    </row>
    <row r="83" spans="2:11" x14ac:dyDescent="0.25">
      <c r="B83" s="87">
        <v>81</v>
      </c>
      <c r="C83" s="88" t="s">
        <v>127</v>
      </c>
      <c r="D83" s="87" t="s">
        <v>10</v>
      </c>
      <c r="E83" s="87" t="s">
        <v>26</v>
      </c>
      <c r="F83" s="87" t="s">
        <v>18</v>
      </c>
      <c r="G83" s="87" t="s">
        <v>34</v>
      </c>
      <c r="H83" s="87">
        <v>14</v>
      </c>
      <c r="I83" s="87">
        <v>2381</v>
      </c>
      <c r="J83" s="87">
        <f t="shared" ca="1" si="4"/>
        <v>0.03</v>
      </c>
      <c r="K83" s="88">
        <f t="shared" si="3"/>
        <v>33334</v>
      </c>
    </row>
    <row r="84" spans="2:11" x14ac:dyDescent="0.25">
      <c r="B84" s="87">
        <v>82</v>
      </c>
      <c r="C84" s="88" t="s">
        <v>128</v>
      </c>
      <c r="D84" s="87" t="s">
        <v>11</v>
      </c>
      <c r="E84" s="87" t="s">
        <v>27</v>
      </c>
      <c r="F84" s="87" t="s">
        <v>16</v>
      </c>
      <c r="G84" s="87" t="s">
        <v>35</v>
      </c>
      <c r="H84" s="87">
        <v>17</v>
      </c>
      <c r="I84" s="87">
        <v>4466</v>
      </c>
      <c r="J84" s="87">
        <f t="shared" ca="1" si="4"/>
        <v>0.14000000000000001</v>
      </c>
      <c r="K84" s="88">
        <f t="shared" si="3"/>
        <v>75922</v>
      </c>
    </row>
    <row r="85" spans="2:11" x14ac:dyDescent="0.25">
      <c r="B85" s="87">
        <v>83</v>
      </c>
      <c r="C85" s="88" t="s">
        <v>129</v>
      </c>
      <c r="D85" s="87" t="s">
        <v>12</v>
      </c>
      <c r="E85" s="87" t="s">
        <v>28</v>
      </c>
      <c r="F85" s="87" t="s">
        <v>17</v>
      </c>
      <c r="G85" s="87" t="s">
        <v>36</v>
      </c>
      <c r="H85" s="87">
        <v>15</v>
      </c>
      <c r="I85" s="87">
        <v>3942</v>
      </c>
      <c r="J85" s="87">
        <f t="shared" ca="1" si="4"/>
        <v>0.13</v>
      </c>
      <c r="K85" s="88">
        <f t="shared" si="3"/>
        <v>59130</v>
      </c>
    </row>
    <row r="86" spans="2:11" x14ac:dyDescent="0.25">
      <c r="B86" s="87">
        <v>84</v>
      </c>
      <c r="C86" s="88" t="s">
        <v>130</v>
      </c>
      <c r="D86" s="87" t="s">
        <v>13</v>
      </c>
      <c r="E86" s="87" t="s">
        <v>29</v>
      </c>
      <c r="F86" s="87" t="s">
        <v>18</v>
      </c>
      <c r="G86" s="87" t="s">
        <v>37</v>
      </c>
      <c r="H86" s="87">
        <v>5</v>
      </c>
      <c r="I86" s="87">
        <v>3338</v>
      </c>
      <c r="J86" s="87">
        <f t="shared" ca="1" si="4"/>
        <v>0.1</v>
      </c>
      <c r="K86" s="88">
        <f t="shared" si="3"/>
        <v>16690</v>
      </c>
    </row>
    <row r="87" spans="2:11" x14ac:dyDescent="0.25">
      <c r="B87" s="87">
        <v>85</v>
      </c>
      <c r="C87" s="88" t="s">
        <v>131</v>
      </c>
      <c r="D87" s="87" t="s">
        <v>14</v>
      </c>
      <c r="E87" s="87" t="s">
        <v>30</v>
      </c>
      <c r="F87" s="87" t="s">
        <v>16</v>
      </c>
      <c r="G87" s="87" t="s">
        <v>38</v>
      </c>
      <c r="H87" s="87">
        <v>18</v>
      </c>
      <c r="I87" s="87">
        <v>4295</v>
      </c>
      <c r="J87" s="87">
        <f t="shared" ca="1" si="4"/>
        <v>0.14000000000000001</v>
      </c>
      <c r="K87" s="88">
        <f t="shared" si="3"/>
        <v>77310</v>
      </c>
    </row>
    <row r="88" spans="2:11" x14ac:dyDescent="0.25">
      <c r="B88" s="87">
        <v>86</v>
      </c>
      <c r="C88" s="88" t="s">
        <v>132</v>
      </c>
      <c r="D88" s="87" t="s">
        <v>10</v>
      </c>
      <c r="E88" s="87" t="s">
        <v>31</v>
      </c>
      <c r="F88" s="87" t="s">
        <v>17</v>
      </c>
      <c r="G88" s="87" t="s">
        <v>34</v>
      </c>
      <c r="H88" s="87">
        <v>7</v>
      </c>
      <c r="I88" s="87">
        <v>4146</v>
      </c>
      <c r="J88" s="87">
        <f t="shared" ca="1" si="4"/>
        <v>0.04</v>
      </c>
      <c r="K88" s="88">
        <f t="shared" si="3"/>
        <v>29022</v>
      </c>
    </row>
    <row r="89" spans="2:11" x14ac:dyDescent="0.25">
      <c r="B89" s="87">
        <v>87</v>
      </c>
      <c r="C89" s="88" t="s">
        <v>133</v>
      </c>
      <c r="D89" s="87" t="s">
        <v>11</v>
      </c>
      <c r="E89" s="87" t="s">
        <v>32</v>
      </c>
      <c r="F89" s="87" t="s">
        <v>18</v>
      </c>
      <c r="G89" s="87" t="s">
        <v>35</v>
      </c>
      <c r="H89" s="87">
        <v>16</v>
      </c>
      <c r="I89" s="87">
        <v>2551</v>
      </c>
      <c r="J89" s="87">
        <f t="shared" ca="1" si="4"/>
        <v>0</v>
      </c>
      <c r="K89" s="88">
        <f t="shared" si="3"/>
        <v>40816</v>
      </c>
    </row>
    <row r="90" spans="2:11" x14ac:dyDescent="0.25">
      <c r="B90" s="87">
        <v>88</v>
      </c>
      <c r="C90" s="88" t="s">
        <v>134</v>
      </c>
      <c r="D90" s="87" t="s">
        <v>12</v>
      </c>
      <c r="E90" s="87" t="s">
        <v>33</v>
      </c>
      <c r="F90" s="87" t="s">
        <v>16</v>
      </c>
      <c r="G90" s="87" t="s">
        <v>36</v>
      </c>
      <c r="H90" s="87">
        <v>19</v>
      </c>
      <c r="I90" s="87">
        <v>4525</v>
      </c>
      <c r="J90" s="87">
        <f t="shared" ca="1" si="4"/>
        <v>0.03</v>
      </c>
      <c r="K90" s="88">
        <f t="shared" si="3"/>
        <v>85975</v>
      </c>
    </row>
    <row r="91" spans="2:11" x14ac:dyDescent="0.25">
      <c r="B91" s="87">
        <v>89</v>
      </c>
      <c r="C91" s="88" t="s">
        <v>135</v>
      </c>
      <c r="D91" s="87" t="s">
        <v>13</v>
      </c>
      <c r="E91" s="87" t="s">
        <v>23</v>
      </c>
      <c r="F91" s="87" t="s">
        <v>15</v>
      </c>
      <c r="G91" s="87" t="s">
        <v>37</v>
      </c>
      <c r="H91" s="87">
        <v>9</v>
      </c>
      <c r="I91" s="87">
        <v>675</v>
      </c>
      <c r="J91" s="87">
        <f t="shared" ca="1" si="4"/>
        <v>0.13</v>
      </c>
      <c r="K91" s="88">
        <f t="shared" si="3"/>
        <v>6075</v>
      </c>
    </row>
    <row r="92" spans="2:11" x14ac:dyDescent="0.25">
      <c r="B92" s="87">
        <v>90</v>
      </c>
      <c r="C92" s="88" t="s">
        <v>136</v>
      </c>
      <c r="D92" s="87" t="s">
        <v>14</v>
      </c>
      <c r="E92" s="87" t="s">
        <v>24</v>
      </c>
      <c r="F92" s="87" t="s">
        <v>16</v>
      </c>
      <c r="G92" s="87" t="s">
        <v>38</v>
      </c>
      <c r="H92" s="87">
        <v>8</v>
      </c>
      <c r="I92" s="87">
        <v>4971</v>
      </c>
      <c r="J92" s="87">
        <f t="shared" ca="1" si="4"/>
        <v>0.12</v>
      </c>
      <c r="K92" s="88">
        <f t="shared" si="3"/>
        <v>39768</v>
      </c>
    </row>
    <row r="93" spans="2:11" x14ac:dyDescent="0.25">
      <c r="B93" s="87">
        <v>91</v>
      </c>
      <c r="C93" s="88" t="s">
        <v>137</v>
      </c>
      <c r="D93" s="87" t="s">
        <v>10</v>
      </c>
      <c r="E93" s="87" t="s">
        <v>25</v>
      </c>
      <c r="F93" s="87" t="s">
        <v>17</v>
      </c>
      <c r="G93" s="87" t="s">
        <v>34</v>
      </c>
      <c r="H93" s="87">
        <v>5</v>
      </c>
      <c r="I93" s="87">
        <v>2470</v>
      </c>
      <c r="J93" s="87">
        <f t="shared" ca="1" si="4"/>
        <v>0.04</v>
      </c>
      <c r="K93" s="88">
        <f t="shared" si="3"/>
        <v>12350</v>
      </c>
    </row>
    <row r="94" spans="2:11" x14ac:dyDescent="0.25">
      <c r="B94" s="87">
        <v>92</v>
      </c>
      <c r="C94" s="88" t="s">
        <v>138</v>
      </c>
      <c r="D94" s="87" t="s">
        <v>11</v>
      </c>
      <c r="E94" s="87" t="s">
        <v>26</v>
      </c>
      <c r="F94" s="87" t="s">
        <v>18</v>
      </c>
      <c r="G94" s="87" t="s">
        <v>35</v>
      </c>
      <c r="H94" s="87">
        <v>7</v>
      </c>
      <c r="I94" s="87">
        <v>4161</v>
      </c>
      <c r="J94" s="87">
        <f t="shared" ca="1" si="4"/>
        <v>0.05</v>
      </c>
      <c r="K94" s="88">
        <f t="shared" si="3"/>
        <v>29127</v>
      </c>
    </row>
    <row r="95" spans="2:11" x14ac:dyDescent="0.25">
      <c r="B95" s="87">
        <v>93</v>
      </c>
      <c r="C95" s="88" t="s">
        <v>139</v>
      </c>
      <c r="D95" s="87" t="s">
        <v>12</v>
      </c>
      <c r="E95" s="87" t="s">
        <v>27</v>
      </c>
      <c r="F95" s="87" t="s">
        <v>16</v>
      </c>
      <c r="G95" s="87" t="s">
        <v>36</v>
      </c>
      <c r="H95" s="87">
        <v>20</v>
      </c>
      <c r="I95" s="87">
        <v>4611</v>
      </c>
      <c r="J95" s="87">
        <f t="shared" ca="1" si="4"/>
        <v>0.05</v>
      </c>
      <c r="K95" s="88">
        <f t="shared" si="3"/>
        <v>92220</v>
      </c>
    </row>
    <row r="96" spans="2:11" x14ac:dyDescent="0.25">
      <c r="B96" s="87">
        <v>94</v>
      </c>
      <c r="C96" s="88" t="s">
        <v>140</v>
      </c>
      <c r="D96" s="87" t="s">
        <v>13</v>
      </c>
      <c r="E96" s="87" t="s">
        <v>28</v>
      </c>
      <c r="F96" s="87" t="s">
        <v>17</v>
      </c>
      <c r="G96" s="87" t="s">
        <v>37</v>
      </c>
      <c r="H96" s="87">
        <v>2</v>
      </c>
      <c r="I96" s="87">
        <v>1664</v>
      </c>
      <c r="J96" s="87">
        <f t="shared" ca="1" si="4"/>
        <v>0.06</v>
      </c>
      <c r="K96" s="88">
        <f t="shared" si="3"/>
        <v>3328</v>
      </c>
    </row>
    <row r="97" spans="2:11" x14ac:dyDescent="0.25">
      <c r="B97" s="87">
        <v>95</v>
      </c>
      <c r="C97" s="88" t="s">
        <v>141</v>
      </c>
      <c r="D97" s="87" t="s">
        <v>14</v>
      </c>
      <c r="E97" s="87" t="s">
        <v>29</v>
      </c>
      <c r="F97" s="87" t="s">
        <v>18</v>
      </c>
      <c r="G97" s="87" t="s">
        <v>38</v>
      </c>
      <c r="H97" s="87">
        <v>19</v>
      </c>
      <c r="I97" s="87">
        <v>2936</v>
      </c>
      <c r="J97" s="87">
        <f t="shared" ca="1" si="4"/>
        <v>0.13</v>
      </c>
      <c r="K97" s="88">
        <f t="shared" si="3"/>
        <v>55784</v>
      </c>
    </row>
    <row r="98" spans="2:11" x14ac:dyDescent="0.25">
      <c r="B98" s="87">
        <v>96</v>
      </c>
      <c r="C98" s="88" t="s">
        <v>142</v>
      </c>
      <c r="D98" s="87" t="s">
        <v>10</v>
      </c>
      <c r="E98" s="87" t="s">
        <v>30</v>
      </c>
      <c r="F98" s="87" t="s">
        <v>16</v>
      </c>
      <c r="G98" s="87" t="s">
        <v>34</v>
      </c>
      <c r="H98" s="87">
        <v>8</v>
      </c>
      <c r="I98" s="87">
        <v>4912</v>
      </c>
      <c r="J98" s="87">
        <f t="shared" ca="1" si="4"/>
        <v>0.14000000000000001</v>
      </c>
      <c r="K98" s="88">
        <f t="shared" si="3"/>
        <v>39296</v>
      </c>
    </row>
    <row r="99" spans="2:11" x14ac:dyDescent="0.25">
      <c r="B99" s="87">
        <v>97</v>
      </c>
      <c r="C99" s="88" t="s">
        <v>143</v>
      </c>
      <c r="D99" s="87" t="s">
        <v>11</v>
      </c>
      <c r="E99" s="87" t="s">
        <v>31</v>
      </c>
      <c r="F99" s="87" t="s">
        <v>17</v>
      </c>
      <c r="G99" s="87" t="s">
        <v>35</v>
      </c>
      <c r="H99" s="87">
        <v>9</v>
      </c>
      <c r="I99" s="87">
        <v>4932</v>
      </c>
      <c r="J99" s="87">
        <f t="shared" ca="1" si="4"/>
        <v>0.1</v>
      </c>
      <c r="K99" s="88">
        <f t="shared" si="3"/>
        <v>44388</v>
      </c>
    </row>
    <row r="100" spans="2:11" x14ac:dyDescent="0.25">
      <c r="B100" s="87">
        <v>98</v>
      </c>
      <c r="C100" s="88" t="s">
        <v>144</v>
      </c>
      <c r="D100" s="87" t="s">
        <v>12</v>
      </c>
      <c r="E100" s="87" t="s">
        <v>32</v>
      </c>
      <c r="F100" s="87" t="s">
        <v>18</v>
      </c>
      <c r="G100" s="87" t="s">
        <v>36</v>
      </c>
      <c r="H100" s="87">
        <v>19</v>
      </c>
      <c r="I100" s="87">
        <v>2667</v>
      </c>
      <c r="J100" s="87">
        <f t="shared" ca="1" si="4"/>
        <v>0.08</v>
      </c>
      <c r="K100" s="88">
        <f t="shared" si="3"/>
        <v>50673</v>
      </c>
    </row>
    <row r="101" spans="2:11" x14ac:dyDescent="0.25">
      <c r="B101" s="87">
        <v>99</v>
      </c>
      <c r="C101" s="88" t="s">
        <v>145</v>
      </c>
      <c r="D101" s="87" t="s">
        <v>13</v>
      </c>
      <c r="E101" s="87" t="s">
        <v>33</v>
      </c>
      <c r="F101" s="87" t="s">
        <v>16</v>
      </c>
      <c r="G101" s="87" t="s">
        <v>37</v>
      </c>
      <c r="H101" s="87">
        <v>18</v>
      </c>
      <c r="I101" s="87">
        <v>2191</v>
      </c>
      <c r="J101" s="87">
        <f t="shared" ca="1" si="4"/>
        <v>0.09</v>
      </c>
      <c r="K101" s="88">
        <f t="shared" si="3"/>
        <v>39438</v>
      </c>
    </row>
    <row r="102" spans="2:11" x14ac:dyDescent="0.25">
      <c r="B102" s="87">
        <v>100</v>
      </c>
      <c r="C102" s="88" t="s">
        <v>146</v>
      </c>
      <c r="D102" s="87" t="s">
        <v>14</v>
      </c>
      <c r="E102" s="87" t="s">
        <v>23</v>
      </c>
      <c r="F102" s="87" t="s">
        <v>15</v>
      </c>
      <c r="G102" s="87" t="s">
        <v>38</v>
      </c>
      <c r="H102" s="87">
        <v>16</v>
      </c>
      <c r="I102" s="87">
        <v>269</v>
      </c>
      <c r="J102" s="87">
        <f t="shared" ca="1" si="4"/>
        <v>0.13</v>
      </c>
      <c r="K102" s="88">
        <f t="shared" si="3"/>
        <v>4304</v>
      </c>
    </row>
    <row r="103" spans="2:11" x14ac:dyDescent="0.25">
      <c r="B103" s="87">
        <v>101</v>
      </c>
      <c r="C103" s="88" t="s">
        <v>147</v>
      </c>
      <c r="D103" s="87" t="s">
        <v>10</v>
      </c>
      <c r="E103" s="87" t="s">
        <v>24</v>
      </c>
      <c r="F103" s="87" t="s">
        <v>16</v>
      </c>
      <c r="G103" s="87" t="s">
        <v>34</v>
      </c>
      <c r="H103" s="87">
        <v>15</v>
      </c>
      <c r="I103" s="87">
        <v>390</v>
      </c>
      <c r="J103" s="87">
        <f t="shared" ca="1" si="4"/>
        <v>0.09</v>
      </c>
      <c r="K103" s="88">
        <f t="shared" si="3"/>
        <v>5850</v>
      </c>
    </row>
    <row r="104" spans="2:11" x14ac:dyDescent="0.25">
      <c r="B104" s="87">
        <v>102</v>
      </c>
      <c r="C104" s="88" t="s">
        <v>148</v>
      </c>
      <c r="D104" s="87" t="s">
        <v>11</v>
      </c>
      <c r="E104" s="87" t="s">
        <v>25</v>
      </c>
      <c r="F104" s="87" t="s">
        <v>17</v>
      </c>
      <c r="G104" s="87" t="s">
        <v>35</v>
      </c>
      <c r="H104" s="87">
        <v>14</v>
      </c>
      <c r="I104" s="87">
        <v>2097</v>
      </c>
      <c r="J104" s="87">
        <f t="shared" ca="1" si="4"/>
        <v>0.1</v>
      </c>
      <c r="K104" s="88">
        <f t="shared" si="3"/>
        <v>29358</v>
      </c>
    </row>
    <row r="105" spans="2:11" x14ac:dyDescent="0.25">
      <c r="B105" s="87">
        <v>103</v>
      </c>
      <c r="C105" s="88" t="s">
        <v>149</v>
      </c>
      <c r="D105" s="87" t="s">
        <v>12</v>
      </c>
      <c r="E105" s="87" t="s">
        <v>26</v>
      </c>
      <c r="F105" s="87" t="s">
        <v>18</v>
      </c>
      <c r="G105" s="87" t="s">
        <v>36</v>
      </c>
      <c r="H105" s="87">
        <v>13</v>
      </c>
      <c r="I105" s="87">
        <v>3391</v>
      </c>
      <c r="J105" s="87">
        <f t="shared" ca="1" si="4"/>
        <v>0.12</v>
      </c>
      <c r="K105" s="88">
        <f t="shared" si="3"/>
        <v>44083</v>
      </c>
    </row>
    <row r="106" spans="2:11" x14ac:dyDescent="0.25">
      <c r="B106" s="87">
        <v>104</v>
      </c>
      <c r="C106" s="88" t="s">
        <v>150</v>
      </c>
      <c r="D106" s="87" t="s">
        <v>13</v>
      </c>
      <c r="E106" s="87" t="s">
        <v>27</v>
      </c>
      <c r="F106" s="87" t="s">
        <v>16</v>
      </c>
      <c r="G106" s="87" t="s">
        <v>37</v>
      </c>
      <c r="H106" s="87">
        <v>3</v>
      </c>
      <c r="I106" s="87">
        <v>2092</v>
      </c>
      <c r="J106" s="87">
        <f t="shared" ca="1" si="4"/>
        <v>0.08</v>
      </c>
      <c r="K106" s="88">
        <f t="shared" si="3"/>
        <v>6276</v>
      </c>
    </row>
    <row r="107" spans="2:11" x14ac:dyDescent="0.25">
      <c r="B107" s="87">
        <v>105</v>
      </c>
      <c r="C107" s="88" t="s">
        <v>151</v>
      </c>
      <c r="D107" s="87" t="s">
        <v>14</v>
      </c>
      <c r="E107" s="87" t="s">
        <v>28</v>
      </c>
      <c r="F107" s="87" t="s">
        <v>17</v>
      </c>
      <c r="G107" s="87" t="s">
        <v>38</v>
      </c>
      <c r="H107" s="87">
        <v>8</v>
      </c>
      <c r="I107" s="87">
        <v>242</v>
      </c>
      <c r="J107" s="87">
        <f t="shared" ca="1" si="4"/>
        <v>0.1</v>
      </c>
      <c r="K107" s="88">
        <f t="shared" si="3"/>
        <v>1936</v>
      </c>
    </row>
    <row r="108" spans="2:11" x14ac:dyDescent="0.25">
      <c r="B108" s="87">
        <v>106</v>
      </c>
      <c r="C108" s="88" t="s">
        <v>152</v>
      </c>
      <c r="D108" s="87" t="s">
        <v>10</v>
      </c>
      <c r="E108" s="87" t="s">
        <v>29</v>
      </c>
      <c r="F108" s="87" t="s">
        <v>18</v>
      </c>
      <c r="G108" s="87" t="s">
        <v>34</v>
      </c>
      <c r="H108" s="87">
        <v>19</v>
      </c>
      <c r="I108" s="87">
        <v>4534</v>
      </c>
      <c r="J108" s="87">
        <f t="shared" ca="1" si="4"/>
        <v>0.05</v>
      </c>
      <c r="K108" s="88">
        <f t="shared" si="3"/>
        <v>86146</v>
      </c>
    </row>
    <row r="109" spans="2:11" x14ac:dyDescent="0.25">
      <c r="B109" s="87">
        <v>107</v>
      </c>
      <c r="C109" s="88" t="s">
        <v>153</v>
      </c>
      <c r="D109" s="87" t="s">
        <v>11</v>
      </c>
      <c r="E109" s="87" t="s">
        <v>30</v>
      </c>
      <c r="F109" s="87" t="s">
        <v>16</v>
      </c>
      <c r="G109" s="87" t="s">
        <v>35</v>
      </c>
      <c r="H109" s="87">
        <v>17</v>
      </c>
      <c r="I109" s="87">
        <v>3955</v>
      </c>
      <c r="J109" s="87">
        <f t="shared" ca="1" si="4"/>
        <v>0.01</v>
      </c>
      <c r="K109" s="88">
        <f t="shared" si="3"/>
        <v>67235</v>
      </c>
    </row>
    <row r="110" spans="2:11" x14ac:dyDescent="0.25">
      <c r="B110" s="87">
        <v>108</v>
      </c>
      <c r="C110" s="88" t="s">
        <v>154</v>
      </c>
      <c r="D110" s="87" t="s">
        <v>12</v>
      </c>
      <c r="E110" s="87" t="s">
        <v>31</v>
      </c>
      <c r="F110" s="87" t="s">
        <v>17</v>
      </c>
      <c r="G110" s="87" t="s">
        <v>36</v>
      </c>
      <c r="H110" s="87">
        <v>12</v>
      </c>
      <c r="I110" s="87">
        <v>4209</v>
      </c>
      <c r="J110" s="87">
        <f t="shared" ca="1" si="4"/>
        <v>0.13</v>
      </c>
      <c r="K110" s="88">
        <f t="shared" si="3"/>
        <v>50508</v>
      </c>
    </row>
    <row r="111" spans="2:11" x14ac:dyDescent="0.25">
      <c r="B111" s="87">
        <v>109</v>
      </c>
      <c r="C111" s="88" t="s">
        <v>155</v>
      </c>
      <c r="D111" s="87" t="s">
        <v>13</v>
      </c>
      <c r="E111" s="87" t="s">
        <v>32</v>
      </c>
      <c r="F111" s="87" t="s">
        <v>18</v>
      </c>
      <c r="G111" s="87" t="s">
        <v>37</v>
      </c>
      <c r="H111" s="87">
        <v>3</v>
      </c>
      <c r="I111" s="87">
        <v>3993</v>
      </c>
      <c r="J111" s="87">
        <f t="shared" ca="1" si="4"/>
        <v>0.01</v>
      </c>
      <c r="K111" s="88">
        <f t="shared" si="3"/>
        <v>11979</v>
      </c>
    </row>
    <row r="112" spans="2:11" x14ac:dyDescent="0.25">
      <c r="B112" s="87">
        <v>110</v>
      </c>
      <c r="C112" s="88" t="s">
        <v>156</v>
      </c>
      <c r="D112" s="87" t="s">
        <v>14</v>
      </c>
      <c r="E112" s="87" t="s">
        <v>33</v>
      </c>
      <c r="F112" s="87" t="s">
        <v>16</v>
      </c>
      <c r="G112" s="87" t="s">
        <v>38</v>
      </c>
      <c r="H112" s="87">
        <v>1</v>
      </c>
      <c r="I112" s="87">
        <v>1676</v>
      </c>
      <c r="J112" s="87">
        <f t="shared" ca="1" si="4"/>
        <v>0.12</v>
      </c>
      <c r="K112" s="88">
        <f t="shared" si="3"/>
        <v>1676</v>
      </c>
    </row>
    <row r="113" spans="2:11" x14ac:dyDescent="0.25">
      <c r="B113" s="87">
        <v>111</v>
      </c>
      <c r="C113" s="88" t="s">
        <v>157</v>
      </c>
      <c r="D113" s="87" t="s">
        <v>10</v>
      </c>
      <c r="E113" s="87" t="s">
        <v>23</v>
      </c>
      <c r="F113" s="87" t="s">
        <v>15</v>
      </c>
      <c r="G113" s="87" t="s">
        <v>34</v>
      </c>
      <c r="H113" s="87">
        <v>16</v>
      </c>
      <c r="I113" s="87">
        <v>1263</v>
      </c>
      <c r="J113" s="87">
        <f t="shared" ca="1" si="4"/>
        <v>0.1</v>
      </c>
      <c r="K113" s="88">
        <f t="shared" si="3"/>
        <v>20208</v>
      </c>
    </row>
    <row r="114" spans="2:11" x14ac:dyDescent="0.25">
      <c r="B114" s="87">
        <v>112</v>
      </c>
      <c r="C114" s="88" t="s">
        <v>158</v>
      </c>
      <c r="D114" s="87" t="s">
        <v>11</v>
      </c>
      <c r="E114" s="87" t="s">
        <v>24</v>
      </c>
      <c r="F114" s="87" t="s">
        <v>16</v>
      </c>
      <c r="G114" s="87" t="s">
        <v>35</v>
      </c>
      <c r="H114" s="87">
        <v>4</v>
      </c>
      <c r="I114" s="87">
        <v>3317</v>
      </c>
      <c r="J114" s="87">
        <f t="shared" ca="1" si="4"/>
        <v>7.0000000000000007E-2</v>
      </c>
      <c r="K114" s="88">
        <f t="shared" si="3"/>
        <v>13268</v>
      </c>
    </row>
    <row r="115" spans="2:11" x14ac:dyDescent="0.25">
      <c r="B115" s="87">
        <v>113</v>
      </c>
      <c r="C115" s="88" t="s">
        <v>159</v>
      </c>
      <c r="D115" s="87" t="s">
        <v>12</v>
      </c>
      <c r="E115" s="87" t="s">
        <v>25</v>
      </c>
      <c r="F115" s="87" t="s">
        <v>17</v>
      </c>
      <c r="G115" s="87" t="s">
        <v>36</v>
      </c>
      <c r="H115" s="87">
        <v>9</v>
      </c>
      <c r="I115" s="87">
        <v>2042</v>
      </c>
      <c r="J115" s="87">
        <f t="shared" ca="1" si="4"/>
        <v>0</v>
      </c>
      <c r="K115" s="88">
        <f t="shared" si="3"/>
        <v>18378</v>
      </c>
    </row>
    <row r="116" spans="2:11" x14ac:dyDescent="0.25">
      <c r="B116" s="87">
        <v>114</v>
      </c>
      <c r="C116" s="88" t="s">
        <v>160</v>
      </c>
      <c r="D116" s="87" t="s">
        <v>13</v>
      </c>
      <c r="E116" s="87" t="s">
        <v>26</v>
      </c>
      <c r="F116" s="87" t="s">
        <v>18</v>
      </c>
      <c r="G116" s="87" t="s">
        <v>37</v>
      </c>
      <c r="H116" s="87">
        <v>13</v>
      </c>
      <c r="I116" s="87">
        <v>3273</v>
      </c>
      <c r="J116" s="87">
        <f t="shared" ca="1" si="4"/>
        <v>0.15</v>
      </c>
      <c r="K116" s="88">
        <f t="shared" si="3"/>
        <v>42549</v>
      </c>
    </row>
    <row r="117" spans="2:11" x14ac:dyDescent="0.25">
      <c r="B117" s="87">
        <v>115</v>
      </c>
      <c r="C117" s="88" t="s">
        <v>161</v>
      </c>
      <c r="D117" s="87" t="s">
        <v>14</v>
      </c>
      <c r="E117" s="87" t="s">
        <v>27</v>
      </c>
      <c r="F117" s="87" t="s">
        <v>16</v>
      </c>
      <c r="G117" s="87" t="s">
        <v>38</v>
      </c>
      <c r="H117" s="87">
        <v>18</v>
      </c>
      <c r="I117" s="87">
        <v>1225</v>
      </c>
      <c r="J117" s="87">
        <f t="shared" ca="1" si="4"/>
        <v>0.01</v>
      </c>
      <c r="K117" s="88">
        <f t="shared" si="3"/>
        <v>22050</v>
      </c>
    </row>
    <row r="118" spans="2:11" x14ac:dyDescent="0.25">
      <c r="B118" s="87">
        <v>116</v>
      </c>
      <c r="C118" s="88" t="s">
        <v>162</v>
      </c>
      <c r="D118" s="87" t="s">
        <v>10</v>
      </c>
      <c r="E118" s="87" t="s">
        <v>28</v>
      </c>
      <c r="F118" s="87" t="s">
        <v>17</v>
      </c>
      <c r="G118" s="87" t="s">
        <v>34</v>
      </c>
      <c r="H118" s="87">
        <v>14</v>
      </c>
      <c r="I118" s="87">
        <v>3614</v>
      </c>
      <c r="J118" s="87">
        <f t="shared" ca="1" si="4"/>
        <v>7.0000000000000007E-2</v>
      </c>
      <c r="K118" s="88">
        <f t="shared" si="3"/>
        <v>50596</v>
      </c>
    </row>
    <row r="119" spans="2:11" x14ac:dyDescent="0.25">
      <c r="B119" s="87">
        <v>117</v>
      </c>
      <c r="C119" s="88" t="s">
        <v>163</v>
      </c>
      <c r="D119" s="87" t="s">
        <v>11</v>
      </c>
      <c r="E119" s="87" t="s">
        <v>29</v>
      </c>
      <c r="F119" s="87" t="s">
        <v>18</v>
      </c>
      <c r="G119" s="87" t="s">
        <v>35</v>
      </c>
      <c r="H119" s="87">
        <v>6</v>
      </c>
      <c r="I119" s="87">
        <v>1259</v>
      </c>
      <c r="J119" s="87">
        <f t="shared" ca="1" si="4"/>
        <v>0.15</v>
      </c>
      <c r="K119" s="88">
        <f t="shared" si="3"/>
        <v>7554</v>
      </c>
    </row>
    <row r="120" spans="2:11" x14ac:dyDescent="0.25">
      <c r="B120" s="87">
        <v>118</v>
      </c>
      <c r="C120" s="88" t="s">
        <v>164</v>
      </c>
      <c r="D120" s="87" t="s">
        <v>12</v>
      </c>
      <c r="E120" s="87" t="s">
        <v>30</v>
      </c>
      <c r="F120" s="87" t="s">
        <v>16</v>
      </c>
      <c r="G120" s="87" t="s">
        <v>36</v>
      </c>
      <c r="H120" s="87">
        <v>18</v>
      </c>
      <c r="I120" s="87">
        <v>1005</v>
      </c>
      <c r="J120" s="87">
        <f t="shared" ca="1" si="4"/>
        <v>0.03</v>
      </c>
      <c r="K120" s="88">
        <f t="shared" si="3"/>
        <v>18090</v>
      </c>
    </row>
    <row r="121" spans="2:11" x14ac:dyDescent="0.25">
      <c r="B121" s="87">
        <v>119</v>
      </c>
      <c r="C121" s="88" t="s">
        <v>165</v>
      </c>
      <c r="D121" s="87" t="s">
        <v>13</v>
      </c>
      <c r="E121" s="87" t="s">
        <v>31</v>
      </c>
      <c r="F121" s="87" t="s">
        <v>17</v>
      </c>
      <c r="G121" s="87" t="s">
        <v>37</v>
      </c>
      <c r="H121" s="87">
        <v>17</v>
      </c>
      <c r="I121" s="87">
        <v>3317</v>
      </c>
      <c r="J121" s="87">
        <f t="shared" ca="1" si="4"/>
        <v>0.03</v>
      </c>
      <c r="K121" s="88">
        <f t="shared" si="3"/>
        <v>56389</v>
      </c>
    </row>
    <row r="122" spans="2:11" x14ac:dyDescent="0.25">
      <c r="B122" s="87">
        <v>120</v>
      </c>
      <c r="C122" s="88" t="s">
        <v>166</v>
      </c>
      <c r="D122" s="87" t="s">
        <v>14</v>
      </c>
      <c r="E122" s="87" t="s">
        <v>32</v>
      </c>
      <c r="F122" s="87" t="s">
        <v>18</v>
      </c>
      <c r="G122" s="87" t="s">
        <v>38</v>
      </c>
      <c r="H122" s="87">
        <v>12</v>
      </c>
      <c r="I122" s="87">
        <v>1398</v>
      </c>
      <c r="J122" s="87">
        <f t="shared" ca="1" si="4"/>
        <v>0.03</v>
      </c>
      <c r="K122" s="88">
        <f t="shared" si="3"/>
        <v>16776</v>
      </c>
    </row>
    <row r="123" spans="2:11" x14ac:dyDescent="0.25">
      <c r="B123" s="87">
        <v>121</v>
      </c>
      <c r="C123" s="88" t="s">
        <v>167</v>
      </c>
      <c r="D123" s="87" t="s">
        <v>10</v>
      </c>
      <c r="E123" s="87" t="s">
        <v>33</v>
      </c>
      <c r="F123" s="87" t="s">
        <v>16</v>
      </c>
      <c r="G123" s="87" t="s">
        <v>34</v>
      </c>
      <c r="H123" s="87">
        <v>2</v>
      </c>
      <c r="I123" s="87">
        <v>4283</v>
      </c>
      <c r="J123" s="87">
        <f t="shared" ca="1" si="4"/>
        <v>7.0000000000000007E-2</v>
      </c>
      <c r="K123" s="88">
        <f t="shared" si="3"/>
        <v>8566</v>
      </c>
    </row>
    <row r="124" spans="2:11" x14ac:dyDescent="0.25">
      <c r="B124" s="87">
        <v>122</v>
      </c>
      <c r="C124" s="88" t="s">
        <v>168</v>
      </c>
      <c r="D124" s="87" t="s">
        <v>11</v>
      </c>
      <c r="E124" s="87" t="s">
        <v>23</v>
      </c>
      <c r="F124" s="87" t="s">
        <v>15</v>
      </c>
      <c r="G124" s="87" t="s">
        <v>35</v>
      </c>
      <c r="H124" s="87">
        <v>15</v>
      </c>
      <c r="I124" s="87">
        <v>3613</v>
      </c>
      <c r="J124" s="87">
        <f t="shared" ca="1" si="4"/>
        <v>0.15</v>
      </c>
      <c r="K124" s="88">
        <f t="shared" si="3"/>
        <v>54195</v>
      </c>
    </row>
    <row r="125" spans="2:11" x14ac:dyDescent="0.25">
      <c r="B125" s="87">
        <v>123</v>
      </c>
      <c r="C125" s="88" t="s">
        <v>169</v>
      </c>
      <c r="D125" s="87" t="s">
        <v>12</v>
      </c>
      <c r="E125" s="87" t="s">
        <v>24</v>
      </c>
      <c r="F125" s="87" t="s">
        <v>16</v>
      </c>
      <c r="G125" s="87" t="s">
        <v>36</v>
      </c>
      <c r="H125" s="87">
        <v>8</v>
      </c>
      <c r="I125" s="87">
        <v>249</v>
      </c>
      <c r="J125" s="87">
        <f t="shared" ca="1" si="4"/>
        <v>0.06</v>
      </c>
      <c r="K125" s="88">
        <f t="shared" si="3"/>
        <v>1992</v>
      </c>
    </row>
    <row r="126" spans="2:11" x14ac:dyDescent="0.25">
      <c r="B126" s="87">
        <v>124</v>
      </c>
      <c r="C126" s="88" t="s">
        <v>170</v>
      </c>
      <c r="D126" s="87" t="s">
        <v>13</v>
      </c>
      <c r="E126" s="87" t="s">
        <v>25</v>
      </c>
      <c r="F126" s="87" t="s">
        <v>17</v>
      </c>
      <c r="G126" s="87" t="s">
        <v>37</v>
      </c>
      <c r="H126" s="87">
        <v>19</v>
      </c>
      <c r="I126" s="87">
        <v>3379</v>
      </c>
      <c r="J126" s="87">
        <f t="shared" ca="1" si="4"/>
        <v>0.12</v>
      </c>
      <c r="K126" s="88">
        <f t="shared" si="3"/>
        <v>64201</v>
      </c>
    </row>
    <row r="127" spans="2:11" x14ac:dyDescent="0.25">
      <c r="B127" s="87">
        <v>125</v>
      </c>
      <c r="C127" s="88" t="s">
        <v>171</v>
      </c>
      <c r="D127" s="87" t="s">
        <v>14</v>
      </c>
      <c r="E127" s="87" t="s">
        <v>26</v>
      </c>
      <c r="F127" s="87" t="s">
        <v>18</v>
      </c>
      <c r="G127" s="87" t="s">
        <v>38</v>
      </c>
      <c r="H127" s="87">
        <v>4</v>
      </c>
      <c r="I127" s="87">
        <v>4769</v>
      </c>
      <c r="J127" s="87">
        <f t="shared" ca="1" si="4"/>
        <v>0.04</v>
      </c>
      <c r="K127" s="88">
        <f t="shared" si="3"/>
        <v>19076</v>
      </c>
    </row>
    <row r="128" spans="2:11" x14ac:dyDescent="0.25">
      <c r="B128" s="87">
        <v>126</v>
      </c>
      <c r="C128" s="88" t="s">
        <v>172</v>
      </c>
      <c r="D128" s="87" t="s">
        <v>10</v>
      </c>
      <c r="E128" s="87" t="s">
        <v>27</v>
      </c>
      <c r="F128" s="87" t="s">
        <v>16</v>
      </c>
      <c r="G128" s="87" t="s">
        <v>34</v>
      </c>
      <c r="H128" s="87">
        <v>8</v>
      </c>
      <c r="I128" s="87">
        <v>261</v>
      </c>
      <c r="J128" s="87">
        <f t="shared" ca="1" si="4"/>
        <v>0.14000000000000001</v>
      </c>
      <c r="K128" s="88">
        <f t="shared" si="3"/>
        <v>2088</v>
      </c>
    </row>
    <row r="129" spans="2:11" x14ac:dyDescent="0.25">
      <c r="B129" s="87">
        <v>127</v>
      </c>
      <c r="C129" s="88" t="s">
        <v>173</v>
      </c>
      <c r="D129" s="87" t="s">
        <v>11</v>
      </c>
      <c r="E129" s="87" t="s">
        <v>28</v>
      </c>
      <c r="F129" s="87" t="s">
        <v>17</v>
      </c>
      <c r="G129" s="87" t="s">
        <v>35</v>
      </c>
      <c r="H129" s="87">
        <v>4</v>
      </c>
      <c r="I129" s="87">
        <v>2077</v>
      </c>
      <c r="J129" s="87">
        <f t="shared" ca="1" si="4"/>
        <v>0.03</v>
      </c>
      <c r="K129" s="88">
        <f t="shared" si="3"/>
        <v>8308</v>
      </c>
    </row>
    <row r="130" spans="2:11" x14ac:dyDescent="0.25">
      <c r="B130" s="87">
        <v>128</v>
      </c>
      <c r="C130" s="88" t="s">
        <v>174</v>
      </c>
      <c r="D130" s="87" t="s">
        <v>12</v>
      </c>
      <c r="E130" s="87" t="s">
        <v>29</v>
      </c>
      <c r="F130" s="87" t="s">
        <v>18</v>
      </c>
      <c r="G130" s="87" t="s">
        <v>36</v>
      </c>
      <c r="H130" s="87">
        <v>9</v>
      </c>
      <c r="I130" s="87">
        <v>3403</v>
      </c>
      <c r="J130" s="87">
        <f t="shared" ca="1" si="4"/>
        <v>0.08</v>
      </c>
      <c r="K130" s="88">
        <f t="shared" si="3"/>
        <v>30627</v>
      </c>
    </row>
    <row r="131" spans="2:11" x14ac:dyDescent="0.25">
      <c r="B131" s="87">
        <v>129</v>
      </c>
      <c r="C131" s="88" t="s">
        <v>175</v>
      </c>
      <c r="D131" s="87" t="s">
        <v>13</v>
      </c>
      <c r="E131" s="87" t="s">
        <v>30</v>
      </c>
      <c r="F131" s="87" t="s">
        <v>16</v>
      </c>
      <c r="G131" s="87" t="s">
        <v>37</v>
      </c>
      <c r="H131" s="87">
        <v>6</v>
      </c>
      <c r="I131" s="87">
        <v>527</v>
      </c>
      <c r="J131" s="87">
        <f t="shared" ca="1" si="4"/>
        <v>0.12</v>
      </c>
      <c r="K131" s="88">
        <f t="shared" si="3"/>
        <v>3162</v>
      </c>
    </row>
    <row r="132" spans="2:11" x14ac:dyDescent="0.25">
      <c r="B132" s="87">
        <v>130</v>
      </c>
      <c r="C132" s="88" t="s">
        <v>176</v>
      </c>
      <c r="D132" s="87" t="s">
        <v>14</v>
      </c>
      <c r="E132" s="87" t="s">
        <v>31</v>
      </c>
      <c r="F132" s="87" t="s">
        <v>17</v>
      </c>
      <c r="G132" s="87" t="s">
        <v>38</v>
      </c>
      <c r="H132" s="87">
        <v>13</v>
      </c>
      <c r="I132" s="87">
        <v>4553</v>
      </c>
      <c r="J132" s="87">
        <f t="shared" ca="1" si="4"/>
        <v>0.09</v>
      </c>
      <c r="K132" s="88">
        <f t="shared" si="3"/>
        <v>59189</v>
      </c>
    </row>
    <row r="133" spans="2:11" x14ac:dyDescent="0.25">
      <c r="B133" s="87">
        <v>131</v>
      </c>
      <c r="C133" s="88" t="s">
        <v>177</v>
      </c>
      <c r="D133" s="87" t="s">
        <v>10</v>
      </c>
      <c r="E133" s="87" t="s">
        <v>32</v>
      </c>
      <c r="F133" s="87" t="s">
        <v>18</v>
      </c>
      <c r="G133" s="87" t="s">
        <v>34</v>
      </c>
      <c r="H133" s="87">
        <v>2</v>
      </c>
      <c r="I133" s="87">
        <v>1657</v>
      </c>
      <c r="J133" s="87">
        <f t="shared" ca="1" si="4"/>
        <v>0.02</v>
      </c>
      <c r="K133" s="88">
        <f t="shared" ref="K133:K196" si="5">H133*I133</f>
        <v>3314</v>
      </c>
    </row>
    <row r="134" spans="2:11" x14ac:dyDescent="0.25">
      <c r="B134" s="87">
        <v>132</v>
      </c>
      <c r="C134" s="88" t="s">
        <v>178</v>
      </c>
      <c r="D134" s="87" t="s">
        <v>11</v>
      </c>
      <c r="E134" s="87" t="s">
        <v>33</v>
      </c>
      <c r="F134" s="87" t="s">
        <v>16</v>
      </c>
      <c r="G134" s="87" t="s">
        <v>35</v>
      </c>
      <c r="H134" s="87">
        <v>15</v>
      </c>
      <c r="I134" s="87">
        <v>636</v>
      </c>
      <c r="J134" s="87">
        <f t="shared" ca="1" si="4"/>
        <v>0</v>
      </c>
      <c r="K134" s="88">
        <f t="shared" si="5"/>
        <v>9540</v>
      </c>
    </row>
    <row r="135" spans="2:11" x14ac:dyDescent="0.25">
      <c r="B135" s="87">
        <v>133</v>
      </c>
      <c r="C135" s="88" t="s">
        <v>179</v>
      </c>
      <c r="D135" s="87" t="s">
        <v>12</v>
      </c>
      <c r="E135" s="87" t="s">
        <v>23</v>
      </c>
      <c r="F135" s="87" t="s">
        <v>15</v>
      </c>
      <c r="G135" s="87" t="s">
        <v>36</v>
      </c>
      <c r="H135" s="87">
        <v>14</v>
      </c>
      <c r="I135" s="87">
        <v>1576</v>
      </c>
      <c r="J135" s="87">
        <f t="shared" ca="1" si="4"/>
        <v>0.11</v>
      </c>
      <c r="K135" s="88">
        <f t="shared" si="5"/>
        <v>22064</v>
      </c>
    </row>
    <row r="136" spans="2:11" x14ac:dyDescent="0.25">
      <c r="B136" s="87">
        <v>134</v>
      </c>
      <c r="C136" s="88" t="s">
        <v>180</v>
      </c>
      <c r="D136" s="87" t="s">
        <v>13</v>
      </c>
      <c r="E136" s="87" t="s">
        <v>24</v>
      </c>
      <c r="F136" s="87" t="s">
        <v>16</v>
      </c>
      <c r="G136" s="87" t="s">
        <v>37</v>
      </c>
      <c r="H136" s="87">
        <v>2</v>
      </c>
      <c r="I136" s="87">
        <v>1012</v>
      </c>
      <c r="J136" s="87">
        <f t="shared" ca="1" si="4"/>
        <v>0.09</v>
      </c>
      <c r="K136" s="88">
        <f t="shared" si="5"/>
        <v>2024</v>
      </c>
    </row>
    <row r="137" spans="2:11" x14ac:dyDescent="0.25">
      <c r="B137" s="87">
        <v>135</v>
      </c>
      <c r="C137" s="88" t="s">
        <v>181</v>
      </c>
      <c r="D137" s="87" t="s">
        <v>14</v>
      </c>
      <c r="E137" s="87" t="s">
        <v>25</v>
      </c>
      <c r="F137" s="87" t="s">
        <v>17</v>
      </c>
      <c r="G137" s="87" t="s">
        <v>38</v>
      </c>
      <c r="H137" s="87">
        <v>20</v>
      </c>
      <c r="I137" s="87">
        <v>1883</v>
      </c>
      <c r="J137" s="87">
        <f t="shared" ref="J137:J200" ca="1" si="6">RANDBETWEEN(0, 15) / 100</f>
        <v>0.06</v>
      </c>
      <c r="K137" s="88">
        <f t="shared" si="5"/>
        <v>37660</v>
      </c>
    </row>
    <row r="138" spans="2:11" x14ac:dyDescent="0.25">
      <c r="B138" s="87">
        <v>136</v>
      </c>
      <c r="C138" s="88" t="s">
        <v>182</v>
      </c>
      <c r="D138" s="87" t="s">
        <v>10</v>
      </c>
      <c r="E138" s="87" t="s">
        <v>26</v>
      </c>
      <c r="F138" s="87" t="s">
        <v>18</v>
      </c>
      <c r="G138" s="87" t="s">
        <v>34</v>
      </c>
      <c r="H138" s="87">
        <v>17</v>
      </c>
      <c r="I138" s="87">
        <v>2206</v>
      </c>
      <c r="J138" s="87">
        <f t="shared" ca="1" si="6"/>
        <v>0.1</v>
      </c>
      <c r="K138" s="88">
        <f t="shared" si="5"/>
        <v>37502</v>
      </c>
    </row>
    <row r="139" spans="2:11" x14ac:dyDescent="0.25">
      <c r="B139" s="87">
        <v>137</v>
      </c>
      <c r="C139" s="88" t="s">
        <v>183</v>
      </c>
      <c r="D139" s="87" t="s">
        <v>11</v>
      </c>
      <c r="E139" s="87" t="s">
        <v>27</v>
      </c>
      <c r="F139" s="87" t="s">
        <v>16</v>
      </c>
      <c r="G139" s="87" t="s">
        <v>35</v>
      </c>
      <c r="H139" s="87">
        <v>7</v>
      </c>
      <c r="I139" s="87">
        <v>4646</v>
      </c>
      <c r="J139" s="87">
        <f t="shared" ca="1" si="6"/>
        <v>0.02</v>
      </c>
      <c r="K139" s="88">
        <f t="shared" si="5"/>
        <v>32522</v>
      </c>
    </row>
    <row r="140" spans="2:11" x14ac:dyDescent="0.25">
      <c r="B140" s="87">
        <v>138</v>
      </c>
      <c r="C140" s="88" t="s">
        <v>184</v>
      </c>
      <c r="D140" s="87" t="s">
        <v>12</v>
      </c>
      <c r="E140" s="87" t="s">
        <v>28</v>
      </c>
      <c r="F140" s="87" t="s">
        <v>17</v>
      </c>
      <c r="G140" s="87" t="s">
        <v>36</v>
      </c>
      <c r="H140" s="87">
        <v>11</v>
      </c>
      <c r="I140" s="87">
        <v>186</v>
      </c>
      <c r="J140" s="87">
        <f t="shared" ca="1" si="6"/>
        <v>0.11</v>
      </c>
      <c r="K140" s="88">
        <f t="shared" si="5"/>
        <v>2046</v>
      </c>
    </row>
    <row r="141" spans="2:11" x14ac:dyDescent="0.25">
      <c r="B141" s="87">
        <v>139</v>
      </c>
      <c r="C141" s="88" t="s">
        <v>185</v>
      </c>
      <c r="D141" s="87" t="s">
        <v>13</v>
      </c>
      <c r="E141" s="87" t="s">
        <v>29</v>
      </c>
      <c r="F141" s="87" t="s">
        <v>18</v>
      </c>
      <c r="G141" s="87" t="s">
        <v>37</v>
      </c>
      <c r="H141" s="87">
        <v>14</v>
      </c>
      <c r="I141" s="87">
        <v>3844</v>
      </c>
      <c r="J141" s="87">
        <f t="shared" ca="1" si="6"/>
        <v>0.05</v>
      </c>
      <c r="K141" s="88">
        <f t="shared" si="5"/>
        <v>53816</v>
      </c>
    </row>
    <row r="142" spans="2:11" x14ac:dyDescent="0.25">
      <c r="B142" s="87">
        <v>140</v>
      </c>
      <c r="C142" s="88" t="s">
        <v>186</v>
      </c>
      <c r="D142" s="87" t="s">
        <v>14</v>
      </c>
      <c r="E142" s="87" t="s">
        <v>30</v>
      </c>
      <c r="F142" s="87" t="s">
        <v>16</v>
      </c>
      <c r="G142" s="87" t="s">
        <v>38</v>
      </c>
      <c r="H142" s="87">
        <v>14</v>
      </c>
      <c r="I142" s="87">
        <v>4961</v>
      </c>
      <c r="J142" s="87">
        <f t="shared" ca="1" si="6"/>
        <v>0.09</v>
      </c>
      <c r="K142" s="88">
        <f t="shared" si="5"/>
        <v>69454</v>
      </c>
    </row>
    <row r="143" spans="2:11" x14ac:dyDescent="0.25">
      <c r="B143" s="87">
        <v>141</v>
      </c>
      <c r="C143" s="88" t="s">
        <v>187</v>
      </c>
      <c r="D143" s="87" t="s">
        <v>10</v>
      </c>
      <c r="E143" s="87" t="s">
        <v>31</v>
      </c>
      <c r="F143" s="87" t="s">
        <v>17</v>
      </c>
      <c r="G143" s="87" t="s">
        <v>34</v>
      </c>
      <c r="H143" s="87">
        <v>1</v>
      </c>
      <c r="I143" s="87">
        <v>4474</v>
      </c>
      <c r="J143" s="87">
        <f t="shared" ca="1" si="6"/>
        <v>0.15</v>
      </c>
      <c r="K143" s="88">
        <f t="shared" si="5"/>
        <v>4474</v>
      </c>
    </row>
    <row r="144" spans="2:11" x14ac:dyDescent="0.25">
      <c r="B144" s="87">
        <v>142</v>
      </c>
      <c r="C144" s="88" t="s">
        <v>188</v>
      </c>
      <c r="D144" s="87" t="s">
        <v>11</v>
      </c>
      <c r="E144" s="87" t="s">
        <v>32</v>
      </c>
      <c r="F144" s="87" t="s">
        <v>18</v>
      </c>
      <c r="G144" s="87" t="s">
        <v>35</v>
      </c>
      <c r="H144" s="87">
        <v>1</v>
      </c>
      <c r="I144" s="87">
        <v>4667</v>
      </c>
      <c r="J144" s="87">
        <f t="shared" ca="1" si="6"/>
        <v>0</v>
      </c>
      <c r="K144" s="88">
        <f t="shared" si="5"/>
        <v>4667</v>
      </c>
    </row>
    <row r="145" spans="2:11" x14ac:dyDescent="0.25">
      <c r="B145" s="87">
        <v>143</v>
      </c>
      <c r="C145" s="88" t="s">
        <v>189</v>
      </c>
      <c r="D145" s="87" t="s">
        <v>12</v>
      </c>
      <c r="E145" s="87" t="s">
        <v>33</v>
      </c>
      <c r="F145" s="87" t="s">
        <v>16</v>
      </c>
      <c r="G145" s="87" t="s">
        <v>36</v>
      </c>
      <c r="H145" s="87">
        <v>12</v>
      </c>
      <c r="I145" s="87">
        <v>3574</v>
      </c>
      <c r="J145" s="87">
        <f t="shared" ca="1" si="6"/>
        <v>0.04</v>
      </c>
      <c r="K145" s="88">
        <f t="shared" si="5"/>
        <v>42888</v>
      </c>
    </row>
    <row r="146" spans="2:11" x14ac:dyDescent="0.25">
      <c r="B146" s="87">
        <v>144</v>
      </c>
      <c r="C146" s="88" t="s">
        <v>190</v>
      </c>
      <c r="D146" s="87" t="s">
        <v>13</v>
      </c>
      <c r="E146" s="87" t="s">
        <v>23</v>
      </c>
      <c r="F146" s="87" t="s">
        <v>15</v>
      </c>
      <c r="G146" s="87" t="s">
        <v>37</v>
      </c>
      <c r="H146" s="87">
        <v>20</v>
      </c>
      <c r="I146" s="87">
        <v>2942</v>
      </c>
      <c r="J146" s="87">
        <f t="shared" ca="1" si="6"/>
        <v>0.15</v>
      </c>
      <c r="K146" s="88">
        <f t="shared" si="5"/>
        <v>58840</v>
      </c>
    </row>
    <row r="147" spans="2:11" x14ac:dyDescent="0.25">
      <c r="B147" s="87">
        <v>145</v>
      </c>
      <c r="C147" s="88" t="s">
        <v>191</v>
      </c>
      <c r="D147" s="87" t="s">
        <v>14</v>
      </c>
      <c r="E147" s="87" t="s">
        <v>24</v>
      </c>
      <c r="F147" s="87" t="s">
        <v>16</v>
      </c>
      <c r="G147" s="87" t="s">
        <v>38</v>
      </c>
      <c r="H147" s="87">
        <v>13</v>
      </c>
      <c r="I147" s="87">
        <v>4882</v>
      </c>
      <c r="J147" s="87">
        <f t="shared" ca="1" si="6"/>
        <v>0.1</v>
      </c>
      <c r="K147" s="88">
        <f t="shared" si="5"/>
        <v>63466</v>
      </c>
    </row>
    <row r="148" spans="2:11" x14ac:dyDescent="0.25">
      <c r="B148" s="87">
        <v>146</v>
      </c>
      <c r="C148" s="88" t="s">
        <v>192</v>
      </c>
      <c r="D148" s="87" t="s">
        <v>10</v>
      </c>
      <c r="E148" s="87" t="s">
        <v>25</v>
      </c>
      <c r="F148" s="87" t="s">
        <v>17</v>
      </c>
      <c r="G148" s="87" t="s">
        <v>34</v>
      </c>
      <c r="H148" s="87">
        <v>15</v>
      </c>
      <c r="I148" s="87">
        <v>3747</v>
      </c>
      <c r="J148" s="87">
        <f t="shared" ca="1" si="6"/>
        <v>0.08</v>
      </c>
      <c r="K148" s="88">
        <f t="shared" si="5"/>
        <v>56205</v>
      </c>
    </row>
    <row r="149" spans="2:11" x14ac:dyDescent="0.25">
      <c r="B149" s="87">
        <v>147</v>
      </c>
      <c r="C149" s="88" t="s">
        <v>193</v>
      </c>
      <c r="D149" s="87" t="s">
        <v>11</v>
      </c>
      <c r="E149" s="87" t="s">
        <v>26</v>
      </c>
      <c r="F149" s="87" t="s">
        <v>18</v>
      </c>
      <c r="G149" s="87" t="s">
        <v>35</v>
      </c>
      <c r="H149" s="87">
        <v>1</v>
      </c>
      <c r="I149" s="87">
        <v>606</v>
      </c>
      <c r="J149" s="87">
        <f t="shared" ca="1" si="6"/>
        <v>0.12</v>
      </c>
      <c r="K149" s="88">
        <f t="shared" si="5"/>
        <v>606</v>
      </c>
    </row>
    <row r="150" spans="2:11" x14ac:dyDescent="0.25">
      <c r="B150" s="87">
        <v>148</v>
      </c>
      <c r="C150" s="88" t="s">
        <v>194</v>
      </c>
      <c r="D150" s="87" t="s">
        <v>12</v>
      </c>
      <c r="E150" s="87" t="s">
        <v>27</v>
      </c>
      <c r="F150" s="87" t="s">
        <v>16</v>
      </c>
      <c r="G150" s="87" t="s">
        <v>36</v>
      </c>
      <c r="H150" s="87">
        <v>20</v>
      </c>
      <c r="I150" s="87">
        <v>2692</v>
      </c>
      <c r="J150" s="87">
        <f t="shared" ca="1" si="6"/>
        <v>0.02</v>
      </c>
      <c r="K150" s="88">
        <f t="shared" si="5"/>
        <v>53840</v>
      </c>
    </row>
    <row r="151" spans="2:11" x14ac:dyDescent="0.25">
      <c r="B151" s="87">
        <v>149</v>
      </c>
      <c r="C151" s="88" t="s">
        <v>195</v>
      </c>
      <c r="D151" s="87" t="s">
        <v>13</v>
      </c>
      <c r="E151" s="87" t="s">
        <v>28</v>
      </c>
      <c r="F151" s="87" t="s">
        <v>17</v>
      </c>
      <c r="G151" s="87" t="s">
        <v>37</v>
      </c>
      <c r="H151" s="87">
        <v>19</v>
      </c>
      <c r="I151" s="87">
        <v>3330</v>
      </c>
      <c r="J151" s="87">
        <f t="shared" ca="1" si="6"/>
        <v>0.04</v>
      </c>
      <c r="K151" s="88">
        <f t="shared" si="5"/>
        <v>63270</v>
      </c>
    </row>
    <row r="152" spans="2:11" x14ac:dyDescent="0.25">
      <c r="B152" s="87">
        <v>150</v>
      </c>
      <c r="C152" s="88" t="s">
        <v>196</v>
      </c>
      <c r="D152" s="87" t="s">
        <v>14</v>
      </c>
      <c r="E152" s="87" t="s">
        <v>29</v>
      </c>
      <c r="F152" s="87" t="s">
        <v>18</v>
      </c>
      <c r="G152" s="87" t="s">
        <v>38</v>
      </c>
      <c r="H152" s="87">
        <v>19</v>
      </c>
      <c r="I152" s="87">
        <v>1871</v>
      </c>
      <c r="J152" s="87">
        <f t="shared" ca="1" si="6"/>
        <v>7.0000000000000007E-2</v>
      </c>
      <c r="K152" s="88">
        <f t="shared" si="5"/>
        <v>35549</v>
      </c>
    </row>
    <row r="153" spans="2:11" x14ac:dyDescent="0.25">
      <c r="B153" s="87">
        <v>151</v>
      </c>
      <c r="C153" s="88" t="s">
        <v>197</v>
      </c>
      <c r="D153" s="87" t="s">
        <v>10</v>
      </c>
      <c r="E153" s="87" t="s">
        <v>30</v>
      </c>
      <c r="F153" s="87" t="s">
        <v>16</v>
      </c>
      <c r="G153" s="87" t="s">
        <v>34</v>
      </c>
      <c r="H153" s="87">
        <v>6</v>
      </c>
      <c r="I153" s="87">
        <v>1637</v>
      </c>
      <c r="J153" s="87">
        <f t="shared" ca="1" si="6"/>
        <v>0.05</v>
      </c>
      <c r="K153" s="88">
        <f t="shared" si="5"/>
        <v>9822</v>
      </c>
    </row>
    <row r="154" spans="2:11" x14ac:dyDescent="0.25">
      <c r="B154" s="87">
        <v>152</v>
      </c>
      <c r="C154" s="88" t="s">
        <v>198</v>
      </c>
      <c r="D154" s="87" t="s">
        <v>11</v>
      </c>
      <c r="E154" s="87" t="s">
        <v>31</v>
      </c>
      <c r="F154" s="87" t="s">
        <v>17</v>
      </c>
      <c r="G154" s="87" t="s">
        <v>35</v>
      </c>
      <c r="H154" s="87">
        <v>9</v>
      </c>
      <c r="I154" s="87">
        <v>2504</v>
      </c>
      <c r="J154" s="87">
        <f t="shared" ca="1" si="6"/>
        <v>0</v>
      </c>
      <c r="K154" s="88">
        <f t="shared" si="5"/>
        <v>22536</v>
      </c>
    </row>
    <row r="155" spans="2:11" x14ac:dyDescent="0.25">
      <c r="B155" s="87">
        <v>153</v>
      </c>
      <c r="C155" s="88" t="s">
        <v>199</v>
      </c>
      <c r="D155" s="87" t="s">
        <v>12</v>
      </c>
      <c r="E155" s="87" t="s">
        <v>32</v>
      </c>
      <c r="F155" s="87" t="s">
        <v>18</v>
      </c>
      <c r="G155" s="87" t="s">
        <v>36</v>
      </c>
      <c r="H155" s="87">
        <v>6</v>
      </c>
      <c r="I155" s="87">
        <v>883</v>
      </c>
      <c r="J155" s="87">
        <f t="shared" ca="1" si="6"/>
        <v>0.1</v>
      </c>
      <c r="K155" s="88">
        <f t="shared" si="5"/>
        <v>5298</v>
      </c>
    </row>
    <row r="156" spans="2:11" x14ac:dyDescent="0.25">
      <c r="B156" s="87">
        <v>154</v>
      </c>
      <c r="C156" s="88" t="s">
        <v>200</v>
      </c>
      <c r="D156" s="87" t="s">
        <v>13</v>
      </c>
      <c r="E156" s="87" t="s">
        <v>33</v>
      </c>
      <c r="F156" s="87" t="s">
        <v>16</v>
      </c>
      <c r="G156" s="87" t="s">
        <v>37</v>
      </c>
      <c r="H156" s="87">
        <v>16</v>
      </c>
      <c r="I156" s="87">
        <v>4789</v>
      </c>
      <c r="J156" s="87">
        <f t="shared" ca="1" si="6"/>
        <v>7.0000000000000007E-2</v>
      </c>
      <c r="K156" s="88">
        <f t="shared" si="5"/>
        <v>76624</v>
      </c>
    </row>
    <row r="157" spans="2:11" x14ac:dyDescent="0.25">
      <c r="B157" s="87">
        <v>155</v>
      </c>
      <c r="C157" s="88" t="s">
        <v>201</v>
      </c>
      <c r="D157" s="87" t="s">
        <v>14</v>
      </c>
      <c r="E157" s="87" t="s">
        <v>23</v>
      </c>
      <c r="F157" s="87" t="s">
        <v>15</v>
      </c>
      <c r="G157" s="87" t="s">
        <v>38</v>
      </c>
      <c r="H157" s="87">
        <v>10</v>
      </c>
      <c r="I157" s="87">
        <v>4686</v>
      </c>
      <c r="J157" s="87">
        <f t="shared" ca="1" si="6"/>
        <v>7.0000000000000007E-2</v>
      </c>
      <c r="K157" s="88">
        <f t="shared" si="5"/>
        <v>46860</v>
      </c>
    </row>
    <row r="158" spans="2:11" x14ac:dyDescent="0.25">
      <c r="B158" s="87">
        <v>156</v>
      </c>
      <c r="C158" s="88" t="s">
        <v>202</v>
      </c>
      <c r="D158" s="87" t="s">
        <v>10</v>
      </c>
      <c r="E158" s="87" t="s">
        <v>24</v>
      </c>
      <c r="F158" s="87" t="s">
        <v>16</v>
      </c>
      <c r="G158" s="87" t="s">
        <v>34</v>
      </c>
      <c r="H158" s="87">
        <v>7</v>
      </c>
      <c r="I158" s="87">
        <v>4111</v>
      </c>
      <c r="J158" s="87">
        <f t="shared" ca="1" si="6"/>
        <v>0.12</v>
      </c>
      <c r="K158" s="88">
        <f t="shared" si="5"/>
        <v>28777</v>
      </c>
    </row>
    <row r="159" spans="2:11" x14ac:dyDescent="0.25">
      <c r="B159" s="87">
        <v>157</v>
      </c>
      <c r="C159" s="88" t="s">
        <v>203</v>
      </c>
      <c r="D159" s="87" t="s">
        <v>11</v>
      </c>
      <c r="E159" s="87" t="s">
        <v>25</v>
      </c>
      <c r="F159" s="87" t="s">
        <v>17</v>
      </c>
      <c r="G159" s="87" t="s">
        <v>35</v>
      </c>
      <c r="H159" s="87">
        <v>11</v>
      </c>
      <c r="I159" s="87">
        <v>1884</v>
      </c>
      <c r="J159" s="87">
        <f t="shared" ca="1" si="6"/>
        <v>0.1</v>
      </c>
      <c r="K159" s="88">
        <f t="shared" si="5"/>
        <v>20724</v>
      </c>
    </row>
    <row r="160" spans="2:11" x14ac:dyDescent="0.25">
      <c r="B160" s="87">
        <v>158</v>
      </c>
      <c r="C160" s="88" t="s">
        <v>204</v>
      </c>
      <c r="D160" s="87" t="s">
        <v>12</v>
      </c>
      <c r="E160" s="87" t="s">
        <v>26</v>
      </c>
      <c r="F160" s="87" t="s">
        <v>18</v>
      </c>
      <c r="G160" s="87" t="s">
        <v>36</v>
      </c>
      <c r="H160" s="87">
        <v>14</v>
      </c>
      <c r="I160" s="87">
        <v>1076</v>
      </c>
      <c r="J160" s="87">
        <f t="shared" ca="1" si="6"/>
        <v>0.11</v>
      </c>
      <c r="K160" s="88">
        <f t="shared" si="5"/>
        <v>15064</v>
      </c>
    </row>
    <row r="161" spans="2:11" x14ac:dyDescent="0.25">
      <c r="B161" s="87">
        <v>159</v>
      </c>
      <c r="C161" s="88" t="s">
        <v>205</v>
      </c>
      <c r="D161" s="87" t="s">
        <v>13</v>
      </c>
      <c r="E161" s="87" t="s">
        <v>27</v>
      </c>
      <c r="F161" s="87" t="s">
        <v>16</v>
      </c>
      <c r="G161" s="87" t="s">
        <v>37</v>
      </c>
      <c r="H161" s="87">
        <v>1</v>
      </c>
      <c r="I161" s="87">
        <v>120</v>
      </c>
      <c r="J161" s="87">
        <f t="shared" ca="1" si="6"/>
        <v>0.14000000000000001</v>
      </c>
      <c r="K161" s="88">
        <f t="shared" si="5"/>
        <v>120</v>
      </c>
    </row>
    <row r="162" spans="2:11" x14ac:dyDescent="0.25">
      <c r="B162" s="87">
        <v>160</v>
      </c>
      <c r="C162" s="88" t="s">
        <v>206</v>
      </c>
      <c r="D162" s="87" t="s">
        <v>14</v>
      </c>
      <c r="E162" s="87" t="s">
        <v>28</v>
      </c>
      <c r="F162" s="87" t="s">
        <v>17</v>
      </c>
      <c r="G162" s="87" t="s">
        <v>38</v>
      </c>
      <c r="H162" s="87">
        <v>11</v>
      </c>
      <c r="I162" s="87">
        <v>3679</v>
      </c>
      <c r="J162" s="87">
        <f t="shared" ca="1" si="6"/>
        <v>0.09</v>
      </c>
      <c r="K162" s="88">
        <f t="shared" si="5"/>
        <v>40469</v>
      </c>
    </row>
    <row r="163" spans="2:11" x14ac:dyDescent="0.25">
      <c r="B163" s="87">
        <v>161</v>
      </c>
      <c r="C163" s="88" t="s">
        <v>207</v>
      </c>
      <c r="D163" s="87" t="s">
        <v>10</v>
      </c>
      <c r="E163" s="87" t="s">
        <v>29</v>
      </c>
      <c r="F163" s="87" t="s">
        <v>18</v>
      </c>
      <c r="G163" s="87" t="s">
        <v>34</v>
      </c>
      <c r="H163" s="87">
        <v>9</v>
      </c>
      <c r="I163" s="87">
        <v>4088</v>
      </c>
      <c r="J163" s="87">
        <f t="shared" ca="1" si="6"/>
        <v>0.06</v>
      </c>
      <c r="K163" s="88">
        <f t="shared" si="5"/>
        <v>36792</v>
      </c>
    </row>
    <row r="164" spans="2:11" x14ac:dyDescent="0.25">
      <c r="B164" s="87">
        <v>162</v>
      </c>
      <c r="C164" s="88" t="s">
        <v>208</v>
      </c>
      <c r="D164" s="87" t="s">
        <v>11</v>
      </c>
      <c r="E164" s="87" t="s">
        <v>30</v>
      </c>
      <c r="F164" s="87" t="s">
        <v>16</v>
      </c>
      <c r="G164" s="87" t="s">
        <v>35</v>
      </c>
      <c r="H164" s="87">
        <v>4</v>
      </c>
      <c r="I164" s="87">
        <v>4005</v>
      </c>
      <c r="J164" s="87">
        <f t="shared" ca="1" si="6"/>
        <v>0.12</v>
      </c>
      <c r="K164" s="88">
        <f t="shared" si="5"/>
        <v>16020</v>
      </c>
    </row>
    <row r="165" spans="2:11" x14ac:dyDescent="0.25">
      <c r="B165" s="87">
        <v>163</v>
      </c>
      <c r="C165" s="88" t="s">
        <v>209</v>
      </c>
      <c r="D165" s="87" t="s">
        <v>12</v>
      </c>
      <c r="E165" s="87" t="s">
        <v>31</v>
      </c>
      <c r="F165" s="87" t="s">
        <v>17</v>
      </c>
      <c r="G165" s="87" t="s">
        <v>36</v>
      </c>
      <c r="H165" s="87">
        <v>1</v>
      </c>
      <c r="I165" s="87">
        <v>751</v>
      </c>
      <c r="J165" s="87">
        <f t="shared" ca="1" si="6"/>
        <v>0.13</v>
      </c>
      <c r="K165" s="88">
        <f t="shared" si="5"/>
        <v>751</v>
      </c>
    </row>
    <row r="166" spans="2:11" x14ac:dyDescent="0.25">
      <c r="B166" s="87">
        <v>164</v>
      </c>
      <c r="C166" s="88" t="s">
        <v>210</v>
      </c>
      <c r="D166" s="87" t="s">
        <v>13</v>
      </c>
      <c r="E166" s="87" t="s">
        <v>32</v>
      </c>
      <c r="F166" s="87" t="s">
        <v>18</v>
      </c>
      <c r="G166" s="87" t="s">
        <v>37</v>
      </c>
      <c r="H166" s="87">
        <v>12</v>
      </c>
      <c r="I166" s="87">
        <v>323</v>
      </c>
      <c r="J166" s="87">
        <f t="shared" ca="1" si="6"/>
        <v>0.12</v>
      </c>
      <c r="K166" s="88">
        <f t="shared" si="5"/>
        <v>3876</v>
      </c>
    </row>
    <row r="167" spans="2:11" x14ac:dyDescent="0.25">
      <c r="B167" s="87">
        <v>165</v>
      </c>
      <c r="C167" s="88" t="s">
        <v>211</v>
      </c>
      <c r="D167" s="87" t="s">
        <v>14</v>
      </c>
      <c r="E167" s="87" t="s">
        <v>33</v>
      </c>
      <c r="F167" s="87" t="s">
        <v>16</v>
      </c>
      <c r="G167" s="87" t="s">
        <v>38</v>
      </c>
      <c r="H167" s="87">
        <v>16</v>
      </c>
      <c r="I167" s="87">
        <v>3232</v>
      </c>
      <c r="J167" s="87">
        <f t="shared" ca="1" si="6"/>
        <v>0.04</v>
      </c>
      <c r="K167" s="88">
        <f t="shared" si="5"/>
        <v>51712</v>
      </c>
    </row>
    <row r="168" spans="2:11" x14ac:dyDescent="0.25">
      <c r="B168" s="87">
        <v>166</v>
      </c>
      <c r="C168" s="88" t="s">
        <v>212</v>
      </c>
      <c r="D168" s="87" t="s">
        <v>10</v>
      </c>
      <c r="E168" s="87" t="s">
        <v>23</v>
      </c>
      <c r="F168" s="87" t="s">
        <v>15</v>
      </c>
      <c r="G168" s="87" t="s">
        <v>34</v>
      </c>
      <c r="H168" s="87">
        <v>3</v>
      </c>
      <c r="I168" s="87">
        <v>1870</v>
      </c>
      <c r="J168" s="87">
        <f t="shared" ca="1" si="6"/>
        <v>0.01</v>
      </c>
      <c r="K168" s="88">
        <f t="shared" si="5"/>
        <v>5610</v>
      </c>
    </row>
    <row r="169" spans="2:11" x14ac:dyDescent="0.25">
      <c r="B169" s="87">
        <v>167</v>
      </c>
      <c r="C169" s="88" t="s">
        <v>213</v>
      </c>
      <c r="D169" s="87" t="s">
        <v>11</v>
      </c>
      <c r="E169" s="87" t="s">
        <v>24</v>
      </c>
      <c r="F169" s="87" t="s">
        <v>16</v>
      </c>
      <c r="G169" s="87" t="s">
        <v>35</v>
      </c>
      <c r="H169" s="87">
        <v>15</v>
      </c>
      <c r="I169" s="87">
        <v>4381</v>
      </c>
      <c r="J169" s="87">
        <f t="shared" ca="1" si="6"/>
        <v>0.06</v>
      </c>
      <c r="K169" s="88">
        <f t="shared" si="5"/>
        <v>65715</v>
      </c>
    </row>
    <row r="170" spans="2:11" x14ac:dyDescent="0.25">
      <c r="B170" s="87">
        <v>168</v>
      </c>
      <c r="C170" s="88" t="s">
        <v>214</v>
      </c>
      <c r="D170" s="87" t="s">
        <v>12</v>
      </c>
      <c r="E170" s="87" t="s">
        <v>25</v>
      </c>
      <c r="F170" s="87" t="s">
        <v>17</v>
      </c>
      <c r="G170" s="87" t="s">
        <v>36</v>
      </c>
      <c r="H170" s="87">
        <v>3</v>
      </c>
      <c r="I170" s="87">
        <v>547</v>
      </c>
      <c r="J170" s="87">
        <f t="shared" ca="1" si="6"/>
        <v>0.1</v>
      </c>
      <c r="K170" s="88">
        <f t="shared" si="5"/>
        <v>1641</v>
      </c>
    </row>
    <row r="171" spans="2:11" x14ac:dyDescent="0.25">
      <c r="B171" s="87">
        <v>169</v>
      </c>
      <c r="C171" s="88" t="s">
        <v>215</v>
      </c>
      <c r="D171" s="87" t="s">
        <v>13</v>
      </c>
      <c r="E171" s="87" t="s">
        <v>26</v>
      </c>
      <c r="F171" s="87" t="s">
        <v>18</v>
      </c>
      <c r="G171" s="87" t="s">
        <v>37</v>
      </c>
      <c r="H171" s="87">
        <v>10</v>
      </c>
      <c r="I171" s="87">
        <v>3057</v>
      </c>
      <c r="J171" s="87">
        <f t="shared" ca="1" si="6"/>
        <v>0.05</v>
      </c>
      <c r="K171" s="88">
        <f t="shared" si="5"/>
        <v>30570</v>
      </c>
    </row>
    <row r="172" spans="2:11" x14ac:dyDescent="0.25">
      <c r="B172" s="87">
        <v>170</v>
      </c>
      <c r="C172" s="88" t="s">
        <v>216</v>
      </c>
      <c r="D172" s="87" t="s">
        <v>14</v>
      </c>
      <c r="E172" s="87" t="s">
        <v>27</v>
      </c>
      <c r="F172" s="87" t="s">
        <v>16</v>
      </c>
      <c r="G172" s="87" t="s">
        <v>38</v>
      </c>
      <c r="H172" s="87">
        <v>10</v>
      </c>
      <c r="I172" s="87">
        <v>4964</v>
      </c>
      <c r="J172" s="87">
        <f t="shared" ca="1" si="6"/>
        <v>0.15</v>
      </c>
      <c r="K172" s="88">
        <f t="shared" si="5"/>
        <v>49640</v>
      </c>
    </row>
    <row r="173" spans="2:11" x14ac:dyDescent="0.25">
      <c r="B173" s="87">
        <v>171</v>
      </c>
      <c r="C173" s="88" t="s">
        <v>217</v>
      </c>
      <c r="D173" s="87" t="s">
        <v>10</v>
      </c>
      <c r="E173" s="87" t="s">
        <v>28</v>
      </c>
      <c r="F173" s="87" t="s">
        <v>17</v>
      </c>
      <c r="G173" s="87" t="s">
        <v>34</v>
      </c>
      <c r="H173" s="87">
        <v>17</v>
      </c>
      <c r="I173" s="87">
        <v>4045</v>
      </c>
      <c r="J173" s="87">
        <f t="shared" ca="1" si="6"/>
        <v>0.04</v>
      </c>
      <c r="K173" s="88">
        <f t="shared" si="5"/>
        <v>68765</v>
      </c>
    </row>
    <row r="174" spans="2:11" x14ac:dyDescent="0.25">
      <c r="B174" s="87">
        <v>172</v>
      </c>
      <c r="C174" s="88" t="s">
        <v>218</v>
      </c>
      <c r="D174" s="87" t="s">
        <v>11</v>
      </c>
      <c r="E174" s="87" t="s">
        <v>29</v>
      </c>
      <c r="F174" s="87" t="s">
        <v>18</v>
      </c>
      <c r="G174" s="87" t="s">
        <v>35</v>
      </c>
      <c r="H174" s="87">
        <v>20</v>
      </c>
      <c r="I174" s="87">
        <v>1808</v>
      </c>
      <c r="J174" s="87">
        <f t="shared" ca="1" si="6"/>
        <v>0.06</v>
      </c>
      <c r="K174" s="88">
        <f t="shared" si="5"/>
        <v>36160</v>
      </c>
    </row>
    <row r="175" spans="2:11" x14ac:dyDescent="0.25">
      <c r="B175" s="87">
        <v>173</v>
      </c>
      <c r="C175" s="88" t="s">
        <v>219</v>
      </c>
      <c r="D175" s="87" t="s">
        <v>12</v>
      </c>
      <c r="E175" s="87" t="s">
        <v>30</v>
      </c>
      <c r="F175" s="87" t="s">
        <v>16</v>
      </c>
      <c r="G175" s="87" t="s">
        <v>36</v>
      </c>
      <c r="H175" s="87">
        <v>18</v>
      </c>
      <c r="I175" s="87">
        <v>968</v>
      </c>
      <c r="J175" s="87">
        <f t="shared" ca="1" si="6"/>
        <v>0.04</v>
      </c>
      <c r="K175" s="88">
        <f t="shared" si="5"/>
        <v>17424</v>
      </c>
    </row>
    <row r="176" spans="2:11" x14ac:dyDescent="0.25">
      <c r="B176" s="87">
        <v>174</v>
      </c>
      <c r="C176" s="88" t="s">
        <v>220</v>
      </c>
      <c r="D176" s="87" t="s">
        <v>13</v>
      </c>
      <c r="E176" s="87" t="s">
        <v>31</v>
      </c>
      <c r="F176" s="87" t="s">
        <v>17</v>
      </c>
      <c r="G176" s="87" t="s">
        <v>37</v>
      </c>
      <c r="H176" s="87">
        <v>17</v>
      </c>
      <c r="I176" s="87">
        <v>2382</v>
      </c>
      <c r="J176" s="87">
        <f t="shared" ca="1" si="6"/>
        <v>0.03</v>
      </c>
      <c r="K176" s="88">
        <f t="shared" si="5"/>
        <v>40494</v>
      </c>
    </row>
    <row r="177" spans="2:11" x14ac:dyDescent="0.25">
      <c r="B177" s="87">
        <v>175</v>
      </c>
      <c r="C177" s="88" t="s">
        <v>221</v>
      </c>
      <c r="D177" s="87" t="s">
        <v>14</v>
      </c>
      <c r="E177" s="87" t="s">
        <v>32</v>
      </c>
      <c r="F177" s="87" t="s">
        <v>18</v>
      </c>
      <c r="G177" s="87" t="s">
        <v>38</v>
      </c>
      <c r="H177" s="87">
        <v>10</v>
      </c>
      <c r="I177" s="87">
        <v>801</v>
      </c>
      <c r="J177" s="87">
        <f t="shared" ca="1" si="6"/>
        <v>0.02</v>
      </c>
      <c r="K177" s="88">
        <f t="shared" si="5"/>
        <v>8010</v>
      </c>
    </row>
    <row r="178" spans="2:11" x14ac:dyDescent="0.25">
      <c r="B178" s="87">
        <v>176</v>
      </c>
      <c r="C178" s="88" t="s">
        <v>222</v>
      </c>
      <c r="D178" s="87" t="s">
        <v>10</v>
      </c>
      <c r="E178" s="87" t="s">
        <v>33</v>
      </c>
      <c r="F178" s="87" t="s">
        <v>16</v>
      </c>
      <c r="G178" s="87" t="s">
        <v>34</v>
      </c>
      <c r="H178" s="87">
        <v>2</v>
      </c>
      <c r="I178" s="87">
        <v>4997</v>
      </c>
      <c r="J178" s="87">
        <f t="shared" ca="1" si="6"/>
        <v>0.01</v>
      </c>
      <c r="K178" s="88">
        <f t="shared" si="5"/>
        <v>9994</v>
      </c>
    </row>
    <row r="179" spans="2:11" x14ac:dyDescent="0.25">
      <c r="B179" s="87">
        <v>177</v>
      </c>
      <c r="C179" s="88" t="s">
        <v>223</v>
      </c>
      <c r="D179" s="87" t="s">
        <v>11</v>
      </c>
      <c r="E179" s="87" t="s">
        <v>23</v>
      </c>
      <c r="F179" s="87" t="s">
        <v>15</v>
      </c>
      <c r="G179" s="87" t="s">
        <v>35</v>
      </c>
      <c r="H179" s="87">
        <v>9</v>
      </c>
      <c r="I179" s="87">
        <v>700</v>
      </c>
      <c r="J179" s="87">
        <f t="shared" ca="1" si="6"/>
        <v>0.06</v>
      </c>
      <c r="K179" s="88">
        <f t="shared" si="5"/>
        <v>6300</v>
      </c>
    </row>
    <row r="180" spans="2:11" x14ac:dyDescent="0.25">
      <c r="B180" s="87">
        <v>178</v>
      </c>
      <c r="C180" s="88" t="s">
        <v>224</v>
      </c>
      <c r="D180" s="87" t="s">
        <v>12</v>
      </c>
      <c r="E180" s="87" t="s">
        <v>24</v>
      </c>
      <c r="F180" s="87" t="s">
        <v>16</v>
      </c>
      <c r="G180" s="87" t="s">
        <v>36</v>
      </c>
      <c r="H180" s="87">
        <v>10</v>
      </c>
      <c r="I180" s="87">
        <v>2812</v>
      </c>
      <c r="J180" s="87">
        <f t="shared" ca="1" si="6"/>
        <v>0.09</v>
      </c>
      <c r="K180" s="88">
        <f t="shared" si="5"/>
        <v>28120</v>
      </c>
    </row>
    <row r="181" spans="2:11" x14ac:dyDescent="0.25">
      <c r="B181" s="87">
        <v>179</v>
      </c>
      <c r="C181" s="88" t="s">
        <v>225</v>
      </c>
      <c r="D181" s="87" t="s">
        <v>13</v>
      </c>
      <c r="E181" s="87" t="s">
        <v>25</v>
      </c>
      <c r="F181" s="87" t="s">
        <v>17</v>
      </c>
      <c r="G181" s="87" t="s">
        <v>37</v>
      </c>
      <c r="H181" s="87">
        <v>11</v>
      </c>
      <c r="I181" s="87">
        <v>2269</v>
      </c>
      <c r="J181" s="87">
        <f t="shared" ca="1" si="6"/>
        <v>0.11</v>
      </c>
      <c r="K181" s="88">
        <f t="shared" si="5"/>
        <v>24959</v>
      </c>
    </row>
    <row r="182" spans="2:11" x14ac:dyDescent="0.25">
      <c r="B182" s="87">
        <v>180</v>
      </c>
      <c r="C182" s="88" t="s">
        <v>226</v>
      </c>
      <c r="D182" s="87" t="s">
        <v>14</v>
      </c>
      <c r="E182" s="87" t="s">
        <v>26</v>
      </c>
      <c r="F182" s="87" t="s">
        <v>18</v>
      </c>
      <c r="G182" s="87" t="s">
        <v>38</v>
      </c>
      <c r="H182" s="87">
        <v>10</v>
      </c>
      <c r="I182" s="87">
        <v>3711</v>
      </c>
      <c r="J182" s="87">
        <f t="shared" ca="1" si="6"/>
        <v>0.02</v>
      </c>
      <c r="K182" s="88">
        <f t="shared" si="5"/>
        <v>37110</v>
      </c>
    </row>
    <row r="183" spans="2:11" x14ac:dyDescent="0.25">
      <c r="B183" s="87">
        <v>181</v>
      </c>
      <c r="C183" s="88" t="s">
        <v>227</v>
      </c>
      <c r="D183" s="87" t="s">
        <v>10</v>
      </c>
      <c r="E183" s="87" t="s">
        <v>27</v>
      </c>
      <c r="F183" s="87" t="s">
        <v>16</v>
      </c>
      <c r="G183" s="87" t="s">
        <v>34</v>
      </c>
      <c r="H183" s="87">
        <v>18</v>
      </c>
      <c r="I183" s="87">
        <v>442</v>
      </c>
      <c r="J183" s="87">
        <f t="shared" ca="1" si="6"/>
        <v>0.06</v>
      </c>
      <c r="K183" s="88">
        <f t="shared" si="5"/>
        <v>7956</v>
      </c>
    </row>
    <row r="184" spans="2:11" x14ac:dyDescent="0.25">
      <c r="B184" s="87">
        <v>182</v>
      </c>
      <c r="C184" s="88" t="s">
        <v>228</v>
      </c>
      <c r="D184" s="87" t="s">
        <v>11</v>
      </c>
      <c r="E184" s="87" t="s">
        <v>28</v>
      </c>
      <c r="F184" s="87" t="s">
        <v>17</v>
      </c>
      <c r="G184" s="87" t="s">
        <v>35</v>
      </c>
      <c r="H184" s="87">
        <v>12</v>
      </c>
      <c r="I184" s="87">
        <v>1188</v>
      </c>
      <c r="J184" s="87">
        <f t="shared" ca="1" si="6"/>
        <v>0.02</v>
      </c>
      <c r="K184" s="88">
        <f t="shared" si="5"/>
        <v>14256</v>
      </c>
    </row>
    <row r="185" spans="2:11" x14ac:dyDescent="0.25">
      <c r="B185" s="87">
        <v>183</v>
      </c>
      <c r="C185" s="88" t="s">
        <v>229</v>
      </c>
      <c r="D185" s="87" t="s">
        <v>12</v>
      </c>
      <c r="E185" s="87" t="s">
        <v>29</v>
      </c>
      <c r="F185" s="87" t="s">
        <v>18</v>
      </c>
      <c r="G185" s="87" t="s">
        <v>36</v>
      </c>
      <c r="H185" s="87">
        <v>1</v>
      </c>
      <c r="I185" s="87">
        <v>1912</v>
      </c>
      <c r="J185" s="87">
        <f t="shared" ca="1" si="6"/>
        <v>0.12</v>
      </c>
      <c r="K185" s="88">
        <f t="shared" si="5"/>
        <v>1912</v>
      </c>
    </row>
    <row r="186" spans="2:11" x14ac:dyDescent="0.25">
      <c r="B186" s="87">
        <v>184</v>
      </c>
      <c r="C186" s="88" t="s">
        <v>230</v>
      </c>
      <c r="D186" s="87" t="s">
        <v>13</v>
      </c>
      <c r="E186" s="87" t="s">
        <v>30</v>
      </c>
      <c r="F186" s="87" t="s">
        <v>16</v>
      </c>
      <c r="G186" s="87" t="s">
        <v>37</v>
      </c>
      <c r="H186" s="87">
        <v>3</v>
      </c>
      <c r="I186" s="87">
        <v>669</v>
      </c>
      <c r="J186" s="87">
        <f t="shared" ca="1" si="6"/>
        <v>7.0000000000000007E-2</v>
      </c>
      <c r="K186" s="88">
        <f t="shared" si="5"/>
        <v>2007</v>
      </c>
    </row>
    <row r="187" spans="2:11" x14ac:dyDescent="0.25">
      <c r="B187" s="87">
        <v>185</v>
      </c>
      <c r="C187" s="88" t="s">
        <v>231</v>
      </c>
      <c r="D187" s="87" t="s">
        <v>14</v>
      </c>
      <c r="E187" s="87" t="s">
        <v>31</v>
      </c>
      <c r="F187" s="87" t="s">
        <v>17</v>
      </c>
      <c r="G187" s="87" t="s">
        <v>38</v>
      </c>
      <c r="H187" s="87">
        <v>20</v>
      </c>
      <c r="I187" s="87">
        <v>2431</v>
      </c>
      <c r="J187" s="87">
        <f t="shared" ca="1" si="6"/>
        <v>0.12</v>
      </c>
      <c r="K187" s="88">
        <f t="shared" si="5"/>
        <v>48620</v>
      </c>
    </row>
    <row r="188" spans="2:11" x14ac:dyDescent="0.25">
      <c r="B188" s="87">
        <v>186</v>
      </c>
      <c r="C188" s="88" t="s">
        <v>232</v>
      </c>
      <c r="D188" s="87" t="s">
        <v>10</v>
      </c>
      <c r="E188" s="87" t="s">
        <v>32</v>
      </c>
      <c r="F188" s="87" t="s">
        <v>18</v>
      </c>
      <c r="G188" s="87" t="s">
        <v>34</v>
      </c>
      <c r="H188" s="87">
        <v>3</v>
      </c>
      <c r="I188" s="87">
        <v>1792</v>
      </c>
      <c r="J188" s="87">
        <f t="shared" ca="1" si="6"/>
        <v>0.06</v>
      </c>
      <c r="K188" s="88">
        <f t="shared" si="5"/>
        <v>5376</v>
      </c>
    </row>
    <row r="189" spans="2:11" x14ac:dyDescent="0.25">
      <c r="B189" s="87">
        <v>187</v>
      </c>
      <c r="C189" s="88" t="s">
        <v>233</v>
      </c>
      <c r="D189" s="87" t="s">
        <v>11</v>
      </c>
      <c r="E189" s="87" t="s">
        <v>33</v>
      </c>
      <c r="F189" s="87" t="s">
        <v>16</v>
      </c>
      <c r="G189" s="87" t="s">
        <v>35</v>
      </c>
      <c r="H189" s="87">
        <v>9</v>
      </c>
      <c r="I189" s="87">
        <v>2251</v>
      </c>
      <c r="J189" s="87">
        <f t="shared" ca="1" si="6"/>
        <v>0.08</v>
      </c>
      <c r="K189" s="88">
        <f t="shared" si="5"/>
        <v>20259</v>
      </c>
    </row>
    <row r="190" spans="2:11" x14ac:dyDescent="0.25">
      <c r="B190" s="87">
        <v>188</v>
      </c>
      <c r="C190" s="88" t="s">
        <v>234</v>
      </c>
      <c r="D190" s="87" t="s">
        <v>12</v>
      </c>
      <c r="E190" s="87" t="s">
        <v>23</v>
      </c>
      <c r="F190" s="87" t="s">
        <v>15</v>
      </c>
      <c r="G190" s="87" t="s">
        <v>36</v>
      </c>
      <c r="H190" s="87">
        <v>10</v>
      </c>
      <c r="I190" s="87">
        <v>2470</v>
      </c>
      <c r="J190" s="87">
        <f t="shared" ca="1" si="6"/>
        <v>0.1</v>
      </c>
      <c r="K190" s="88">
        <f t="shared" si="5"/>
        <v>24700</v>
      </c>
    </row>
    <row r="191" spans="2:11" x14ac:dyDescent="0.25">
      <c r="B191" s="87">
        <v>189</v>
      </c>
      <c r="C191" s="88" t="s">
        <v>235</v>
      </c>
      <c r="D191" s="87" t="s">
        <v>13</v>
      </c>
      <c r="E191" s="87" t="s">
        <v>24</v>
      </c>
      <c r="F191" s="87" t="s">
        <v>16</v>
      </c>
      <c r="G191" s="87" t="s">
        <v>37</v>
      </c>
      <c r="H191" s="87">
        <v>7</v>
      </c>
      <c r="I191" s="87">
        <v>2005</v>
      </c>
      <c r="J191" s="87">
        <f t="shared" ca="1" si="6"/>
        <v>7.0000000000000007E-2</v>
      </c>
      <c r="K191" s="88">
        <f t="shared" si="5"/>
        <v>14035</v>
      </c>
    </row>
    <row r="192" spans="2:11" x14ac:dyDescent="0.25">
      <c r="B192" s="87">
        <v>190</v>
      </c>
      <c r="C192" s="88" t="s">
        <v>236</v>
      </c>
      <c r="D192" s="87" t="s">
        <v>14</v>
      </c>
      <c r="E192" s="87" t="s">
        <v>25</v>
      </c>
      <c r="F192" s="87" t="s">
        <v>17</v>
      </c>
      <c r="G192" s="87" t="s">
        <v>38</v>
      </c>
      <c r="H192" s="87">
        <v>12</v>
      </c>
      <c r="I192" s="87">
        <v>1425</v>
      </c>
      <c r="J192" s="87">
        <f t="shared" ca="1" si="6"/>
        <v>0.01</v>
      </c>
      <c r="K192" s="88">
        <f t="shared" si="5"/>
        <v>17100</v>
      </c>
    </row>
    <row r="193" spans="2:11" x14ac:dyDescent="0.25">
      <c r="B193" s="87">
        <v>191</v>
      </c>
      <c r="C193" s="88" t="s">
        <v>237</v>
      </c>
      <c r="D193" s="87" t="s">
        <v>10</v>
      </c>
      <c r="E193" s="87" t="s">
        <v>26</v>
      </c>
      <c r="F193" s="87" t="s">
        <v>18</v>
      </c>
      <c r="G193" s="87" t="s">
        <v>34</v>
      </c>
      <c r="H193" s="87">
        <v>4</v>
      </c>
      <c r="I193" s="87">
        <v>3765</v>
      </c>
      <c r="J193" s="87">
        <f t="shared" ca="1" si="6"/>
        <v>0.08</v>
      </c>
      <c r="K193" s="88">
        <f t="shared" si="5"/>
        <v>15060</v>
      </c>
    </row>
    <row r="194" spans="2:11" x14ac:dyDescent="0.25">
      <c r="B194" s="87">
        <v>192</v>
      </c>
      <c r="C194" s="88" t="s">
        <v>238</v>
      </c>
      <c r="D194" s="87" t="s">
        <v>11</v>
      </c>
      <c r="E194" s="87" t="s">
        <v>27</v>
      </c>
      <c r="F194" s="87" t="s">
        <v>16</v>
      </c>
      <c r="G194" s="87" t="s">
        <v>35</v>
      </c>
      <c r="H194" s="87">
        <v>2</v>
      </c>
      <c r="I194" s="87">
        <v>2517</v>
      </c>
      <c r="J194" s="87">
        <f t="shared" ca="1" si="6"/>
        <v>0.02</v>
      </c>
      <c r="K194" s="88">
        <f t="shared" si="5"/>
        <v>5034</v>
      </c>
    </row>
    <row r="195" spans="2:11" x14ac:dyDescent="0.25">
      <c r="B195" s="87">
        <v>193</v>
      </c>
      <c r="C195" s="88" t="s">
        <v>239</v>
      </c>
      <c r="D195" s="87" t="s">
        <v>12</v>
      </c>
      <c r="E195" s="87" t="s">
        <v>28</v>
      </c>
      <c r="F195" s="87" t="s">
        <v>17</v>
      </c>
      <c r="G195" s="87" t="s">
        <v>36</v>
      </c>
      <c r="H195" s="87">
        <v>16</v>
      </c>
      <c r="I195" s="87">
        <v>4107</v>
      </c>
      <c r="J195" s="87">
        <f t="shared" ca="1" si="6"/>
        <v>0.15</v>
      </c>
      <c r="K195" s="88">
        <f t="shared" si="5"/>
        <v>65712</v>
      </c>
    </row>
    <row r="196" spans="2:11" x14ac:dyDescent="0.25">
      <c r="B196" s="87">
        <v>194</v>
      </c>
      <c r="C196" s="88" t="s">
        <v>240</v>
      </c>
      <c r="D196" s="87" t="s">
        <v>13</v>
      </c>
      <c r="E196" s="87" t="s">
        <v>29</v>
      </c>
      <c r="F196" s="87" t="s">
        <v>18</v>
      </c>
      <c r="G196" s="87" t="s">
        <v>37</v>
      </c>
      <c r="H196" s="87">
        <v>8</v>
      </c>
      <c r="I196" s="87">
        <v>3298</v>
      </c>
      <c r="J196" s="87">
        <f t="shared" ca="1" si="6"/>
        <v>0.14000000000000001</v>
      </c>
      <c r="K196" s="88">
        <f t="shared" si="5"/>
        <v>26384</v>
      </c>
    </row>
    <row r="197" spans="2:11" x14ac:dyDescent="0.25">
      <c r="B197" s="87">
        <v>195</v>
      </c>
      <c r="C197" s="88" t="s">
        <v>241</v>
      </c>
      <c r="D197" s="87" t="s">
        <v>14</v>
      </c>
      <c r="E197" s="87" t="s">
        <v>30</v>
      </c>
      <c r="F197" s="87" t="s">
        <v>16</v>
      </c>
      <c r="G197" s="87" t="s">
        <v>38</v>
      </c>
      <c r="H197" s="87">
        <v>4</v>
      </c>
      <c r="I197" s="87">
        <v>883</v>
      </c>
      <c r="J197" s="87">
        <f t="shared" ca="1" si="6"/>
        <v>0.01</v>
      </c>
      <c r="K197" s="88">
        <f t="shared" ref="K197:K260" si="7">H197*I197</f>
        <v>3532</v>
      </c>
    </row>
    <row r="198" spans="2:11" x14ac:dyDescent="0.25">
      <c r="B198" s="87">
        <v>196</v>
      </c>
      <c r="C198" s="88" t="s">
        <v>242</v>
      </c>
      <c r="D198" s="87" t="s">
        <v>10</v>
      </c>
      <c r="E198" s="87" t="s">
        <v>31</v>
      </c>
      <c r="F198" s="87" t="s">
        <v>17</v>
      </c>
      <c r="G198" s="87" t="s">
        <v>34</v>
      </c>
      <c r="H198" s="87">
        <v>6</v>
      </c>
      <c r="I198" s="87">
        <v>2566</v>
      </c>
      <c r="J198" s="87">
        <f t="shared" ca="1" si="6"/>
        <v>0</v>
      </c>
      <c r="K198" s="88">
        <f t="shared" si="7"/>
        <v>15396</v>
      </c>
    </row>
    <row r="199" spans="2:11" x14ac:dyDescent="0.25">
      <c r="B199" s="87">
        <v>197</v>
      </c>
      <c r="C199" s="88" t="s">
        <v>243</v>
      </c>
      <c r="D199" s="87" t="s">
        <v>11</v>
      </c>
      <c r="E199" s="87" t="s">
        <v>32</v>
      </c>
      <c r="F199" s="87" t="s">
        <v>18</v>
      </c>
      <c r="G199" s="87" t="s">
        <v>35</v>
      </c>
      <c r="H199" s="87">
        <v>13</v>
      </c>
      <c r="I199" s="87">
        <v>4726</v>
      </c>
      <c r="J199" s="87">
        <f t="shared" ca="1" si="6"/>
        <v>0.13</v>
      </c>
      <c r="K199" s="88">
        <f t="shared" si="7"/>
        <v>61438</v>
      </c>
    </row>
    <row r="200" spans="2:11" x14ac:dyDescent="0.25">
      <c r="B200" s="87">
        <v>198</v>
      </c>
      <c r="C200" s="88" t="s">
        <v>244</v>
      </c>
      <c r="D200" s="87" t="s">
        <v>12</v>
      </c>
      <c r="E200" s="87" t="s">
        <v>33</v>
      </c>
      <c r="F200" s="87" t="s">
        <v>16</v>
      </c>
      <c r="G200" s="87" t="s">
        <v>36</v>
      </c>
      <c r="H200" s="87">
        <v>9</v>
      </c>
      <c r="I200" s="87">
        <v>2804</v>
      </c>
      <c r="J200" s="87">
        <f t="shared" ca="1" si="6"/>
        <v>0.08</v>
      </c>
      <c r="K200" s="88">
        <f t="shared" si="7"/>
        <v>25236</v>
      </c>
    </row>
    <row r="201" spans="2:11" x14ac:dyDescent="0.25">
      <c r="B201" s="87">
        <v>199</v>
      </c>
      <c r="C201" s="88" t="s">
        <v>245</v>
      </c>
      <c r="D201" s="87" t="s">
        <v>13</v>
      </c>
      <c r="E201" s="87" t="s">
        <v>23</v>
      </c>
      <c r="F201" s="87" t="s">
        <v>15</v>
      </c>
      <c r="G201" s="87" t="s">
        <v>37</v>
      </c>
      <c r="H201" s="87">
        <v>7</v>
      </c>
      <c r="I201" s="87">
        <v>3634</v>
      </c>
      <c r="J201" s="87">
        <f t="shared" ref="J201:J264" ca="1" si="8">RANDBETWEEN(0, 15) / 100</f>
        <v>0.03</v>
      </c>
      <c r="K201" s="88">
        <f t="shared" si="7"/>
        <v>25438</v>
      </c>
    </row>
    <row r="202" spans="2:11" x14ac:dyDescent="0.25">
      <c r="B202" s="87">
        <v>200</v>
      </c>
      <c r="C202" s="88" t="s">
        <v>246</v>
      </c>
      <c r="D202" s="87" t="s">
        <v>14</v>
      </c>
      <c r="E202" s="87" t="s">
        <v>24</v>
      </c>
      <c r="F202" s="87" t="s">
        <v>16</v>
      </c>
      <c r="G202" s="87" t="s">
        <v>38</v>
      </c>
      <c r="H202" s="87">
        <v>11</v>
      </c>
      <c r="I202" s="87">
        <v>2348</v>
      </c>
      <c r="J202" s="87">
        <f t="shared" ca="1" si="8"/>
        <v>7.0000000000000007E-2</v>
      </c>
      <c r="K202" s="88">
        <f t="shared" si="7"/>
        <v>25828</v>
      </c>
    </row>
    <row r="203" spans="2:11" x14ac:dyDescent="0.25">
      <c r="B203" s="87">
        <v>201</v>
      </c>
      <c r="C203" s="88" t="s">
        <v>247</v>
      </c>
      <c r="D203" s="87" t="s">
        <v>10</v>
      </c>
      <c r="E203" s="87" t="s">
        <v>25</v>
      </c>
      <c r="F203" s="87" t="s">
        <v>17</v>
      </c>
      <c r="G203" s="87" t="s">
        <v>34</v>
      </c>
      <c r="H203" s="87">
        <v>19</v>
      </c>
      <c r="I203" s="87">
        <v>1887</v>
      </c>
      <c r="J203" s="87">
        <f t="shared" ca="1" si="8"/>
        <v>0</v>
      </c>
      <c r="K203" s="88">
        <f t="shared" si="7"/>
        <v>35853</v>
      </c>
    </row>
    <row r="204" spans="2:11" x14ac:dyDescent="0.25">
      <c r="B204" s="87">
        <v>202</v>
      </c>
      <c r="C204" s="88" t="s">
        <v>248</v>
      </c>
      <c r="D204" s="87" t="s">
        <v>11</v>
      </c>
      <c r="E204" s="87" t="s">
        <v>26</v>
      </c>
      <c r="F204" s="87" t="s">
        <v>18</v>
      </c>
      <c r="G204" s="87" t="s">
        <v>35</v>
      </c>
      <c r="H204" s="87">
        <v>1</v>
      </c>
      <c r="I204" s="87">
        <v>4167</v>
      </c>
      <c r="J204" s="87">
        <f t="shared" ca="1" si="8"/>
        <v>0.08</v>
      </c>
      <c r="K204" s="88">
        <f t="shared" si="7"/>
        <v>4167</v>
      </c>
    </row>
    <row r="205" spans="2:11" x14ac:dyDescent="0.25">
      <c r="B205" s="87">
        <v>203</v>
      </c>
      <c r="C205" s="88" t="s">
        <v>249</v>
      </c>
      <c r="D205" s="87" t="s">
        <v>12</v>
      </c>
      <c r="E205" s="87" t="s">
        <v>27</v>
      </c>
      <c r="F205" s="87" t="s">
        <v>16</v>
      </c>
      <c r="G205" s="87" t="s">
        <v>36</v>
      </c>
      <c r="H205" s="87">
        <v>2</v>
      </c>
      <c r="I205" s="87">
        <v>2190</v>
      </c>
      <c r="J205" s="87">
        <f t="shared" ca="1" si="8"/>
        <v>0.12</v>
      </c>
      <c r="K205" s="88">
        <f t="shared" si="7"/>
        <v>4380</v>
      </c>
    </row>
    <row r="206" spans="2:11" x14ac:dyDescent="0.25">
      <c r="B206" s="87">
        <v>204</v>
      </c>
      <c r="C206" s="88" t="s">
        <v>250</v>
      </c>
      <c r="D206" s="87" t="s">
        <v>13</v>
      </c>
      <c r="E206" s="87" t="s">
        <v>28</v>
      </c>
      <c r="F206" s="87" t="s">
        <v>17</v>
      </c>
      <c r="G206" s="87" t="s">
        <v>37</v>
      </c>
      <c r="H206" s="87">
        <v>6</v>
      </c>
      <c r="I206" s="87">
        <v>2337</v>
      </c>
      <c r="J206" s="87">
        <f t="shared" ca="1" si="8"/>
        <v>0</v>
      </c>
      <c r="K206" s="88">
        <f t="shared" si="7"/>
        <v>14022</v>
      </c>
    </row>
    <row r="207" spans="2:11" x14ac:dyDescent="0.25">
      <c r="B207" s="87">
        <v>205</v>
      </c>
      <c r="C207" s="88" t="s">
        <v>251</v>
      </c>
      <c r="D207" s="87" t="s">
        <v>14</v>
      </c>
      <c r="E207" s="87" t="s">
        <v>29</v>
      </c>
      <c r="F207" s="87" t="s">
        <v>18</v>
      </c>
      <c r="G207" s="87" t="s">
        <v>38</v>
      </c>
      <c r="H207" s="87">
        <v>8</v>
      </c>
      <c r="I207" s="87">
        <v>1320</v>
      </c>
      <c r="J207" s="87">
        <f t="shared" ca="1" si="8"/>
        <v>0.12</v>
      </c>
      <c r="K207" s="88">
        <f t="shared" si="7"/>
        <v>10560</v>
      </c>
    </row>
    <row r="208" spans="2:11" x14ac:dyDescent="0.25">
      <c r="B208" s="87">
        <v>206</v>
      </c>
      <c r="C208" s="88" t="s">
        <v>252</v>
      </c>
      <c r="D208" s="87" t="s">
        <v>10</v>
      </c>
      <c r="E208" s="87" t="s">
        <v>30</v>
      </c>
      <c r="F208" s="87" t="s">
        <v>16</v>
      </c>
      <c r="G208" s="87" t="s">
        <v>34</v>
      </c>
      <c r="H208" s="87">
        <v>6</v>
      </c>
      <c r="I208" s="87">
        <v>543</v>
      </c>
      <c r="J208" s="87">
        <f t="shared" ca="1" si="8"/>
        <v>0.14000000000000001</v>
      </c>
      <c r="K208" s="88">
        <f t="shared" si="7"/>
        <v>3258</v>
      </c>
    </row>
    <row r="209" spans="2:11" x14ac:dyDescent="0.25">
      <c r="B209" s="87">
        <v>207</v>
      </c>
      <c r="C209" s="88" t="s">
        <v>253</v>
      </c>
      <c r="D209" s="87" t="s">
        <v>11</v>
      </c>
      <c r="E209" s="87" t="s">
        <v>31</v>
      </c>
      <c r="F209" s="87" t="s">
        <v>17</v>
      </c>
      <c r="G209" s="87" t="s">
        <v>35</v>
      </c>
      <c r="H209" s="87">
        <v>11</v>
      </c>
      <c r="I209" s="87">
        <v>1294</v>
      </c>
      <c r="J209" s="87">
        <f t="shared" ca="1" si="8"/>
        <v>7.0000000000000007E-2</v>
      </c>
      <c r="K209" s="88">
        <f t="shared" si="7"/>
        <v>14234</v>
      </c>
    </row>
    <row r="210" spans="2:11" x14ac:dyDescent="0.25">
      <c r="B210" s="87">
        <v>208</v>
      </c>
      <c r="C210" s="88" t="s">
        <v>254</v>
      </c>
      <c r="D210" s="87" t="s">
        <v>12</v>
      </c>
      <c r="E210" s="87" t="s">
        <v>32</v>
      </c>
      <c r="F210" s="87" t="s">
        <v>18</v>
      </c>
      <c r="G210" s="87" t="s">
        <v>36</v>
      </c>
      <c r="H210" s="87">
        <v>7</v>
      </c>
      <c r="I210" s="87">
        <v>4787</v>
      </c>
      <c r="J210" s="87">
        <f t="shared" ca="1" si="8"/>
        <v>0.01</v>
      </c>
      <c r="K210" s="88">
        <f t="shared" si="7"/>
        <v>33509</v>
      </c>
    </row>
    <row r="211" spans="2:11" x14ac:dyDescent="0.25">
      <c r="B211" s="87">
        <v>209</v>
      </c>
      <c r="C211" s="88" t="s">
        <v>255</v>
      </c>
      <c r="D211" s="87" t="s">
        <v>13</v>
      </c>
      <c r="E211" s="87" t="s">
        <v>33</v>
      </c>
      <c r="F211" s="87" t="s">
        <v>16</v>
      </c>
      <c r="G211" s="87" t="s">
        <v>37</v>
      </c>
      <c r="H211" s="87">
        <v>13</v>
      </c>
      <c r="I211" s="87">
        <v>4819</v>
      </c>
      <c r="J211" s="87">
        <f t="shared" ca="1" si="8"/>
        <v>0.12</v>
      </c>
      <c r="K211" s="88">
        <f t="shared" si="7"/>
        <v>62647</v>
      </c>
    </row>
    <row r="212" spans="2:11" x14ac:dyDescent="0.25">
      <c r="B212" s="87">
        <v>210</v>
      </c>
      <c r="C212" s="88" t="s">
        <v>256</v>
      </c>
      <c r="D212" s="87" t="s">
        <v>14</v>
      </c>
      <c r="E212" s="87" t="s">
        <v>23</v>
      </c>
      <c r="F212" s="87" t="s">
        <v>15</v>
      </c>
      <c r="G212" s="87" t="s">
        <v>38</v>
      </c>
      <c r="H212" s="87">
        <v>6</v>
      </c>
      <c r="I212" s="87">
        <v>4445</v>
      </c>
      <c r="J212" s="87">
        <f t="shared" ca="1" si="8"/>
        <v>0</v>
      </c>
      <c r="K212" s="88">
        <f t="shared" si="7"/>
        <v>26670</v>
      </c>
    </row>
    <row r="213" spans="2:11" x14ac:dyDescent="0.25">
      <c r="B213" s="87">
        <v>211</v>
      </c>
      <c r="C213" s="88" t="s">
        <v>257</v>
      </c>
      <c r="D213" s="87" t="s">
        <v>10</v>
      </c>
      <c r="E213" s="87" t="s">
        <v>24</v>
      </c>
      <c r="F213" s="87" t="s">
        <v>16</v>
      </c>
      <c r="G213" s="87" t="s">
        <v>34</v>
      </c>
      <c r="H213" s="87">
        <v>3</v>
      </c>
      <c r="I213" s="87">
        <v>3456</v>
      </c>
      <c r="J213" s="87">
        <f t="shared" ca="1" si="8"/>
        <v>0.01</v>
      </c>
      <c r="K213" s="88">
        <f t="shared" si="7"/>
        <v>10368</v>
      </c>
    </row>
    <row r="214" spans="2:11" x14ac:dyDescent="0.25">
      <c r="B214" s="87">
        <v>212</v>
      </c>
      <c r="C214" s="88" t="s">
        <v>258</v>
      </c>
      <c r="D214" s="87" t="s">
        <v>11</v>
      </c>
      <c r="E214" s="87" t="s">
        <v>25</v>
      </c>
      <c r="F214" s="87" t="s">
        <v>17</v>
      </c>
      <c r="G214" s="87" t="s">
        <v>35</v>
      </c>
      <c r="H214" s="87">
        <v>2</v>
      </c>
      <c r="I214" s="87">
        <v>4632</v>
      </c>
      <c r="J214" s="87">
        <f t="shared" ca="1" si="8"/>
        <v>0.04</v>
      </c>
      <c r="K214" s="88">
        <f t="shared" si="7"/>
        <v>9264</v>
      </c>
    </row>
    <row r="215" spans="2:11" x14ac:dyDescent="0.25">
      <c r="B215" s="87">
        <v>213</v>
      </c>
      <c r="C215" s="88" t="s">
        <v>259</v>
      </c>
      <c r="D215" s="87" t="s">
        <v>12</v>
      </c>
      <c r="E215" s="87" t="s">
        <v>26</v>
      </c>
      <c r="F215" s="87" t="s">
        <v>18</v>
      </c>
      <c r="G215" s="87" t="s">
        <v>36</v>
      </c>
      <c r="H215" s="87">
        <v>13</v>
      </c>
      <c r="I215" s="87">
        <v>4758</v>
      </c>
      <c r="J215" s="87">
        <f t="shared" ca="1" si="8"/>
        <v>0.02</v>
      </c>
      <c r="K215" s="88">
        <f t="shared" si="7"/>
        <v>61854</v>
      </c>
    </row>
    <row r="216" spans="2:11" x14ac:dyDescent="0.25">
      <c r="B216" s="87">
        <v>214</v>
      </c>
      <c r="C216" s="88" t="s">
        <v>260</v>
      </c>
      <c r="D216" s="87" t="s">
        <v>13</v>
      </c>
      <c r="E216" s="87" t="s">
        <v>27</v>
      </c>
      <c r="F216" s="87" t="s">
        <v>16</v>
      </c>
      <c r="G216" s="87" t="s">
        <v>37</v>
      </c>
      <c r="H216" s="87">
        <v>10</v>
      </c>
      <c r="I216" s="87">
        <v>2847</v>
      </c>
      <c r="J216" s="87">
        <f t="shared" ca="1" si="8"/>
        <v>0.03</v>
      </c>
      <c r="K216" s="88">
        <f t="shared" si="7"/>
        <v>28470</v>
      </c>
    </row>
    <row r="217" spans="2:11" x14ac:dyDescent="0.25">
      <c r="B217" s="87">
        <v>215</v>
      </c>
      <c r="C217" s="88" t="s">
        <v>261</v>
      </c>
      <c r="D217" s="87" t="s">
        <v>14</v>
      </c>
      <c r="E217" s="87" t="s">
        <v>28</v>
      </c>
      <c r="F217" s="87" t="s">
        <v>17</v>
      </c>
      <c r="G217" s="87" t="s">
        <v>38</v>
      </c>
      <c r="H217" s="87">
        <v>12</v>
      </c>
      <c r="I217" s="87">
        <v>960</v>
      </c>
      <c r="J217" s="87">
        <f t="shared" ca="1" si="8"/>
        <v>0.09</v>
      </c>
      <c r="K217" s="88">
        <f t="shared" si="7"/>
        <v>11520</v>
      </c>
    </row>
    <row r="218" spans="2:11" x14ac:dyDescent="0.25">
      <c r="B218" s="87">
        <v>216</v>
      </c>
      <c r="C218" s="88" t="s">
        <v>262</v>
      </c>
      <c r="D218" s="87" t="s">
        <v>10</v>
      </c>
      <c r="E218" s="87" t="s">
        <v>29</v>
      </c>
      <c r="F218" s="87" t="s">
        <v>18</v>
      </c>
      <c r="G218" s="87" t="s">
        <v>34</v>
      </c>
      <c r="H218" s="87">
        <v>4</v>
      </c>
      <c r="I218" s="87">
        <v>4138</v>
      </c>
      <c r="J218" s="87">
        <f t="shared" ca="1" si="8"/>
        <v>0.09</v>
      </c>
      <c r="K218" s="88">
        <f t="shared" si="7"/>
        <v>16552</v>
      </c>
    </row>
    <row r="219" spans="2:11" x14ac:dyDescent="0.25">
      <c r="B219" s="87">
        <v>217</v>
      </c>
      <c r="C219" s="88" t="s">
        <v>263</v>
      </c>
      <c r="D219" s="87" t="s">
        <v>11</v>
      </c>
      <c r="E219" s="87" t="s">
        <v>30</v>
      </c>
      <c r="F219" s="87" t="s">
        <v>16</v>
      </c>
      <c r="G219" s="87" t="s">
        <v>35</v>
      </c>
      <c r="H219" s="87">
        <v>5</v>
      </c>
      <c r="I219" s="87">
        <v>2040</v>
      </c>
      <c r="J219" s="87">
        <f t="shared" ca="1" si="8"/>
        <v>7.0000000000000007E-2</v>
      </c>
      <c r="K219" s="88">
        <f t="shared" si="7"/>
        <v>10200</v>
      </c>
    </row>
    <row r="220" spans="2:11" x14ac:dyDescent="0.25">
      <c r="B220" s="87">
        <v>218</v>
      </c>
      <c r="C220" s="88" t="s">
        <v>264</v>
      </c>
      <c r="D220" s="87" t="s">
        <v>12</v>
      </c>
      <c r="E220" s="87" t="s">
        <v>31</v>
      </c>
      <c r="F220" s="87" t="s">
        <v>17</v>
      </c>
      <c r="G220" s="87" t="s">
        <v>36</v>
      </c>
      <c r="H220" s="87">
        <v>1</v>
      </c>
      <c r="I220" s="87">
        <v>200</v>
      </c>
      <c r="J220" s="87">
        <f t="shared" ca="1" si="8"/>
        <v>0.04</v>
      </c>
      <c r="K220" s="88">
        <f t="shared" si="7"/>
        <v>200</v>
      </c>
    </row>
    <row r="221" spans="2:11" x14ac:dyDescent="0.25">
      <c r="B221" s="87">
        <v>219</v>
      </c>
      <c r="C221" s="88" t="s">
        <v>265</v>
      </c>
      <c r="D221" s="87" t="s">
        <v>13</v>
      </c>
      <c r="E221" s="87" t="s">
        <v>32</v>
      </c>
      <c r="F221" s="87" t="s">
        <v>18</v>
      </c>
      <c r="G221" s="87" t="s">
        <v>37</v>
      </c>
      <c r="H221" s="87">
        <v>5</v>
      </c>
      <c r="I221" s="87">
        <v>2909</v>
      </c>
      <c r="J221" s="87">
        <f t="shared" ca="1" si="8"/>
        <v>0</v>
      </c>
      <c r="K221" s="88">
        <f t="shared" si="7"/>
        <v>14545</v>
      </c>
    </row>
    <row r="222" spans="2:11" x14ac:dyDescent="0.25">
      <c r="B222" s="87">
        <v>220</v>
      </c>
      <c r="C222" s="88" t="s">
        <v>266</v>
      </c>
      <c r="D222" s="87" t="s">
        <v>14</v>
      </c>
      <c r="E222" s="87" t="s">
        <v>33</v>
      </c>
      <c r="F222" s="87" t="s">
        <v>16</v>
      </c>
      <c r="G222" s="87" t="s">
        <v>38</v>
      </c>
      <c r="H222" s="87">
        <v>20</v>
      </c>
      <c r="I222" s="87">
        <v>2824</v>
      </c>
      <c r="J222" s="87">
        <f t="shared" ca="1" si="8"/>
        <v>0.06</v>
      </c>
      <c r="K222" s="88">
        <f t="shared" si="7"/>
        <v>56480</v>
      </c>
    </row>
    <row r="223" spans="2:11" x14ac:dyDescent="0.25">
      <c r="B223" s="87">
        <v>221</v>
      </c>
      <c r="C223" s="88" t="s">
        <v>267</v>
      </c>
      <c r="D223" s="87" t="s">
        <v>10</v>
      </c>
      <c r="E223" s="87" t="s">
        <v>23</v>
      </c>
      <c r="F223" s="87" t="s">
        <v>15</v>
      </c>
      <c r="G223" s="87" t="s">
        <v>34</v>
      </c>
      <c r="H223" s="87">
        <v>12</v>
      </c>
      <c r="I223" s="87">
        <v>4418</v>
      </c>
      <c r="J223" s="87">
        <f t="shared" ca="1" si="8"/>
        <v>0.1</v>
      </c>
      <c r="K223" s="88">
        <f t="shared" si="7"/>
        <v>53016</v>
      </c>
    </row>
    <row r="224" spans="2:11" x14ac:dyDescent="0.25">
      <c r="B224" s="87">
        <v>222</v>
      </c>
      <c r="C224" s="88" t="s">
        <v>268</v>
      </c>
      <c r="D224" s="87" t="s">
        <v>11</v>
      </c>
      <c r="E224" s="87" t="s">
        <v>24</v>
      </c>
      <c r="F224" s="87" t="s">
        <v>16</v>
      </c>
      <c r="G224" s="87" t="s">
        <v>35</v>
      </c>
      <c r="H224" s="87">
        <v>17</v>
      </c>
      <c r="I224" s="87">
        <v>788</v>
      </c>
      <c r="J224" s="87">
        <f t="shared" ca="1" si="8"/>
        <v>0.04</v>
      </c>
      <c r="K224" s="88">
        <f t="shared" si="7"/>
        <v>13396</v>
      </c>
    </row>
    <row r="225" spans="2:11" x14ac:dyDescent="0.25">
      <c r="B225" s="87">
        <v>223</v>
      </c>
      <c r="C225" s="88" t="s">
        <v>269</v>
      </c>
      <c r="D225" s="87" t="s">
        <v>12</v>
      </c>
      <c r="E225" s="87" t="s">
        <v>25</v>
      </c>
      <c r="F225" s="87" t="s">
        <v>17</v>
      </c>
      <c r="G225" s="87" t="s">
        <v>36</v>
      </c>
      <c r="H225" s="87">
        <v>17</v>
      </c>
      <c r="I225" s="87">
        <v>2039</v>
      </c>
      <c r="J225" s="87">
        <f t="shared" ca="1" si="8"/>
        <v>0.09</v>
      </c>
      <c r="K225" s="88">
        <f t="shared" si="7"/>
        <v>34663</v>
      </c>
    </row>
    <row r="226" spans="2:11" x14ac:dyDescent="0.25">
      <c r="B226" s="87">
        <v>224</v>
      </c>
      <c r="C226" s="88" t="s">
        <v>270</v>
      </c>
      <c r="D226" s="87" t="s">
        <v>13</v>
      </c>
      <c r="E226" s="87" t="s">
        <v>26</v>
      </c>
      <c r="F226" s="87" t="s">
        <v>18</v>
      </c>
      <c r="G226" s="87" t="s">
        <v>37</v>
      </c>
      <c r="H226" s="87">
        <v>3</v>
      </c>
      <c r="I226" s="87">
        <v>1563</v>
      </c>
      <c r="J226" s="87">
        <f t="shared" ca="1" si="8"/>
        <v>0.05</v>
      </c>
      <c r="K226" s="88">
        <f t="shared" si="7"/>
        <v>4689</v>
      </c>
    </row>
    <row r="227" spans="2:11" x14ac:dyDescent="0.25">
      <c r="B227" s="87">
        <v>225</v>
      </c>
      <c r="C227" s="88" t="s">
        <v>271</v>
      </c>
      <c r="D227" s="87" t="s">
        <v>14</v>
      </c>
      <c r="E227" s="87" t="s">
        <v>27</v>
      </c>
      <c r="F227" s="87" t="s">
        <v>16</v>
      </c>
      <c r="G227" s="87" t="s">
        <v>38</v>
      </c>
      <c r="H227" s="87">
        <v>17</v>
      </c>
      <c r="I227" s="87">
        <v>1853</v>
      </c>
      <c r="J227" s="87">
        <f t="shared" ca="1" si="8"/>
        <v>0.05</v>
      </c>
      <c r="K227" s="88">
        <f t="shared" si="7"/>
        <v>31501</v>
      </c>
    </row>
    <row r="228" spans="2:11" x14ac:dyDescent="0.25">
      <c r="B228" s="87">
        <v>226</v>
      </c>
      <c r="C228" s="88" t="s">
        <v>272</v>
      </c>
      <c r="D228" s="87" t="s">
        <v>10</v>
      </c>
      <c r="E228" s="87" t="s">
        <v>28</v>
      </c>
      <c r="F228" s="87" t="s">
        <v>17</v>
      </c>
      <c r="G228" s="87" t="s">
        <v>34</v>
      </c>
      <c r="H228" s="87">
        <v>14</v>
      </c>
      <c r="I228" s="87">
        <v>1044</v>
      </c>
      <c r="J228" s="87">
        <f t="shared" ca="1" si="8"/>
        <v>7.0000000000000007E-2</v>
      </c>
      <c r="K228" s="88">
        <f t="shared" si="7"/>
        <v>14616</v>
      </c>
    </row>
    <row r="229" spans="2:11" x14ac:dyDescent="0.25">
      <c r="B229" s="87">
        <v>227</v>
      </c>
      <c r="C229" s="88" t="s">
        <v>273</v>
      </c>
      <c r="D229" s="87" t="s">
        <v>11</v>
      </c>
      <c r="E229" s="87" t="s">
        <v>29</v>
      </c>
      <c r="F229" s="87" t="s">
        <v>18</v>
      </c>
      <c r="G229" s="87" t="s">
        <v>35</v>
      </c>
      <c r="H229" s="87">
        <v>20</v>
      </c>
      <c r="I229" s="87">
        <v>4604</v>
      </c>
      <c r="J229" s="87">
        <f t="shared" ca="1" si="8"/>
        <v>0.1</v>
      </c>
      <c r="K229" s="88">
        <f t="shared" si="7"/>
        <v>92080</v>
      </c>
    </row>
    <row r="230" spans="2:11" x14ac:dyDescent="0.25">
      <c r="B230" s="87">
        <v>228</v>
      </c>
      <c r="C230" s="88" t="s">
        <v>274</v>
      </c>
      <c r="D230" s="87" t="s">
        <v>12</v>
      </c>
      <c r="E230" s="87" t="s">
        <v>30</v>
      </c>
      <c r="F230" s="87" t="s">
        <v>16</v>
      </c>
      <c r="G230" s="87" t="s">
        <v>36</v>
      </c>
      <c r="H230" s="87">
        <v>9</v>
      </c>
      <c r="I230" s="87">
        <v>4335</v>
      </c>
      <c r="J230" s="87">
        <f t="shared" ca="1" si="8"/>
        <v>0.11</v>
      </c>
      <c r="K230" s="88">
        <f t="shared" si="7"/>
        <v>39015</v>
      </c>
    </row>
    <row r="231" spans="2:11" x14ac:dyDescent="0.25">
      <c r="B231" s="87">
        <v>229</v>
      </c>
      <c r="C231" s="88" t="s">
        <v>275</v>
      </c>
      <c r="D231" s="87" t="s">
        <v>13</v>
      </c>
      <c r="E231" s="87" t="s">
        <v>31</v>
      </c>
      <c r="F231" s="87" t="s">
        <v>17</v>
      </c>
      <c r="G231" s="87" t="s">
        <v>37</v>
      </c>
      <c r="H231" s="87">
        <v>1</v>
      </c>
      <c r="I231" s="87">
        <v>3422</v>
      </c>
      <c r="J231" s="87">
        <f t="shared" ca="1" si="8"/>
        <v>0.15</v>
      </c>
      <c r="K231" s="88">
        <f t="shared" si="7"/>
        <v>3422</v>
      </c>
    </row>
    <row r="232" spans="2:11" x14ac:dyDescent="0.25">
      <c r="B232" s="87">
        <v>230</v>
      </c>
      <c r="C232" s="88" t="s">
        <v>276</v>
      </c>
      <c r="D232" s="87" t="s">
        <v>14</v>
      </c>
      <c r="E232" s="87" t="s">
        <v>32</v>
      </c>
      <c r="F232" s="87" t="s">
        <v>18</v>
      </c>
      <c r="G232" s="87" t="s">
        <v>38</v>
      </c>
      <c r="H232" s="87">
        <v>11</v>
      </c>
      <c r="I232" s="87">
        <v>597</v>
      </c>
      <c r="J232" s="87">
        <f t="shared" ca="1" si="8"/>
        <v>0.14000000000000001</v>
      </c>
      <c r="K232" s="88">
        <f t="shared" si="7"/>
        <v>6567</v>
      </c>
    </row>
    <row r="233" spans="2:11" x14ac:dyDescent="0.25">
      <c r="B233" s="87">
        <v>231</v>
      </c>
      <c r="C233" s="88" t="s">
        <v>277</v>
      </c>
      <c r="D233" s="87" t="s">
        <v>10</v>
      </c>
      <c r="E233" s="87" t="s">
        <v>33</v>
      </c>
      <c r="F233" s="87" t="s">
        <v>16</v>
      </c>
      <c r="G233" s="87" t="s">
        <v>34</v>
      </c>
      <c r="H233" s="87">
        <v>5</v>
      </c>
      <c r="I233" s="87">
        <v>2168</v>
      </c>
      <c r="J233" s="87">
        <f t="shared" ca="1" si="8"/>
        <v>0.1</v>
      </c>
      <c r="K233" s="88">
        <f t="shared" si="7"/>
        <v>10840</v>
      </c>
    </row>
    <row r="234" spans="2:11" x14ac:dyDescent="0.25">
      <c r="B234" s="87">
        <v>232</v>
      </c>
      <c r="C234" s="88" t="s">
        <v>278</v>
      </c>
      <c r="D234" s="87" t="s">
        <v>11</v>
      </c>
      <c r="E234" s="87" t="s">
        <v>23</v>
      </c>
      <c r="F234" s="87" t="s">
        <v>15</v>
      </c>
      <c r="G234" s="87" t="s">
        <v>35</v>
      </c>
      <c r="H234" s="87">
        <v>7</v>
      </c>
      <c r="I234" s="87">
        <v>486</v>
      </c>
      <c r="J234" s="87">
        <f t="shared" ca="1" si="8"/>
        <v>0.14000000000000001</v>
      </c>
      <c r="K234" s="88">
        <f t="shared" si="7"/>
        <v>3402</v>
      </c>
    </row>
    <row r="235" spans="2:11" x14ac:dyDescent="0.25">
      <c r="B235" s="87">
        <v>233</v>
      </c>
      <c r="C235" s="88" t="s">
        <v>279</v>
      </c>
      <c r="D235" s="87" t="s">
        <v>12</v>
      </c>
      <c r="E235" s="87" t="s">
        <v>24</v>
      </c>
      <c r="F235" s="87" t="s">
        <v>16</v>
      </c>
      <c r="G235" s="87" t="s">
        <v>36</v>
      </c>
      <c r="H235" s="87">
        <v>8</v>
      </c>
      <c r="I235" s="87">
        <v>2319</v>
      </c>
      <c r="J235" s="87">
        <f t="shared" ca="1" si="8"/>
        <v>0.06</v>
      </c>
      <c r="K235" s="88">
        <f t="shared" si="7"/>
        <v>18552</v>
      </c>
    </row>
    <row r="236" spans="2:11" x14ac:dyDescent="0.25">
      <c r="B236" s="87">
        <v>234</v>
      </c>
      <c r="C236" s="88" t="s">
        <v>280</v>
      </c>
      <c r="D236" s="87" t="s">
        <v>13</v>
      </c>
      <c r="E236" s="87" t="s">
        <v>25</v>
      </c>
      <c r="F236" s="87" t="s">
        <v>17</v>
      </c>
      <c r="G236" s="87" t="s">
        <v>37</v>
      </c>
      <c r="H236" s="87">
        <v>17</v>
      </c>
      <c r="I236" s="87">
        <v>400</v>
      </c>
      <c r="J236" s="87">
        <f t="shared" ca="1" si="8"/>
        <v>0.04</v>
      </c>
      <c r="K236" s="88">
        <f t="shared" si="7"/>
        <v>6800</v>
      </c>
    </row>
    <row r="237" spans="2:11" x14ac:dyDescent="0.25">
      <c r="B237" s="87">
        <v>235</v>
      </c>
      <c r="C237" s="88" t="s">
        <v>281</v>
      </c>
      <c r="D237" s="87" t="s">
        <v>14</v>
      </c>
      <c r="E237" s="87" t="s">
        <v>26</v>
      </c>
      <c r="F237" s="87" t="s">
        <v>18</v>
      </c>
      <c r="G237" s="87" t="s">
        <v>38</v>
      </c>
      <c r="H237" s="87">
        <v>10</v>
      </c>
      <c r="I237" s="87">
        <v>2537</v>
      </c>
      <c r="J237" s="87">
        <f t="shared" ca="1" si="8"/>
        <v>0.03</v>
      </c>
      <c r="K237" s="88">
        <f t="shared" si="7"/>
        <v>25370</v>
      </c>
    </row>
    <row r="238" spans="2:11" x14ac:dyDescent="0.25">
      <c r="B238" s="87">
        <v>236</v>
      </c>
      <c r="C238" s="88" t="s">
        <v>282</v>
      </c>
      <c r="D238" s="87" t="s">
        <v>10</v>
      </c>
      <c r="E238" s="87" t="s">
        <v>27</v>
      </c>
      <c r="F238" s="87" t="s">
        <v>16</v>
      </c>
      <c r="G238" s="87" t="s">
        <v>34</v>
      </c>
      <c r="H238" s="87">
        <v>16</v>
      </c>
      <c r="I238" s="87">
        <v>1438</v>
      </c>
      <c r="J238" s="87">
        <f t="shared" ca="1" si="8"/>
        <v>0.09</v>
      </c>
      <c r="K238" s="88">
        <f t="shared" si="7"/>
        <v>23008</v>
      </c>
    </row>
    <row r="239" spans="2:11" x14ac:dyDescent="0.25">
      <c r="B239" s="87">
        <v>237</v>
      </c>
      <c r="C239" s="88" t="s">
        <v>283</v>
      </c>
      <c r="D239" s="87" t="s">
        <v>11</v>
      </c>
      <c r="E239" s="87" t="s">
        <v>28</v>
      </c>
      <c r="F239" s="87" t="s">
        <v>17</v>
      </c>
      <c r="G239" s="87" t="s">
        <v>35</v>
      </c>
      <c r="H239" s="87">
        <v>5</v>
      </c>
      <c r="I239" s="87">
        <v>4145</v>
      </c>
      <c r="J239" s="87">
        <f t="shared" ca="1" si="8"/>
        <v>0.08</v>
      </c>
      <c r="K239" s="88">
        <f t="shared" si="7"/>
        <v>20725</v>
      </c>
    </row>
    <row r="240" spans="2:11" x14ac:dyDescent="0.25">
      <c r="B240" s="87">
        <v>238</v>
      </c>
      <c r="C240" s="88" t="s">
        <v>284</v>
      </c>
      <c r="D240" s="87" t="s">
        <v>12</v>
      </c>
      <c r="E240" s="87" t="s">
        <v>29</v>
      </c>
      <c r="F240" s="87" t="s">
        <v>18</v>
      </c>
      <c r="G240" s="87" t="s">
        <v>36</v>
      </c>
      <c r="H240" s="87">
        <v>1</v>
      </c>
      <c r="I240" s="87">
        <v>959</v>
      </c>
      <c r="J240" s="87">
        <f t="shared" ca="1" si="8"/>
        <v>7.0000000000000007E-2</v>
      </c>
      <c r="K240" s="88">
        <f t="shared" si="7"/>
        <v>959</v>
      </c>
    </row>
    <row r="241" spans="2:11" x14ac:dyDescent="0.25">
      <c r="B241" s="87">
        <v>239</v>
      </c>
      <c r="C241" s="88" t="s">
        <v>285</v>
      </c>
      <c r="D241" s="87" t="s">
        <v>13</v>
      </c>
      <c r="E241" s="87" t="s">
        <v>30</v>
      </c>
      <c r="F241" s="87" t="s">
        <v>16</v>
      </c>
      <c r="G241" s="87" t="s">
        <v>37</v>
      </c>
      <c r="H241" s="87">
        <v>4</v>
      </c>
      <c r="I241" s="87">
        <v>1352</v>
      </c>
      <c r="J241" s="87">
        <f t="shared" ca="1" si="8"/>
        <v>0.14000000000000001</v>
      </c>
      <c r="K241" s="88">
        <f t="shared" si="7"/>
        <v>5408</v>
      </c>
    </row>
    <row r="242" spans="2:11" x14ac:dyDescent="0.25">
      <c r="B242" s="87">
        <v>240</v>
      </c>
      <c r="C242" s="88" t="s">
        <v>286</v>
      </c>
      <c r="D242" s="87" t="s">
        <v>14</v>
      </c>
      <c r="E242" s="87" t="s">
        <v>31</v>
      </c>
      <c r="F242" s="87" t="s">
        <v>17</v>
      </c>
      <c r="G242" s="87" t="s">
        <v>38</v>
      </c>
      <c r="H242" s="87">
        <v>10</v>
      </c>
      <c r="I242" s="87">
        <v>1358</v>
      </c>
      <c r="J242" s="87">
        <f t="shared" ca="1" si="8"/>
        <v>0.13</v>
      </c>
      <c r="K242" s="88">
        <f t="shared" si="7"/>
        <v>13580</v>
      </c>
    </row>
    <row r="243" spans="2:11" x14ac:dyDescent="0.25">
      <c r="B243" s="87">
        <v>241</v>
      </c>
      <c r="C243" s="88" t="s">
        <v>287</v>
      </c>
      <c r="D243" s="87" t="s">
        <v>10</v>
      </c>
      <c r="E243" s="87" t="s">
        <v>32</v>
      </c>
      <c r="F243" s="87" t="s">
        <v>18</v>
      </c>
      <c r="G243" s="87" t="s">
        <v>34</v>
      </c>
      <c r="H243" s="87">
        <v>6</v>
      </c>
      <c r="I243" s="87">
        <v>4875</v>
      </c>
      <c r="J243" s="87">
        <f t="shared" ca="1" si="8"/>
        <v>0.05</v>
      </c>
      <c r="K243" s="88">
        <f t="shared" si="7"/>
        <v>29250</v>
      </c>
    </row>
    <row r="244" spans="2:11" x14ac:dyDescent="0.25">
      <c r="B244" s="87">
        <v>242</v>
      </c>
      <c r="C244" s="88" t="s">
        <v>288</v>
      </c>
      <c r="D244" s="87" t="s">
        <v>11</v>
      </c>
      <c r="E244" s="87" t="s">
        <v>33</v>
      </c>
      <c r="F244" s="87" t="s">
        <v>16</v>
      </c>
      <c r="G244" s="87" t="s">
        <v>35</v>
      </c>
      <c r="H244" s="87">
        <v>13</v>
      </c>
      <c r="I244" s="87">
        <v>1896</v>
      </c>
      <c r="J244" s="87">
        <f t="shared" ca="1" si="8"/>
        <v>0.01</v>
      </c>
      <c r="K244" s="88">
        <f t="shared" si="7"/>
        <v>24648</v>
      </c>
    </row>
    <row r="245" spans="2:11" x14ac:dyDescent="0.25">
      <c r="B245" s="87">
        <v>243</v>
      </c>
      <c r="C245" s="88" t="s">
        <v>289</v>
      </c>
      <c r="D245" s="87" t="s">
        <v>12</v>
      </c>
      <c r="E245" s="87" t="s">
        <v>23</v>
      </c>
      <c r="F245" s="87" t="s">
        <v>15</v>
      </c>
      <c r="G245" s="87" t="s">
        <v>36</v>
      </c>
      <c r="H245" s="87">
        <v>12</v>
      </c>
      <c r="I245" s="87">
        <v>3653</v>
      </c>
      <c r="J245" s="87">
        <f t="shared" ca="1" si="8"/>
        <v>0.08</v>
      </c>
      <c r="K245" s="88">
        <f t="shared" si="7"/>
        <v>43836</v>
      </c>
    </row>
    <row r="246" spans="2:11" x14ac:dyDescent="0.25">
      <c r="B246" s="87">
        <v>244</v>
      </c>
      <c r="C246" s="88" t="s">
        <v>290</v>
      </c>
      <c r="D246" s="87" t="s">
        <v>13</v>
      </c>
      <c r="E246" s="87" t="s">
        <v>24</v>
      </c>
      <c r="F246" s="87" t="s">
        <v>16</v>
      </c>
      <c r="G246" s="87" t="s">
        <v>37</v>
      </c>
      <c r="H246" s="87">
        <v>17</v>
      </c>
      <c r="I246" s="87">
        <v>724</v>
      </c>
      <c r="J246" s="87">
        <f t="shared" ca="1" si="8"/>
        <v>0.13</v>
      </c>
      <c r="K246" s="88">
        <f t="shared" si="7"/>
        <v>12308</v>
      </c>
    </row>
    <row r="247" spans="2:11" x14ac:dyDescent="0.25">
      <c r="B247" s="87">
        <v>245</v>
      </c>
      <c r="C247" s="88" t="s">
        <v>291</v>
      </c>
      <c r="D247" s="87" t="s">
        <v>14</v>
      </c>
      <c r="E247" s="87" t="s">
        <v>25</v>
      </c>
      <c r="F247" s="87" t="s">
        <v>17</v>
      </c>
      <c r="G247" s="87" t="s">
        <v>38</v>
      </c>
      <c r="H247" s="87">
        <v>19</v>
      </c>
      <c r="I247" s="87">
        <v>3326</v>
      </c>
      <c r="J247" s="87">
        <f t="shared" ca="1" si="8"/>
        <v>0.01</v>
      </c>
      <c r="K247" s="88">
        <f t="shared" si="7"/>
        <v>63194</v>
      </c>
    </row>
    <row r="248" spans="2:11" x14ac:dyDescent="0.25">
      <c r="B248" s="87">
        <v>246</v>
      </c>
      <c r="C248" s="88" t="s">
        <v>292</v>
      </c>
      <c r="D248" s="87" t="s">
        <v>10</v>
      </c>
      <c r="E248" s="87" t="s">
        <v>26</v>
      </c>
      <c r="F248" s="87" t="s">
        <v>18</v>
      </c>
      <c r="G248" s="87" t="s">
        <v>34</v>
      </c>
      <c r="H248" s="87">
        <v>20</v>
      </c>
      <c r="I248" s="87">
        <v>1163</v>
      </c>
      <c r="J248" s="87">
        <f t="shared" ca="1" si="8"/>
        <v>0.1</v>
      </c>
      <c r="K248" s="88">
        <f t="shared" si="7"/>
        <v>23260</v>
      </c>
    </row>
    <row r="249" spans="2:11" x14ac:dyDescent="0.25">
      <c r="B249" s="87">
        <v>247</v>
      </c>
      <c r="C249" s="88" t="s">
        <v>293</v>
      </c>
      <c r="D249" s="87" t="s">
        <v>11</v>
      </c>
      <c r="E249" s="87" t="s">
        <v>27</v>
      </c>
      <c r="F249" s="87" t="s">
        <v>16</v>
      </c>
      <c r="G249" s="87" t="s">
        <v>35</v>
      </c>
      <c r="H249" s="87">
        <v>20</v>
      </c>
      <c r="I249" s="87">
        <v>4844</v>
      </c>
      <c r="J249" s="87">
        <f t="shared" ca="1" si="8"/>
        <v>0.11</v>
      </c>
      <c r="K249" s="88">
        <f t="shared" si="7"/>
        <v>96880</v>
      </c>
    </row>
    <row r="250" spans="2:11" x14ac:dyDescent="0.25">
      <c r="B250" s="87">
        <v>248</v>
      </c>
      <c r="C250" s="88" t="s">
        <v>294</v>
      </c>
      <c r="D250" s="87" t="s">
        <v>12</v>
      </c>
      <c r="E250" s="87" t="s">
        <v>28</v>
      </c>
      <c r="F250" s="87" t="s">
        <v>17</v>
      </c>
      <c r="G250" s="87" t="s">
        <v>36</v>
      </c>
      <c r="H250" s="87">
        <v>18</v>
      </c>
      <c r="I250" s="87">
        <v>3115</v>
      </c>
      <c r="J250" s="87">
        <f t="shared" ca="1" si="8"/>
        <v>0.03</v>
      </c>
      <c r="K250" s="88">
        <f t="shared" si="7"/>
        <v>56070</v>
      </c>
    </row>
    <row r="251" spans="2:11" x14ac:dyDescent="0.25">
      <c r="B251" s="87">
        <v>249</v>
      </c>
      <c r="C251" s="88" t="s">
        <v>295</v>
      </c>
      <c r="D251" s="87" t="s">
        <v>13</v>
      </c>
      <c r="E251" s="87" t="s">
        <v>29</v>
      </c>
      <c r="F251" s="87" t="s">
        <v>18</v>
      </c>
      <c r="G251" s="87" t="s">
        <v>37</v>
      </c>
      <c r="H251" s="87">
        <v>14</v>
      </c>
      <c r="I251" s="87">
        <v>1868</v>
      </c>
      <c r="J251" s="87">
        <f t="shared" ca="1" si="8"/>
        <v>0</v>
      </c>
      <c r="K251" s="88">
        <f t="shared" si="7"/>
        <v>26152</v>
      </c>
    </row>
    <row r="252" spans="2:11" x14ac:dyDescent="0.25">
      <c r="B252" s="87">
        <v>250</v>
      </c>
      <c r="C252" s="88" t="s">
        <v>296</v>
      </c>
      <c r="D252" s="87" t="s">
        <v>14</v>
      </c>
      <c r="E252" s="87" t="s">
        <v>30</v>
      </c>
      <c r="F252" s="87" t="s">
        <v>16</v>
      </c>
      <c r="G252" s="87" t="s">
        <v>38</v>
      </c>
      <c r="H252" s="87">
        <v>7</v>
      </c>
      <c r="I252" s="87">
        <v>1026</v>
      </c>
      <c r="J252" s="87">
        <f t="shared" ca="1" si="8"/>
        <v>0.09</v>
      </c>
      <c r="K252" s="88">
        <f t="shared" si="7"/>
        <v>7182</v>
      </c>
    </row>
    <row r="253" spans="2:11" x14ac:dyDescent="0.25">
      <c r="B253" s="87">
        <v>251</v>
      </c>
      <c r="C253" s="88" t="s">
        <v>297</v>
      </c>
      <c r="D253" s="87" t="s">
        <v>10</v>
      </c>
      <c r="E253" s="87" t="s">
        <v>31</v>
      </c>
      <c r="F253" s="87" t="s">
        <v>17</v>
      </c>
      <c r="G253" s="87" t="s">
        <v>34</v>
      </c>
      <c r="H253" s="87">
        <v>3</v>
      </c>
      <c r="I253" s="87">
        <v>996</v>
      </c>
      <c r="J253" s="87">
        <f t="shared" ca="1" si="8"/>
        <v>0.08</v>
      </c>
      <c r="K253" s="88">
        <f t="shared" si="7"/>
        <v>2988</v>
      </c>
    </row>
    <row r="254" spans="2:11" x14ac:dyDescent="0.25">
      <c r="B254" s="87">
        <v>252</v>
      </c>
      <c r="C254" s="88" t="s">
        <v>298</v>
      </c>
      <c r="D254" s="87" t="s">
        <v>11</v>
      </c>
      <c r="E254" s="87" t="s">
        <v>32</v>
      </c>
      <c r="F254" s="87" t="s">
        <v>18</v>
      </c>
      <c r="G254" s="87" t="s">
        <v>35</v>
      </c>
      <c r="H254" s="87">
        <v>9</v>
      </c>
      <c r="I254" s="87">
        <v>917</v>
      </c>
      <c r="J254" s="87">
        <f t="shared" ca="1" si="8"/>
        <v>0.15</v>
      </c>
      <c r="K254" s="88">
        <f t="shared" si="7"/>
        <v>8253</v>
      </c>
    </row>
    <row r="255" spans="2:11" x14ac:dyDescent="0.25">
      <c r="B255" s="87">
        <v>253</v>
      </c>
      <c r="C255" s="88" t="s">
        <v>299</v>
      </c>
      <c r="D255" s="87" t="s">
        <v>12</v>
      </c>
      <c r="E255" s="87" t="s">
        <v>33</v>
      </c>
      <c r="F255" s="87" t="s">
        <v>16</v>
      </c>
      <c r="G255" s="87" t="s">
        <v>36</v>
      </c>
      <c r="H255" s="87">
        <v>7</v>
      </c>
      <c r="I255" s="87">
        <v>1866</v>
      </c>
      <c r="J255" s="87">
        <f t="shared" ca="1" si="8"/>
        <v>0.12</v>
      </c>
      <c r="K255" s="88">
        <f t="shared" si="7"/>
        <v>13062</v>
      </c>
    </row>
    <row r="256" spans="2:11" x14ac:dyDescent="0.25">
      <c r="B256" s="87">
        <v>254</v>
      </c>
      <c r="C256" s="88" t="s">
        <v>300</v>
      </c>
      <c r="D256" s="87" t="s">
        <v>13</v>
      </c>
      <c r="E256" s="87" t="s">
        <v>23</v>
      </c>
      <c r="F256" s="87" t="s">
        <v>15</v>
      </c>
      <c r="G256" s="87" t="s">
        <v>37</v>
      </c>
      <c r="H256" s="87">
        <v>3</v>
      </c>
      <c r="I256" s="87">
        <v>3263</v>
      </c>
      <c r="J256" s="87">
        <f t="shared" ca="1" si="8"/>
        <v>0.08</v>
      </c>
      <c r="K256" s="88">
        <f t="shared" si="7"/>
        <v>9789</v>
      </c>
    </row>
    <row r="257" spans="2:11" x14ac:dyDescent="0.25">
      <c r="B257" s="87">
        <v>255</v>
      </c>
      <c r="C257" s="88" t="s">
        <v>301</v>
      </c>
      <c r="D257" s="87" t="s">
        <v>14</v>
      </c>
      <c r="E257" s="87" t="s">
        <v>24</v>
      </c>
      <c r="F257" s="87" t="s">
        <v>16</v>
      </c>
      <c r="G257" s="87" t="s">
        <v>38</v>
      </c>
      <c r="H257" s="87">
        <v>10</v>
      </c>
      <c r="I257" s="87">
        <v>1980</v>
      </c>
      <c r="J257" s="87">
        <f t="shared" ca="1" si="8"/>
        <v>0.14000000000000001</v>
      </c>
      <c r="K257" s="88">
        <f t="shared" si="7"/>
        <v>19800</v>
      </c>
    </row>
    <row r="258" spans="2:11" x14ac:dyDescent="0.25">
      <c r="B258" s="87">
        <v>256</v>
      </c>
      <c r="C258" s="88" t="s">
        <v>302</v>
      </c>
      <c r="D258" s="87" t="s">
        <v>10</v>
      </c>
      <c r="E258" s="87" t="s">
        <v>25</v>
      </c>
      <c r="F258" s="87" t="s">
        <v>17</v>
      </c>
      <c r="G258" s="87" t="s">
        <v>34</v>
      </c>
      <c r="H258" s="87">
        <v>7</v>
      </c>
      <c r="I258" s="87">
        <v>285</v>
      </c>
      <c r="J258" s="87">
        <f t="shared" ca="1" si="8"/>
        <v>0.15</v>
      </c>
      <c r="K258" s="88">
        <f t="shared" si="7"/>
        <v>1995</v>
      </c>
    </row>
    <row r="259" spans="2:11" x14ac:dyDescent="0.25">
      <c r="B259" s="87">
        <v>257</v>
      </c>
      <c r="C259" s="88" t="s">
        <v>303</v>
      </c>
      <c r="D259" s="87" t="s">
        <v>11</v>
      </c>
      <c r="E259" s="87" t="s">
        <v>26</v>
      </c>
      <c r="F259" s="87" t="s">
        <v>18</v>
      </c>
      <c r="G259" s="87" t="s">
        <v>35</v>
      </c>
      <c r="H259" s="87">
        <v>1</v>
      </c>
      <c r="I259" s="87">
        <v>3864</v>
      </c>
      <c r="J259" s="87">
        <f t="shared" ca="1" si="8"/>
        <v>0</v>
      </c>
      <c r="K259" s="88">
        <f t="shared" si="7"/>
        <v>3864</v>
      </c>
    </row>
    <row r="260" spans="2:11" x14ac:dyDescent="0.25">
      <c r="B260" s="87">
        <v>258</v>
      </c>
      <c r="C260" s="88" t="s">
        <v>304</v>
      </c>
      <c r="D260" s="87" t="s">
        <v>12</v>
      </c>
      <c r="E260" s="87" t="s">
        <v>27</v>
      </c>
      <c r="F260" s="87" t="s">
        <v>16</v>
      </c>
      <c r="G260" s="87" t="s">
        <v>36</v>
      </c>
      <c r="H260" s="87">
        <v>8</v>
      </c>
      <c r="I260" s="87">
        <v>4294</v>
      </c>
      <c r="J260" s="87">
        <f t="shared" ca="1" si="8"/>
        <v>0.14000000000000001</v>
      </c>
      <c r="K260" s="88">
        <f t="shared" si="7"/>
        <v>34352</v>
      </c>
    </row>
    <row r="261" spans="2:11" x14ac:dyDescent="0.25">
      <c r="B261" s="87">
        <v>259</v>
      </c>
      <c r="C261" s="88" t="s">
        <v>305</v>
      </c>
      <c r="D261" s="87" t="s">
        <v>13</v>
      </c>
      <c r="E261" s="87" t="s">
        <v>28</v>
      </c>
      <c r="F261" s="87" t="s">
        <v>17</v>
      </c>
      <c r="G261" s="87" t="s">
        <v>37</v>
      </c>
      <c r="H261" s="87">
        <v>19</v>
      </c>
      <c r="I261" s="87">
        <v>4576</v>
      </c>
      <c r="J261" s="87">
        <f t="shared" ca="1" si="8"/>
        <v>0.06</v>
      </c>
      <c r="K261" s="88">
        <f t="shared" ref="K261:K324" si="9">H261*I261</f>
        <v>86944</v>
      </c>
    </row>
    <row r="262" spans="2:11" x14ac:dyDescent="0.25">
      <c r="B262" s="87">
        <v>260</v>
      </c>
      <c r="C262" s="88" t="s">
        <v>306</v>
      </c>
      <c r="D262" s="87" t="s">
        <v>14</v>
      </c>
      <c r="E262" s="87" t="s">
        <v>29</v>
      </c>
      <c r="F262" s="87" t="s">
        <v>18</v>
      </c>
      <c r="G262" s="87" t="s">
        <v>38</v>
      </c>
      <c r="H262" s="87">
        <v>13</v>
      </c>
      <c r="I262" s="87">
        <v>3796</v>
      </c>
      <c r="J262" s="87">
        <f t="shared" ca="1" si="8"/>
        <v>0.01</v>
      </c>
      <c r="K262" s="88">
        <f t="shared" si="9"/>
        <v>49348</v>
      </c>
    </row>
    <row r="263" spans="2:11" x14ac:dyDescent="0.25">
      <c r="B263" s="87">
        <v>261</v>
      </c>
      <c r="C263" s="88" t="s">
        <v>307</v>
      </c>
      <c r="D263" s="87" t="s">
        <v>10</v>
      </c>
      <c r="E263" s="87" t="s">
        <v>30</v>
      </c>
      <c r="F263" s="87" t="s">
        <v>16</v>
      </c>
      <c r="G263" s="87" t="s">
        <v>34</v>
      </c>
      <c r="H263" s="87">
        <v>18</v>
      </c>
      <c r="I263" s="87">
        <v>1273</v>
      </c>
      <c r="J263" s="87">
        <f t="shared" ca="1" si="8"/>
        <v>0.13</v>
      </c>
      <c r="K263" s="88">
        <f t="shared" si="9"/>
        <v>22914</v>
      </c>
    </row>
    <row r="264" spans="2:11" x14ac:dyDescent="0.25">
      <c r="B264" s="87">
        <v>262</v>
      </c>
      <c r="C264" s="88" t="s">
        <v>308</v>
      </c>
      <c r="D264" s="87" t="s">
        <v>11</v>
      </c>
      <c r="E264" s="87" t="s">
        <v>31</v>
      </c>
      <c r="F264" s="87" t="s">
        <v>17</v>
      </c>
      <c r="G264" s="87" t="s">
        <v>35</v>
      </c>
      <c r="H264" s="87">
        <v>20</v>
      </c>
      <c r="I264" s="87">
        <v>4590</v>
      </c>
      <c r="J264" s="87">
        <f t="shared" ca="1" si="8"/>
        <v>0.14000000000000001</v>
      </c>
      <c r="K264" s="88">
        <f t="shared" si="9"/>
        <v>91800</v>
      </c>
    </row>
    <row r="265" spans="2:11" x14ac:dyDescent="0.25">
      <c r="B265" s="87">
        <v>263</v>
      </c>
      <c r="C265" s="88" t="s">
        <v>309</v>
      </c>
      <c r="D265" s="87" t="s">
        <v>12</v>
      </c>
      <c r="E265" s="87" t="s">
        <v>32</v>
      </c>
      <c r="F265" s="87" t="s">
        <v>18</v>
      </c>
      <c r="G265" s="87" t="s">
        <v>36</v>
      </c>
      <c r="H265" s="87">
        <v>10</v>
      </c>
      <c r="I265" s="87">
        <v>4137</v>
      </c>
      <c r="J265" s="87">
        <f t="shared" ref="J265:J328" ca="1" si="10">RANDBETWEEN(0, 15) / 100</f>
        <v>0.05</v>
      </c>
      <c r="K265" s="88">
        <f t="shared" si="9"/>
        <v>41370</v>
      </c>
    </row>
    <row r="266" spans="2:11" x14ac:dyDescent="0.25">
      <c r="B266" s="87">
        <v>264</v>
      </c>
      <c r="C266" s="88" t="s">
        <v>310</v>
      </c>
      <c r="D266" s="87" t="s">
        <v>13</v>
      </c>
      <c r="E266" s="87" t="s">
        <v>33</v>
      </c>
      <c r="F266" s="87" t="s">
        <v>16</v>
      </c>
      <c r="G266" s="87" t="s">
        <v>37</v>
      </c>
      <c r="H266" s="87">
        <v>15</v>
      </c>
      <c r="I266" s="87">
        <v>509</v>
      </c>
      <c r="J266" s="87">
        <f t="shared" ca="1" si="10"/>
        <v>0.04</v>
      </c>
      <c r="K266" s="88">
        <f t="shared" si="9"/>
        <v>7635</v>
      </c>
    </row>
    <row r="267" spans="2:11" x14ac:dyDescent="0.25">
      <c r="B267" s="87">
        <v>265</v>
      </c>
      <c r="C267" s="88" t="s">
        <v>311</v>
      </c>
      <c r="D267" s="87" t="s">
        <v>14</v>
      </c>
      <c r="E267" s="87" t="s">
        <v>23</v>
      </c>
      <c r="F267" s="87" t="s">
        <v>15</v>
      </c>
      <c r="G267" s="87" t="s">
        <v>38</v>
      </c>
      <c r="H267" s="87">
        <v>14</v>
      </c>
      <c r="I267" s="87">
        <v>3052</v>
      </c>
      <c r="J267" s="87">
        <f t="shared" ca="1" si="10"/>
        <v>0.04</v>
      </c>
      <c r="K267" s="88">
        <f t="shared" si="9"/>
        <v>42728</v>
      </c>
    </row>
    <row r="268" spans="2:11" x14ac:dyDescent="0.25">
      <c r="B268" s="87">
        <v>266</v>
      </c>
      <c r="C268" s="88" t="s">
        <v>312</v>
      </c>
      <c r="D268" s="87" t="s">
        <v>10</v>
      </c>
      <c r="E268" s="87" t="s">
        <v>24</v>
      </c>
      <c r="F268" s="87" t="s">
        <v>16</v>
      </c>
      <c r="G268" s="87" t="s">
        <v>34</v>
      </c>
      <c r="H268" s="87">
        <v>16</v>
      </c>
      <c r="I268" s="87">
        <v>3386</v>
      </c>
      <c r="J268" s="87">
        <f t="shared" ca="1" si="10"/>
        <v>0.1</v>
      </c>
      <c r="K268" s="88">
        <f t="shared" si="9"/>
        <v>54176</v>
      </c>
    </row>
    <row r="269" spans="2:11" x14ac:dyDescent="0.25">
      <c r="B269" s="87">
        <v>267</v>
      </c>
      <c r="C269" s="88" t="s">
        <v>313</v>
      </c>
      <c r="D269" s="87" t="s">
        <v>11</v>
      </c>
      <c r="E269" s="87" t="s">
        <v>25</v>
      </c>
      <c r="F269" s="87" t="s">
        <v>17</v>
      </c>
      <c r="G269" s="87" t="s">
        <v>35</v>
      </c>
      <c r="H269" s="87">
        <v>10</v>
      </c>
      <c r="I269" s="87">
        <v>3875</v>
      </c>
      <c r="J269" s="87">
        <f t="shared" ca="1" si="10"/>
        <v>0.06</v>
      </c>
      <c r="K269" s="88">
        <f t="shared" si="9"/>
        <v>38750</v>
      </c>
    </row>
    <row r="270" spans="2:11" x14ac:dyDescent="0.25">
      <c r="B270" s="87">
        <v>268</v>
      </c>
      <c r="C270" s="88" t="s">
        <v>314</v>
      </c>
      <c r="D270" s="87" t="s">
        <v>12</v>
      </c>
      <c r="E270" s="87" t="s">
        <v>26</v>
      </c>
      <c r="F270" s="87" t="s">
        <v>18</v>
      </c>
      <c r="G270" s="87" t="s">
        <v>36</v>
      </c>
      <c r="H270" s="87">
        <v>20</v>
      </c>
      <c r="I270" s="87">
        <v>1298</v>
      </c>
      <c r="J270" s="87">
        <f t="shared" ca="1" si="10"/>
        <v>0.06</v>
      </c>
      <c r="K270" s="88">
        <f t="shared" si="9"/>
        <v>25960</v>
      </c>
    </row>
    <row r="271" spans="2:11" x14ac:dyDescent="0.25">
      <c r="B271" s="87">
        <v>269</v>
      </c>
      <c r="C271" s="88" t="s">
        <v>315</v>
      </c>
      <c r="D271" s="87" t="s">
        <v>13</v>
      </c>
      <c r="E271" s="87" t="s">
        <v>27</v>
      </c>
      <c r="F271" s="87" t="s">
        <v>16</v>
      </c>
      <c r="G271" s="87" t="s">
        <v>37</v>
      </c>
      <c r="H271" s="87">
        <v>9</v>
      </c>
      <c r="I271" s="87">
        <v>1492</v>
      </c>
      <c r="J271" s="87">
        <f t="shared" ca="1" si="10"/>
        <v>0.01</v>
      </c>
      <c r="K271" s="88">
        <f t="shared" si="9"/>
        <v>13428</v>
      </c>
    </row>
    <row r="272" spans="2:11" x14ac:dyDescent="0.25">
      <c r="B272" s="87">
        <v>270</v>
      </c>
      <c r="C272" s="88" t="s">
        <v>316</v>
      </c>
      <c r="D272" s="87" t="s">
        <v>14</v>
      </c>
      <c r="E272" s="87" t="s">
        <v>28</v>
      </c>
      <c r="F272" s="87" t="s">
        <v>17</v>
      </c>
      <c r="G272" s="87" t="s">
        <v>38</v>
      </c>
      <c r="H272" s="87">
        <v>19</v>
      </c>
      <c r="I272" s="87">
        <v>4648</v>
      </c>
      <c r="J272" s="87">
        <f t="shared" ca="1" si="10"/>
        <v>0.08</v>
      </c>
      <c r="K272" s="88">
        <f t="shared" si="9"/>
        <v>88312</v>
      </c>
    </row>
    <row r="273" spans="2:11" x14ac:dyDescent="0.25">
      <c r="B273" s="87">
        <v>271</v>
      </c>
      <c r="C273" s="88" t="s">
        <v>317</v>
      </c>
      <c r="D273" s="87" t="s">
        <v>10</v>
      </c>
      <c r="E273" s="87" t="s">
        <v>29</v>
      </c>
      <c r="F273" s="87" t="s">
        <v>18</v>
      </c>
      <c r="G273" s="87" t="s">
        <v>34</v>
      </c>
      <c r="H273" s="87">
        <v>7</v>
      </c>
      <c r="I273" s="87">
        <v>4744</v>
      </c>
      <c r="J273" s="87">
        <f t="shared" ca="1" si="10"/>
        <v>0.06</v>
      </c>
      <c r="K273" s="88">
        <f t="shared" si="9"/>
        <v>33208</v>
      </c>
    </row>
    <row r="274" spans="2:11" x14ac:dyDescent="0.25">
      <c r="B274" s="87">
        <v>272</v>
      </c>
      <c r="C274" s="88" t="s">
        <v>318</v>
      </c>
      <c r="D274" s="87" t="s">
        <v>11</v>
      </c>
      <c r="E274" s="87" t="s">
        <v>30</v>
      </c>
      <c r="F274" s="87" t="s">
        <v>16</v>
      </c>
      <c r="G274" s="87" t="s">
        <v>35</v>
      </c>
      <c r="H274" s="87">
        <v>13</v>
      </c>
      <c r="I274" s="87">
        <v>2234</v>
      </c>
      <c r="J274" s="87">
        <f t="shared" ca="1" si="10"/>
        <v>0.05</v>
      </c>
      <c r="K274" s="88">
        <f t="shared" si="9"/>
        <v>29042</v>
      </c>
    </row>
    <row r="275" spans="2:11" x14ac:dyDescent="0.25">
      <c r="B275" s="87">
        <v>273</v>
      </c>
      <c r="C275" s="88" t="s">
        <v>319</v>
      </c>
      <c r="D275" s="87" t="s">
        <v>12</v>
      </c>
      <c r="E275" s="87" t="s">
        <v>31</v>
      </c>
      <c r="F275" s="87" t="s">
        <v>17</v>
      </c>
      <c r="G275" s="87" t="s">
        <v>36</v>
      </c>
      <c r="H275" s="87">
        <v>17</v>
      </c>
      <c r="I275" s="87">
        <v>4559</v>
      </c>
      <c r="J275" s="87">
        <f t="shared" ca="1" si="10"/>
        <v>0.09</v>
      </c>
      <c r="K275" s="88">
        <f t="shared" si="9"/>
        <v>77503</v>
      </c>
    </row>
    <row r="276" spans="2:11" x14ac:dyDescent="0.25">
      <c r="B276" s="87">
        <v>274</v>
      </c>
      <c r="C276" s="88" t="s">
        <v>320</v>
      </c>
      <c r="D276" s="87" t="s">
        <v>13</v>
      </c>
      <c r="E276" s="87" t="s">
        <v>32</v>
      </c>
      <c r="F276" s="87" t="s">
        <v>18</v>
      </c>
      <c r="G276" s="87" t="s">
        <v>37</v>
      </c>
      <c r="H276" s="87">
        <v>3</v>
      </c>
      <c r="I276" s="87">
        <v>1789</v>
      </c>
      <c r="J276" s="87">
        <f t="shared" ca="1" si="10"/>
        <v>7.0000000000000007E-2</v>
      </c>
      <c r="K276" s="88">
        <f t="shared" si="9"/>
        <v>5367</v>
      </c>
    </row>
    <row r="277" spans="2:11" x14ac:dyDescent="0.25">
      <c r="B277" s="87">
        <v>275</v>
      </c>
      <c r="C277" s="88" t="s">
        <v>321</v>
      </c>
      <c r="D277" s="87" t="s">
        <v>14</v>
      </c>
      <c r="E277" s="87" t="s">
        <v>33</v>
      </c>
      <c r="F277" s="87" t="s">
        <v>16</v>
      </c>
      <c r="G277" s="87" t="s">
        <v>38</v>
      </c>
      <c r="H277" s="87">
        <v>7</v>
      </c>
      <c r="I277" s="87">
        <v>2425</v>
      </c>
      <c r="J277" s="87">
        <f t="shared" ca="1" si="10"/>
        <v>7.0000000000000007E-2</v>
      </c>
      <c r="K277" s="88">
        <f t="shared" si="9"/>
        <v>16975</v>
      </c>
    </row>
    <row r="278" spans="2:11" x14ac:dyDescent="0.25">
      <c r="B278" s="87">
        <v>276</v>
      </c>
      <c r="C278" s="88" t="s">
        <v>322</v>
      </c>
      <c r="D278" s="87" t="s">
        <v>10</v>
      </c>
      <c r="E278" s="87" t="s">
        <v>23</v>
      </c>
      <c r="F278" s="87" t="s">
        <v>15</v>
      </c>
      <c r="G278" s="87" t="s">
        <v>34</v>
      </c>
      <c r="H278" s="87">
        <v>4</v>
      </c>
      <c r="I278" s="87">
        <v>354</v>
      </c>
      <c r="J278" s="87">
        <f t="shared" ca="1" si="10"/>
        <v>7.0000000000000007E-2</v>
      </c>
      <c r="K278" s="88">
        <f t="shared" si="9"/>
        <v>1416</v>
      </c>
    </row>
    <row r="279" spans="2:11" x14ac:dyDescent="0.25">
      <c r="B279" s="87">
        <v>277</v>
      </c>
      <c r="C279" s="88" t="s">
        <v>323</v>
      </c>
      <c r="D279" s="87" t="s">
        <v>11</v>
      </c>
      <c r="E279" s="87" t="s">
        <v>24</v>
      </c>
      <c r="F279" s="87" t="s">
        <v>16</v>
      </c>
      <c r="G279" s="87" t="s">
        <v>35</v>
      </c>
      <c r="H279" s="87">
        <v>7</v>
      </c>
      <c r="I279" s="87">
        <v>2782</v>
      </c>
      <c r="J279" s="87">
        <f t="shared" ca="1" si="10"/>
        <v>0</v>
      </c>
      <c r="K279" s="88">
        <f t="shared" si="9"/>
        <v>19474</v>
      </c>
    </row>
    <row r="280" spans="2:11" x14ac:dyDescent="0.25">
      <c r="B280" s="87">
        <v>278</v>
      </c>
      <c r="C280" s="88" t="s">
        <v>324</v>
      </c>
      <c r="D280" s="87" t="s">
        <v>12</v>
      </c>
      <c r="E280" s="87" t="s">
        <v>25</v>
      </c>
      <c r="F280" s="87" t="s">
        <v>17</v>
      </c>
      <c r="G280" s="87" t="s">
        <v>36</v>
      </c>
      <c r="H280" s="87">
        <v>15</v>
      </c>
      <c r="I280" s="87">
        <v>2676</v>
      </c>
      <c r="J280" s="87">
        <f t="shared" ca="1" si="10"/>
        <v>7.0000000000000007E-2</v>
      </c>
      <c r="K280" s="88">
        <f t="shared" si="9"/>
        <v>40140</v>
      </c>
    </row>
    <row r="281" spans="2:11" x14ac:dyDescent="0.25">
      <c r="B281" s="87">
        <v>279</v>
      </c>
      <c r="C281" s="88" t="s">
        <v>325</v>
      </c>
      <c r="D281" s="87" t="s">
        <v>13</v>
      </c>
      <c r="E281" s="87" t="s">
        <v>26</v>
      </c>
      <c r="F281" s="87" t="s">
        <v>18</v>
      </c>
      <c r="G281" s="87" t="s">
        <v>37</v>
      </c>
      <c r="H281" s="87">
        <v>6</v>
      </c>
      <c r="I281" s="87">
        <v>1745</v>
      </c>
      <c r="J281" s="87">
        <f t="shared" ca="1" si="10"/>
        <v>7.0000000000000007E-2</v>
      </c>
      <c r="K281" s="88">
        <f t="shared" si="9"/>
        <v>10470</v>
      </c>
    </row>
    <row r="282" spans="2:11" x14ac:dyDescent="0.25">
      <c r="B282" s="87">
        <v>280</v>
      </c>
      <c r="C282" s="88" t="s">
        <v>326</v>
      </c>
      <c r="D282" s="87" t="s">
        <v>14</v>
      </c>
      <c r="E282" s="87" t="s">
        <v>27</v>
      </c>
      <c r="F282" s="87" t="s">
        <v>16</v>
      </c>
      <c r="G282" s="87" t="s">
        <v>38</v>
      </c>
      <c r="H282" s="87">
        <v>9</v>
      </c>
      <c r="I282" s="87">
        <v>936</v>
      </c>
      <c r="J282" s="87">
        <f t="shared" ca="1" si="10"/>
        <v>0.09</v>
      </c>
      <c r="K282" s="88">
        <f t="shared" si="9"/>
        <v>8424</v>
      </c>
    </row>
    <row r="283" spans="2:11" x14ac:dyDescent="0.25">
      <c r="B283" s="87">
        <v>281</v>
      </c>
      <c r="C283" s="88" t="s">
        <v>327</v>
      </c>
      <c r="D283" s="87" t="s">
        <v>10</v>
      </c>
      <c r="E283" s="87" t="s">
        <v>28</v>
      </c>
      <c r="F283" s="87" t="s">
        <v>17</v>
      </c>
      <c r="G283" s="87" t="s">
        <v>34</v>
      </c>
      <c r="H283" s="87">
        <v>7</v>
      </c>
      <c r="I283" s="87">
        <v>4226</v>
      </c>
      <c r="J283" s="87">
        <f t="shared" ca="1" si="10"/>
        <v>7.0000000000000007E-2</v>
      </c>
      <c r="K283" s="88">
        <f t="shared" si="9"/>
        <v>29582</v>
      </c>
    </row>
    <row r="284" spans="2:11" x14ac:dyDescent="0.25">
      <c r="B284" s="87">
        <v>282</v>
      </c>
      <c r="C284" s="88" t="s">
        <v>328</v>
      </c>
      <c r="D284" s="87" t="s">
        <v>11</v>
      </c>
      <c r="E284" s="87" t="s">
        <v>29</v>
      </c>
      <c r="F284" s="87" t="s">
        <v>18</v>
      </c>
      <c r="G284" s="87" t="s">
        <v>35</v>
      </c>
      <c r="H284" s="87">
        <v>1</v>
      </c>
      <c r="I284" s="87">
        <v>958</v>
      </c>
      <c r="J284" s="87">
        <f t="shared" ca="1" si="10"/>
        <v>7.0000000000000007E-2</v>
      </c>
      <c r="K284" s="88">
        <f t="shared" si="9"/>
        <v>958</v>
      </c>
    </row>
    <row r="285" spans="2:11" x14ac:dyDescent="0.25">
      <c r="B285" s="87">
        <v>283</v>
      </c>
      <c r="C285" s="88" t="s">
        <v>329</v>
      </c>
      <c r="D285" s="87" t="s">
        <v>12</v>
      </c>
      <c r="E285" s="87" t="s">
        <v>30</v>
      </c>
      <c r="F285" s="87" t="s">
        <v>16</v>
      </c>
      <c r="G285" s="87" t="s">
        <v>36</v>
      </c>
      <c r="H285" s="87">
        <v>12</v>
      </c>
      <c r="I285" s="87">
        <v>2640</v>
      </c>
      <c r="J285" s="87">
        <f t="shared" ca="1" si="10"/>
        <v>0.15</v>
      </c>
      <c r="K285" s="88">
        <f t="shared" si="9"/>
        <v>31680</v>
      </c>
    </row>
    <row r="286" spans="2:11" x14ac:dyDescent="0.25">
      <c r="B286" s="87">
        <v>284</v>
      </c>
      <c r="C286" s="88" t="s">
        <v>330</v>
      </c>
      <c r="D286" s="87" t="s">
        <v>13</v>
      </c>
      <c r="E286" s="87" t="s">
        <v>31</v>
      </c>
      <c r="F286" s="87" t="s">
        <v>17</v>
      </c>
      <c r="G286" s="87" t="s">
        <v>37</v>
      </c>
      <c r="H286" s="87">
        <v>19</v>
      </c>
      <c r="I286" s="87">
        <v>4833</v>
      </c>
      <c r="J286" s="87">
        <f t="shared" ca="1" si="10"/>
        <v>0.11</v>
      </c>
      <c r="K286" s="88">
        <f t="shared" si="9"/>
        <v>91827</v>
      </c>
    </row>
    <row r="287" spans="2:11" x14ac:dyDescent="0.25">
      <c r="B287" s="87">
        <v>285</v>
      </c>
      <c r="C287" s="88" t="s">
        <v>331</v>
      </c>
      <c r="D287" s="87" t="s">
        <v>14</v>
      </c>
      <c r="E287" s="87" t="s">
        <v>32</v>
      </c>
      <c r="F287" s="87" t="s">
        <v>18</v>
      </c>
      <c r="G287" s="87" t="s">
        <v>38</v>
      </c>
      <c r="H287" s="87">
        <v>20</v>
      </c>
      <c r="I287" s="87">
        <v>4516</v>
      </c>
      <c r="J287" s="87">
        <f t="shared" ca="1" si="10"/>
        <v>0.06</v>
      </c>
      <c r="K287" s="88">
        <f t="shared" si="9"/>
        <v>90320</v>
      </c>
    </row>
    <row r="288" spans="2:11" x14ac:dyDescent="0.25">
      <c r="B288" s="87">
        <v>286</v>
      </c>
      <c r="C288" s="88" t="s">
        <v>332</v>
      </c>
      <c r="D288" s="87" t="s">
        <v>10</v>
      </c>
      <c r="E288" s="87" t="s">
        <v>33</v>
      </c>
      <c r="F288" s="87" t="s">
        <v>16</v>
      </c>
      <c r="G288" s="87" t="s">
        <v>34</v>
      </c>
      <c r="H288" s="87">
        <v>9</v>
      </c>
      <c r="I288" s="87">
        <v>906</v>
      </c>
      <c r="J288" s="87">
        <f t="shared" ca="1" si="10"/>
        <v>0.1</v>
      </c>
      <c r="K288" s="88">
        <f t="shared" si="9"/>
        <v>8154</v>
      </c>
    </row>
    <row r="289" spans="2:11" x14ac:dyDescent="0.25">
      <c r="B289" s="87">
        <v>287</v>
      </c>
      <c r="C289" s="88" t="s">
        <v>333</v>
      </c>
      <c r="D289" s="87" t="s">
        <v>11</v>
      </c>
      <c r="E289" s="87" t="s">
        <v>23</v>
      </c>
      <c r="F289" s="87" t="s">
        <v>15</v>
      </c>
      <c r="G289" s="87" t="s">
        <v>35</v>
      </c>
      <c r="H289" s="87">
        <v>4</v>
      </c>
      <c r="I289" s="87">
        <v>2673</v>
      </c>
      <c r="J289" s="87">
        <f t="shared" ca="1" si="10"/>
        <v>0.02</v>
      </c>
      <c r="K289" s="88">
        <f t="shared" si="9"/>
        <v>10692</v>
      </c>
    </row>
    <row r="290" spans="2:11" x14ac:dyDescent="0.25">
      <c r="B290" s="87">
        <v>288</v>
      </c>
      <c r="C290" s="88" t="s">
        <v>334</v>
      </c>
      <c r="D290" s="87" t="s">
        <v>12</v>
      </c>
      <c r="E290" s="87" t="s">
        <v>24</v>
      </c>
      <c r="F290" s="87" t="s">
        <v>16</v>
      </c>
      <c r="G290" s="87" t="s">
        <v>36</v>
      </c>
      <c r="H290" s="87">
        <v>7</v>
      </c>
      <c r="I290" s="87">
        <v>1362</v>
      </c>
      <c r="J290" s="87">
        <f t="shared" ca="1" si="10"/>
        <v>0.13</v>
      </c>
      <c r="K290" s="88">
        <f t="shared" si="9"/>
        <v>9534</v>
      </c>
    </row>
    <row r="291" spans="2:11" x14ac:dyDescent="0.25">
      <c r="B291" s="87">
        <v>289</v>
      </c>
      <c r="C291" s="88" t="s">
        <v>335</v>
      </c>
      <c r="D291" s="87" t="s">
        <v>13</v>
      </c>
      <c r="E291" s="87" t="s">
        <v>25</v>
      </c>
      <c r="F291" s="87" t="s">
        <v>17</v>
      </c>
      <c r="G291" s="87" t="s">
        <v>37</v>
      </c>
      <c r="H291" s="87">
        <v>11</v>
      </c>
      <c r="I291" s="87">
        <v>3329</v>
      </c>
      <c r="J291" s="87">
        <f t="shared" ca="1" si="10"/>
        <v>0</v>
      </c>
      <c r="K291" s="88">
        <f t="shared" si="9"/>
        <v>36619</v>
      </c>
    </row>
    <row r="292" spans="2:11" x14ac:dyDescent="0.25">
      <c r="B292" s="87">
        <v>290</v>
      </c>
      <c r="C292" s="88" t="s">
        <v>336</v>
      </c>
      <c r="D292" s="87" t="s">
        <v>14</v>
      </c>
      <c r="E292" s="87" t="s">
        <v>26</v>
      </c>
      <c r="F292" s="87" t="s">
        <v>18</v>
      </c>
      <c r="G292" s="87" t="s">
        <v>38</v>
      </c>
      <c r="H292" s="87">
        <v>10</v>
      </c>
      <c r="I292" s="87">
        <v>2674</v>
      </c>
      <c r="J292" s="87">
        <f t="shared" ca="1" si="10"/>
        <v>0.15</v>
      </c>
      <c r="K292" s="88">
        <f t="shared" si="9"/>
        <v>26740</v>
      </c>
    </row>
    <row r="293" spans="2:11" x14ac:dyDescent="0.25">
      <c r="B293" s="87">
        <v>291</v>
      </c>
      <c r="C293" s="88" t="s">
        <v>337</v>
      </c>
      <c r="D293" s="87" t="s">
        <v>10</v>
      </c>
      <c r="E293" s="87" t="s">
        <v>27</v>
      </c>
      <c r="F293" s="87" t="s">
        <v>16</v>
      </c>
      <c r="G293" s="87" t="s">
        <v>34</v>
      </c>
      <c r="H293" s="87">
        <v>18</v>
      </c>
      <c r="I293" s="87">
        <v>123</v>
      </c>
      <c r="J293" s="87">
        <f t="shared" ca="1" si="10"/>
        <v>0.08</v>
      </c>
      <c r="K293" s="88">
        <f t="shared" si="9"/>
        <v>2214</v>
      </c>
    </row>
    <row r="294" spans="2:11" x14ac:dyDescent="0.25">
      <c r="B294" s="87">
        <v>292</v>
      </c>
      <c r="C294" s="88" t="s">
        <v>338</v>
      </c>
      <c r="D294" s="87" t="s">
        <v>11</v>
      </c>
      <c r="E294" s="87" t="s">
        <v>28</v>
      </c>
      <c r="F294" s="87" t="s">
        <v>17</v>
      </c>
      <c r="G294" s="87" t="s">
        <v>35</v>
      </c>
      <c r="H294" s="87">
        <v>9</v>
      </c>
      <c r="I294" s="87">
        <v>3030</v>
      </c>
      <c r="J294" s="87">
        <f t="shared" ca="1" si="10"/>
        <v>0.03</v>
      </c>
      <c r="K294" s="88">
        <f t="shared" si="9"/>
        <v>27270</v>
      </c>
    </row>
    <row r="295" spans="2:11" x14ac:dyDescent="0.25">
      <c r="B295" s="87">
        <v>293</v>
      </c>
      <c r="C295" s="88" t="s">
        <v>339</v>
      </c>
      <c r="D295" s="87" t="s">
        <v>12</v>
      </c>
      <c r="E295" s="87" t="s">
        <v>29</v>
      </c>
      <c r="F295" s="87" t="s">
        <v>18</v>
      </c>
      <c r="G295" s="87" t="s">
        <v>36</v>
      </c>
      <c r="H295" s="87">
        <v>1</v>
      </c>
      <c r="I295" s="87">
        <v>3451</v>
      </c>
      <c r="J295" s="87">
        <f t="shared" ca="1" si="10"/>
        <v>0.01</v>
      </c>
      <c r="K295" s="88">
        <f t="shared" si="9"/>
        <v>3451</v>
      </c>
    </row>
    <row r="296" spans="2:11" x14ac:dyDescent="0.25">
      <c r="B296" s="87">
        <v>294</v>
      </c>
      <c r="C296" s="88" t="s">
        <v>340</v>
      </c>
      <c r="D296" s="87" t="s">
        <v>13</v>
      </c>
      <c r="E296" s="87" t="s">
        <v>30</v>
      </c>
      <c r="F296" s="87" t="s">
        <v>16</v>
      </c>
      <c r="G296" s="87" t="s">
        <v>37</v>
      </c>
      <c r="H296" s="87">
        <v>2</v>
      </c>
      <c r="I296" s="87">
        <v>1004</v>
      </c>
      <c r="J296" s="87">
        <f t="shared" ca="1" si="10"/>
        <v>0.01</v>
      </c>
      <c r="K296" s="88">
        <f t="shared" si="9"/>
        <v>2008</v>
      </c>
    </row>
    <row r="297" spans="2:11" x14ac:dyDescent="0.25">
      <c r="B297" s="87">
        <v>295</v>
      </c>
      <c r="C297" s="88" t="s">
        <v>341</v>
      </c>
      <c r="D297" s="87" t="s">
        <v>14</v>
      </c>
      <c r="E297" s="87" t="s">
        <v>31</v>
      </c>
      <c r="F297" s="87" t="s">
        <v>17</v>
      </c>
      <c r="G297" s="87" t="s">
        <v>38</v>
      </c>
      <c r="H297" s="87">
        <v>14</v>
      </c>
      <c r="I297" s="87">
        <v>1924</v>
      </c>
      <c r="J297" s="87">
        <f t="shared" ca="1" si="10"/>
        <v>0.01</v>
      </c>
      <c r="K297" s="88">
        <f t="shared" si="9"/>
        <v>26936</v>
      </c>
    </row>
    <row r="298" spans="2:11" x14ac:dyDescent="0.25">
      <c r="B298" s="87">
        <v>296</v>
      </c>
      <c r="C298" s="88" t="s">
        <v>342</v>
      </c>
      <c r="D298" s="87" t="s">
        <v>10</v>
      </c>
      <c r="E298" s="87" t="s">
        <v>32</v>
      </c>
      <c r="F298" s="87" t="s">
        <v>18</v>
      </c>
      <c r="G298" s="87" t="s">
        <v>34</v>
      </c>
      <c r="H298" s="87">
        <v>12</v>
      </c>
      <c r="I298" s="87">
        <v>3886</v>
      </c>
      <c r="J298" s="87">
        <f t="shared" ca="1" si="10"/>
        <v>0.04</v>
      </c>
      <c r="K298" s="88">
        <f t="shared" si="9"/>
        <v>46632</v>
      </c>
    </row>
    <row r="299" spans="2:11" x14ac:dyDescent="0.25">
      <c r="B299" s="87">
        <v>297</v>
      </c>
      <c r="C299" s="88" t="s">
        <v>343</v>
      </c>
      <c r="D299" s="87" t="s">
        <v>11</v>
      </c>
      <c r="E299" s="87" t="s">
        <v>33</v>
      </c>
      <c r="F299" s="87" t="s">
        <v>16</v>
      </c>
      <c r="G299" s="87" t="s">
        <v>35</v>
      </c>
      <c r="H299" s="87">
        <v>16</v>
      </c>
      <c r="I299" s="87">
        <v>4542</v>
      </c>
      <c r="J299" s="87">
        <f t="shared" ca="1" si="10"/>
        <v>0.11</v>
      </c>
      <c r="K299" s="88">
        <f t="shared" si="9"/>
        <v>72672</v>
      </c>
    </row>
    <row r="300" spans="2:11" x14ac:dyDescent="0.25">
      <c r="B300" s="87">
        <v>298</v>
      </c>
      <c r="C300" s="88" t="s">
        <v>344</v>
      </c>
      <c r="D300" s="87" t="s">
        <v>12</v>
      </c>
      <c r="E300" s="87" t="s">
        <v>23</v>
      </c>
      <c r="F300" s="87" t="s">
        <v>15</v>
      </c>
      <c r="G300" s="87" t="s">
        <v>36</v>
      </c>
      <c r="H300" s="87">
        <v>2</v>
      </c>
      <c r="I300" s="87">
        <v>3163</v>
      </c>
      <c r="J300" s="87">
        <f t="shared" ca="1" si="10"/>
        <v>0.01</v>
      </c>
      <c r="K300" s="88">
        <f t="shared" si="9"/>
        <v>6326</v>
      </c>
    </row>
    <row r="301" spans="2:11" x14ac:dyDescent="0.25">
      <c r="B301" s="87">
        <v>299</v>
      </c>
      <c r="C301" s="88" t="s">
        <v>345</v>
      </c>
      <c r="D301" s="87" t="s">
        <v>13</v>
      </c>
      <c r="E301" s="87" t="s">
        <v>24</v>
      </c>
      <c r="F301" s="87" t="s">
        <v>16</v>
      </c>
      <c r="G301" s="87" t="s">
        <v>37</v>
      </c>
      <c r="H301" s="87">
        <v>11</v>
      </c>
      <c r="I301" s="87">
        <v>1957</v>
      </c>
      <c r="J301" s="87">
        <f t="shared" ca="1" si="10"/>
        <v>0.09</v>
      </c>
      <c r="K301" s="88">
        <f t="shared" si="9"/>
        <v>21527</v>
      </c>
    </row>
    <row r="302" spans="2:11" x14ac:dyDescent="0.25">
      <c r="B302" s="87">
        <v>300</v>
      </c>
      <c r="C302" s="88" t="s">
        <v>346</v>
      </c>
      <c r="D302" s="87" t="s">
        <v>14</v>
      </c>
      <c r="E302" s="87" t="s">
        <v>25</v>
      </c>
      <c r="F302" s="87" t="s">
        <v>17</v>
      </c>
      <c r="G302" s="87" t="s">
        <v>38</v>
      </c>
      <c r="H302" s="87">
        <v>17</v>
      </c>
      <c r="I302" s="87">
        <v>1385</v>
      </c>
      <c r="J302" s="87">
        <f t="shared" ca="1" si="10"/>
        <v>0.04</v>
      </c>
      <c r="K302" s="88">
        <f t="shared" si="9"/>
        <v>23545</v>
      </c>
    </row>
    <row r="303" spans="2:11" x14ac:dyDescent="0.25">
      <c r="B303" s="87">
        <v>301</v>
      </c>
      <c r="C303" s="88" t="s">
        <v>347</v>
      </c>
      <c r="D303" s="87" t="s">
        <v>10</v>
      </c>
      <c r="E303" s="87" t="s">
        <v>26</v>
      </c>
      <c r="F303" s="87" t="s">
        <v>18</v>
      </c>
      <c r="G303" s="87" t="s">
        <v>34</v>
      </c>
      <c r="H303" s="87">
        <v>14</v>
      </c>
      <c r="I303" s="87">
        <v>494</v>
      </c>
      <c r="J303" s="87">
        <f t="shared" ca="1" si="10"/>
        <v>7.0000000000000007E-2</v>
      </c>
      <c r="K303" s="88">
        <f t="shared" si="9"/>
        <v>6916</v>
      </c>
    </row>
    <row r="304" spans="2:11" x14ac:dyDescent="0.25">
      <c r="B304" s="87">
        <v>302</v>
      </c>
      <c r="C304" s="88" t="s">
        <v>348</v>
      </c>
      <c r="D304" s="87" t="s">
        <v>11</v>
      </c>
      <c r="E304" s="87" t="s">
        <v>27</v>
      </c>
      <c r="F304" s="87" t="s">
        <v>16</v>
      </c>
      <c r="G304" s="87" t="s">
        <v>35</v>
      </c>
      <c r="H304" s="87">
        <v>1</v>
      </c>
      <c r="I304" s="87">
        <v>4177</v>
      </c>
      <c r="J304" s="87">
        <f t="shared" ca="1" si="10"/>
        <v>0.15</v>
      </c>
      <c r="K304" s="88">
        <f t="shared" si="9"/>
        <v>4177</v>
      </c>
    </row>
    <row r="305" spans="2:11" x14ac:dyDescent="0.25">
      <c r="B305" s="87">
        <v>303</v>
      </c>
      <c r="C305" s="88" t="s">
        <v>349</v>
      </c>
      <c r="D305" s="87" t="s">
        <v>12</v>
      </c>
      <c r="E305" s="87" t="s">
        <v>28</v>
      </c>
      <c r="F305" s="87" t="s">
        <v>17</v>
      </c>
      <c r="G305" s="87" t="s">
        <v>36</v>
      </c>
      <c r="H305" s="87">
        <v>19</v>
      </c>
      <c r="I305" s="87">
        <v>3259</v>
      </c>
      <c r="J305" s="87">
        <f t="shared" ca="1" si="10"/>
        <v>0.02</v>
      </c>
      <c r="K305" s="88">
        <f t="shared" si="9"/>
        <v>61921</v>
      </c>
    </row>
    <row r="306" spans="2:11" x14ac:dyDescent="0.25">
      <c r="B306" s="87">
        <v>304</v>
      </c>
      <c r="C306" s="88" t="s">
        <v>350</v>
      </c>
      <c r="D306" s="87" t="s">
        <v>13</v>
      </c>
      <c r="E306" s="87" t="s">
        <v>29</v>
      </c>
      <c r="F306" s="87" t="s">
        <v>18</v>
      </c>
      <c r="G306" s="87" t="s">
        <v>37</v>
      </c>
      <c r="H306" s="87">
        <v>3</v>
      </c>
      <c r="I306" s="87">
        <v>4123</v>
      </c>
      <c r="J306" s="87">
        <f t="shared" ca="1" si="10"/>
        <v>0.15</v>
      </c>
      <c r="K306" s="88">
        <f t="shared" si="9"/>
        <v>12369</v>
      </c>
    </row>
    <row r="307" spans="2:11" x14ac:dyDescent="0.25">
      <c r="B307" s="87">
        <v>305</v>
      </c>
      <c r="C307" s="88" t="s">
        <v>351</v>
      </c>
      <c r="D307" s="87" t="s">
        <v>14</v>
      </c>
      <c r="E307" s="87" t="s">
        <v>30</v>
      </c>
      <c r="F307" s="87" t="s">
        <v>16</v>
      </c>
      <c r="G307" s="87" t="s">
        <v>38</v>
      </c>
      <c r="H307" s="87">
        <v>5</v>
      </c>
      <c r="I307" s="87">
        <v>950</v>
      </c>
      <c r="J307" s="87">
        <f t="shared" ca="1" si="10"/>
        <v>0.02</v>
      </c>
      <c r="K307" s="88">
        <f t="shared" si="9"/>
        <v>4750</v>
      </c>
    </row>
    <row r="308" spans="2:11" x14ac:dyDescent="0.25">
      <c r="B308" s="87">
        <v>306</v>
      </c>
      <c r="C308" s="88" t="s">
        <v>352</v>
      </c>
      <c r="D308" s="87" t="s">
        <v>10</v>
      </c>
      <c r="E308" s="87" t="s">
        <v>31</v>
      </c>
      <c r="F308" s="87" t="s">
        <v>17</v>
      </c>
      <c r="G308" s="87" t="s">
        <v>34</v>
      </c>
      <c r="H308" s="87">
        <v>1</v>
      </c>
      <c r="I308" s="87">
        <v>4578</v>
      </c>
      <c r="J308" s="87">
        <f t="shared" ca="1" si="10"/>
        <v>0.14000000000000001</v>
      </c>
      <c r="K308" s="88">
        <f t="shared" si="9"/>
        <v>4578</v>
      </c>
    </row>
    <row r="309" spans="2:11" x14ac:dyDescent="0.25">
      <c r="B309" s="87">
        <v>307</v>
      </c>
      <c r="C309" s="88" t="s">
        <v>353</v>
      </c>
      <c r="D309" s="87" t="s">
        <v>11</v>
      </c>
      <c r="E309" s="87" t="s">
        <v>32</v>
      </c>
      <c r="F309" s="87" t="s">
        <v>18</v>
      </c>
      <c r="G309" s="87" t="s">
        <v>35</v>
      </c>
      <c r="H309" s="87">
        <v>2</v>
      </c>
      <c r="I309" s="87">
        <v>321</v>
      </c>
      <c r="J309" s="87">
        <f t="shared" ca="1" si="10"/>
        <v>7.0000000000000007E-2</v>
      </c>
      <c r="K309" s="88">
        <f t="shared" si="9"/>
        <v>642</v>
      </c>
    </row>
    <row r="310" spans="2:11" x14ac:dyDescent="0.25">
      <c r="B310" s="87">
        <v>308</v>
      </c>
      <c r="C310" s="88" t="s">
        <v>354</v>
      </c>
      <c r="D310" s="87" t="s">
        <v>12</v>
      </c>
      <c r="E310" s="87" t="s">
        <v>33</v>
      </c>
      <c r="F310" s="87" t="s">
        <v>16</v>
      </c>
      <c r="G310" s="87" t="s">
        <v>36</v>
      </c>
      <c r="H310" s="87">
        <v>2</v>
      </c>
      <c r="I310" s="87">
        <v>2505</v>
      </c>
      <c r="J310" s="87">
        <f t="shared" ca="1" si="10"/>
        <v>0.01</v>
      </c>
      <c r="K310" s="88">
        <f t="shared" si="9"/>
        <v>5010</v>
      </c>
    </row>
    <row r="311" spans="2:11" x14ac:dyDescent="0.25">
      <c r="B311" s="87">
        <v>309</v>
      </c>
      <c r="C311" s="88" t="s">
        <v>355</v>
      </c>
      <c r="D311" s="87" t="s">
        <v>13</v>
      </c>
      <c r="E311" s="87" t="s">
        <v>23</v>
      </c>
      <c r="F311" s="87" t="s">
        <v>15</v>
      </c>
      <c r="G311" s="87" t="s">
        <v>37</v>
      </c>
      <c r="H311" s="87">
        <v>19</v>
      </c>
      <c r="I311" s="87">
        <v>421</v>
      </c>
      <c r="J311" s="87">
        <f t="shared" ca="1" si="10"/>
        <v>0</v>
      </c>
      <c r="K311" s="88">
        <f t="shared" si="9"/>
        <v>7999</v>
      </c>
    </row>
    <row r="312" spans="2:11" x14ac:dyDescent="0.25">
      <c r="B312" s="87">
        <v>310</v>
      </c>
      <c r="C312" s="88" t="s">
        <v>356</v>
      </c>
      <c r="D312" s="87" t="s">
        <v>14</v>
      </c>
      <c r="E312" s="87" t="s">
        <v>24</v>
      </c>
      <c r="F312" s="87" t="s">
        <v>16</v>
      </c>
      <c r="G312" s="87" t="s">
        <v>38</v>
      </c>
      <c r="H312" s="87">
        <v>13</v>
      </c>
      <c r="I312" s="87">
        <v>2318</v>
      </c>
      <c r="J312" s="87">
        <f t="shared" ca="1" si="10"/>
        <v>0.13</v>
      </c>
      <c r="K312" s="88">
        <f t="shared" si="9"/>
        <v>30134</v>
      </c>
    </row>
    <row r="313" spans="2:11" x14ac:dyDescent="0.25">
      <c r="B313" s="87">
        <v>311</v>
      </c>
      <c r="C313" s="88" t="s">
        <v>357</v>
      </c>
      <c r="D313" s="87" t="s">
        <v>10</v>
      </c>
      <c r="E313" s="87" t="s">
        <v>25</v>
      </c>
      <c r="F313" s="87" t="s">
        <v>17</v>
      </c>
      <c r="G313" s="87" t="s">
        <v>34</v>
      </c>
      <c r="H313" s="87">
        <v>7</v>
      </c>
      <c r="I313" s="87">
        <v>4440</v>
      </c>
      <c r="J313" s="87">
        <f t="shared" ca="1" si="10"/>
        <v>0.15</v>
      </c>
      <c r="K313" s="88">
        <f t="shared" si="9"/>
        <v>31080</v>
      </c>
    </row>
    <row r="314" spans="2:11" x14ac:dyDescent="0.25">
      <c r="B314" s="87">
        <v>312</v>
      </c>
      <c r="C314" s="88" t="s">
        <v>358</v>
      </c>
      <c r="D314" s="87" t="s">
        <v>11</v>
      </c>
      <c r="E314" s="87" t="s">
        <v>26</v>
      </c>
      <c r="F314" s="87" t="s">
        <v>18</v>
      </c>
      <c r="G314" s="87" t="s">
        <v>35</v>
      </c>
      <c r="H314" s="87">
        <v>20</v>
      </c>
      <c r="I314" s="87">
        <v>3233</v>
      </c>
      <c r="J314" s="87">
        <f t="shared" ca="1" si="10"/>
        <v>0.09</v>
      </c>
      <c r="K314" s="88">
        <f t="shared" si="9"/>
        <v>64660</v>
      </c>
    </row>
    <row r="315" spans="2:11" x14ac:dyDescent="0.25">
      <c r="B315" s="87">
        <v>313</v>
      </c>
      <c r="C315" s="88" t="s">
        <v>359</v>
      </c>
      <c r="D315" s="87" t="s">
        <v>12</v>
      </c>
      <c r="E315" s="87" t="s">
        <v>27</v>
      </c>
      <c r="F315" s="87" t="s">
        <v>16</v>
      </c>
      <c r="G315" s="87" t="s">
        <v>36</v>
      </c>
      <c r="H315" s="87">
        <v>3</v>
      </c>
      <c r="I315" s="87">
        <v>2343</v>
      </c>
      <c r="J315" s="87">
        <f t="shared" ca="1" si="10"/>
        <v>0.08</v>
      </c>
      <c r="K315" s="88">
        <f t="shared" si="9"/>
        <v>7029</v>
      </c>
    </row>
    <row r="316" spans="2:11" x14ac:dyDescent="0.25">
      <c r="B316" s="87">
        <v>314</v>
      </c>
      <c r="C316" s="88" t="s">
        <v>360</v>
      </c>
      <c r="D316" s="87" t="s">
        <v>13</v>
      </c>
      <c r="E316" s="87" t="s">
        <v>28</v>
      </c>
      <c r="F316" s="87" t="s">
        <v>17</v>
      </c>
      <c r="G316" s="87" t="s">
        <v>37</v>
      </c>
      <c r="H316" s="87">
        <v>6</v>
      </c>
      <c r="I316" s="87">
        <v>2510</v>
      </c>
      <c r="J316" s="87">
        <f t="shared" ca="1" si="10"/>
        <v>0.08</v>
      </c>
      <c r="K316" s="88">
        <f t="shared" si="9"/>
        <v>15060</v>
      </c>
    </row>
    <row r="317" spans="2:11" x14ac:dyDescent="0.25">
      <c r="B317" s="87">
        <v>315</v>
      </c>
      <c r="C317" s="88" t="s">
        <v>361</v>
      </c>
      <c r="D317" s="87" t="s">
        <v>14</v>
      </c>
      <c r="E317" s="87" t="s">
        <v>29</v>
      </c>
      <c r="F317" s="87" t="s">
        <v>18</v>
      </c>
      <c r="G317" s="87" t="s">
        <v>38</v>
      </c>
      <c r="H317" s="87">
        <v>10</v>
      </c>
      <c r="I317" s="87">
        <v>3900</v>
      </c>
      <c r="J317" s="87">
        <f t="shared" ca="1" si="10"/>
        <v>0.02</v>
      </c>
      <c r="K317" s="88">
        <f t="shared" si="9"/>
        <v>39000</v>
      </c>
    </row>
    <row r="318" spans="2:11" x14ac:dyDescent="0.25">
      <c r="B318" s="87">
        <v>316</v>
      </c>
      <c r="C318" s="88" t="s">
        <v>362</v>
      </c>
      <c r="D318" s="87" t="s">
        <v>10</v>
      </c>
      <c r="E318" s="87" t="s">
        <v>30</v>
      </c>
      <c r="F318" s="87" t="s">
        <v>16</v>
      </c>
      <c r="G318" s="87" t="s">
        <v>34</v>
      </c>
      <c r="H318" s="87">
        <v>16</v>
      </c>
      <c r="I318" s="87">
        <v>1012</v>
      </c>
      <c r="J318" s="87">
        <f t="shared" ca="1" si="10"/>
        <v>7.0000000000000007E-2</v>
      </c>
      <c r="K318" s="88">
        <f t="shared" si="9"/>
        <v>16192</v>
      </c>
    </row>
    <row r="319" spans="2:11" x14ac:dyDescent="0.25">
      <c r="B319" s="87">
        <v>317</v>
      </c>
      <c r="C319" s="88" t="s">
        <v>363</v>
      </c>
      <c r="D319" s="87" t="s">
        <v>11</v>
      </c>
      <c r="E319" s="87" t="s">
        <v>31</v>
      </c>
      <c r="F319" s="87" t="s">
        <v>17</v>
      </c>
      <c r="G319" s="87" t="s">
        <v>35</v>
      </c>
      <c r="H319" s="87">
        <v>1</v>
      </c>
      <c r="I319" s="87">
        <v>2694</v>
      </c>
      <c r="J319" s="87">
        <f t="shared" ca="1" si="10"/>
        <v>0</v>
      </c>
      <c r="K319" s="88">
        <f t="shared" si="9"/>
        <v>2694</v>
      </c>
    </row>
    <row r="320" spans="2:11" x14ac:dyDescent="0.25">
      <c r="B320" s="87">
        <v>318</v>
      </c>
      <c r="C320" s="88" t="s">
        <v>364</v>
      </c>
      <c r="D320" s="87" t="s">
        <v>12</v>
      </c>
      <c r="E320" s="87" t="s">
        <v>32</v>
      </c>
      <c r="F320" s="87" t="s">
        <v>18</v>
      </c>
      <c r="G320" s="87" t="s">
        <v>36</v>
      </c>
      <c r="H320" s="87">
        <v>16</v>
      </c>
      <c r="I320" s="87">
        <v>3805</v>
      </c>
      <c r="J320" s="87">
        <f t="shared" ca="1" si="10"/>
        <v>0.06</v>
      </c>
      <c r="K320" s="88">
        <f t="shared" si="9"/>
        <v>60880</v>
      </c>
    </row>
    <row r="321" spans="2:11" x14ac:dyDescent="0.25">
      <c r="B321" s="87">
        <v>319</v>
      </c>
      <c r="C321" s="88" t="s">
        <v>365</v>
      </c>
      <c r="D321" s="87" t="s">
        <v>13</v>
      </c>
      <c r="E321" s="87" t="s">
        <v>33</v>
      </c>
      <c r="F321" s="87" t="s">
        <v>16</v>
      </c>
      <c r="G321" s="87" t="s">
        <v>37</v>
      </c>
      <c r="H321" s="87">
        <v>5</v>
      </c>
      <c r="I321" s="87">
        <v>2037</v>
      </c>
      <c r="J321" s="87">
        <f t="shared" ca="1" si="10"/>
        <v>0.02</v>
      </c>
      <c r="K321" s="88">
        <f t="shared" si="9"/>
        <v>10185</v>
      </c>
    </row>
    <row r="322" spans="2:11" x14ac:dyDescent="0.25">
      <c r="B322" s="87">
        <v>320</v>
      </c>
      <c r="C322" s="88" t="s">
        <v>366</v>
      </c>
      <c r="D322" s="87" t="s">
        <v>14</v>
      </c>
      <c r="E322" s="87" t="s">
        <v>23</v>
      </c>
      <c r="F322" s="87" t="s">
        <v>15</v>
      </c>
      <c r="G322" s="87" t="s">
        <v>38</v>
      </c>
      <c r="H322" s="87">
        <v>3</v>
      </c>
      <c r="I322" s="87">
        <v>613</v>
      </c>
      <c r="J322" s="87">
        <f t="shared" ca="1" si="10"/>
        <v>0.1</v>
      </c>
      <c r="K322" s="88">
        <f t="shared" si="9"/>
        <v>1839</v>
      </c>
    </row>
    <row r="323" spans="2:11" x14ac:dyDescent="0.25">
      <c r="B323" s="87">
        <v>321</v>
      </c>
      <c r="C323" s="88" t="s">
        <v>367</v>
      </c>
      <c r="D323" s="87" t="s">
        <v>10</v>
      </c>
      <c r="E323" s="87" t="s">
        <v>24</v>
      </c>
      <c r="F323" s="87" t="s">
        <v>16</v>
      </c>
      <c r="G323" s="87" t="s">
        <v>34</v>
      </c>
      <c r="H323" s="87">
        <v>5</v>
      </c>
      <c r="I323" s="87">
        <v>2443</v>
      </c>
      <c r="J323" s="87">
        <f t="shared" ca="1" si="10"/>
        <v>0.14000000000000001</v>
      </c>
      <c r="K323" s="88">
        <f t="shared" si="9"/>
        <v>12215</v>
      </c>
    </row>
    <row r="324" spans="2:11" x14ac:dyDescent="0.25">
      <c r="B324" s="87">
        <v>322</v>
      </c>
      <c r="C324" s="88" t="s">
        <v>368</v>
      </c>
      <c r="D324" s="87" t="s">
        <v>11</v>
      </c>
      <c r="E324" s="87" t="s">
        <v>25</v>
      </c>
      <c r="F324" s="87" t="s">
        <v>17</v>
      </c>
      <c r="G324" s="87" t="s">
        <v>35</v>
      </c>
      <c r="H324" s="87">
        <v>3</v>
      </c>
      <c r="I324" s="87">
        <v>648</v>
      </c>
      <c r="J324" s="87">
        <f t="shared" ca="1" si="10"/>
        <v>0.14000000000000001</v>
      </c>
      <c r="K324" s="88">
        <f t="shared" si="9"/>
        <v>1944</v>
      </c>
    </row>
    <row r="325" spans="2:11" x14ac:dyDescent="0.25">
      <c r="B325" s="87">
        <v>323</v>
      </c>
      <c r="C325" s="88" t="s">
        <v>369</v>
      </c>
      <c r="D325" s="87" t="s">
        <v>12</v>
      </c>
      <c r="E325" s="87" t="s">
        <v>26</v>
      </c>
      <c r="F325" s="87" t="s">
        <v>18</v>
      </c>
      <c r="G325" s="87" t="s">
        <v>36</v>
      </c>
      <c r="H325" s="87">
        <v>10</v>
      </c>
      <c r="I325" s="87">
        <v>2443</v>
      </c>
      <c r="J325" s="87">
        <f t="shared" ca="1" si="10"/>
        <v>0.1</v>
      </c>
      <c r="K325" s="88">
        <f t="shared" ref="K325:K388" si="11">H325*I325</f>
        <v>24430</v>
      </c>
    </row>
    <row r="326" spans="2:11" x14ac:dyDescent="0.25">
      <c r="B326" s="87">
        <v>324</v>
      </c>
      <c r="C326" s="88" t="s">
        <v>370</v>
      </c>
      <c r="D326" s="87" t="s">
        <v>13</v>
      </c>
      <c r="E326" s="87" t="s">
        <v>27</v>
      </c>
      <c r="F326" s="87" t="s">
        <v>16</v>
      </c>
      <c r="G326" s="87" t="s">
        <v>37</v>
      </c>
      <c r="H326" s="87">
        <v>11</v>
      </c>
      <c r="I326" s="87">
        <v>3853</v>
      </c>
      <c r="J326" s="87">
        <f t="shared" ca="1" si="10"/>
        <v>0.04</v>
      </c>
      <c r="K326" s="88">
        <f t="shared" si="11"/>
        <v>42383</v>
      </c>
    </row>
    <row r="327" spans="2:11" x14ac:dyDescent="0.25">
      <c r="B327" s="87">
        <v>325</v>
      </c>
      <c r="C327" s="88" t="s">
        <v>371</v>
      </c>
      <c r="D327" s="87" t="s">
        <v>14</v>
      </c>
      <c r="E327" s="87" t="s">
        <v>28</v>
      </c>
      <c r="F327" s="87" t="s">
        <v>17</v>
      </c>
      <c r="G327" s="87" t="s">
        <v>38</v>
      </c>
      <c r="H327" s="87">
        <v>17</v>
      </c>
      <c r="I327" s="87">
        <v>2498</v>
      </c>
      <c r="J327" s="87">
        <f t="shared" ca="1" si="10"/>
        <v>0.04</v>
      </c>
      <c r="K327" s="88">
        <f t="shared" si="11"/>
        <v>42466</v>
      </c>
    </row>
    <row r="328" spans="2:11" x14ac:dyDescent="0.25">
      <c r="B328" s="87">
        <v>326</v>
      </c>
      <c r="C328" s="88" t="s">
        <v>372</v>
      </c>
      <c r="D328" s="87" t="s">
        <v>10</v>
      </c>
      <c r="E328" s="87" t="s">
        <v>29</v>
      </c>
      <c r="F328" s="87" t="s">
        <v>18</v>
      </c>
      <c r="G328" s="87" t="s">
        <v>34</v>
      </c>
      <c r="H328" s="87">
        <v>12</v>
      </c>
      <c r="I328" s="87">
        <v>201</v>
      </c>
      <c r="J328" s="87">
        <f t="shared" ca="1" si="10"/>
        <v>0.1</v>
      </c>
      <c r="K328" s="88">
        <f t="shared" si="11"/>
        <v>2412</v>
      </c>
    </row>
    <row r="329" spans="2:11" x14ac:dyDescent="0.25">
      <c r="B329" s="87">
        <v>327</v>
      </c>
      <c r="C329" s="88" t="s">
        <v>373</v>
      </c>
      <c r="D329" s="87" t="s">
        <v>11</v>
      </c>
      <c r="E329" s="87" t="s">
        <v>30</v>
      </c>
      <c r="F329" s="87" t="s">
        <v>16</v>
      </c>
      <c r="G329" s="87" t="s">
        <v>35</v>
      </c>
      <c r="H329" s="87">
        <v>3</v>
      </c>
      <c r="I329" s="87">
        <v>4531</v>
      </c>
      <c r="J329" s="87">
        <f t="shared" ref="J329:J392" ca="1" si="12">RANDBETWEEN(0, 15) / 100</f>
        <v>0.08</v>
      </c>
      <c r="K329" s="88">
        <f t="shared" si="11"/>
        <v>13593</v>
      </c>
    </row>
    <row r="330" spans="2:11" x14ac:dyDescent="0.25">
      <c r="B330" s="87">
        <v>328</v>
      </c>
      <c r="C330" s="88" t="s">
        <v>374</v>
      </c>
      <c r="D330" s="87" t="s">
        <v>12</v>
      </c>
      <c r="E330" s="87" t="s">
        <v>31</v>
      </c>
      <c r="F330" s="87" t="s">
        <v>17</v>
      </c>
      <c r="G330" s="87" t="s">
        <v>36</v>
      </c>
      <c r="H330" s="87">
        <v>12</v>
      </c>
      <c r="I330" s="87">
        <v>2780</v>
      </c>
      <c r="J330" s="87">
        <f t="shared" ca="1" si="12"/>
        <v>0.01</v>
      </c>
      <c r="K330" s="88">
        <f t="shared" si="11"/>
        <v>33360</v>
      </c>
    </row>
    <row r="331" spans="2:11" x14ac:dyDescent="0.25">
      <c r="B331" s="87">
        <v>329</v>
      </c>
      <c r="C331" s="88" t="s">
        <v>375</v>
      </c>
      <c r="D331" s="87" t="s">
        <v>13</v>
      </c>
      <c r="E331" s="87" t="s">
        <v>32</v>
      </c>
      <c r="F331" s="87" t="s">
        <v>18</v>
      </c>
      <c r="G331" s="87" t="s">
        <v>37</v>
      </c>
      <c r="H331" s="87">
        <v>4</v>
      </c>
      <c r="I331" s="87">
        <v>2418</v>
      </c>
      <c r="J331" s="87">
        <f t="shared" ca="1" si="12"/>
        <v>0.15</v>
      </c>
      <c r="K331" s="88">
        <f t="shared" si="11"/>
        <v>9672</v>
      </c>
    </row>
    <row r="332" spans="2:11" x14ac:dyDescent="0.25">
      <c r="B332" s="87">
        <v>330</v>
      </c>
      <c r="C332" s="88" t="s">
        <v>376</v>
      </c>
      <c r="D332" s="87" t="s">
        <v>14</v>
      </c>
      <c r="E332" s="87" t="s">
        <v>33</v>
      </c>
      <c r="F332" s="87" t="s">
        <v>16</v>
      </c>
      <c r="G332" s="87" t="s">
        <v>38</v>
      </c>
      <c r="H332" s="87">
        <v>3</v>
      </c>
      <c r="I332" s="87">
        <v>527</v>
      </c>
      <c r="J332" s="87">
        <f t="shared" ca="1" si="12"/>
        <v>0.08</v>
      </c>
      <c r="K332" s="88">
        <f t="shared" si="11"/>
        <v>1581</v>
      </c>
    </row>
    <row r="333" spans="2:11" x14ac:dyDescent="0.25">
      <c r="B333" s="87">
        <v>331</v>
      </c>
      <c r="C333" s="88" t="s">
        <v>377</v>
      </c>
      <c r="D333" s="87" t="s">
        <v>10</v>
      </c>
      <c r="E333" s="87" t="s">
        <v>23</v>
      </c>
      <c r="F333" s="87" t="s">
        <v>15</v>
      </c>
      <c r="G333" s="87" t="s">
        <v>34</v>
      </c>
      <c r="H333" s="87">
        <v>20</v>
      </c>
      <c r="I333" s="87">
        <v>4386</v>
      </c>
      <c r="J333" s="87">
        <f t="shared" ca="1" si="12"/>
        <v>0.12</v>
      </c>
      <c r="K333" s="88">
        <f t="shared" si="11"/>
        <v>87720</v>
      </c>
    </row>
    <row r="334" spans="2:11" x14ac:dyDescent="0.25">
      <c r="B334" s="87">
        <v>332</v>
      </c>
      <c r="C334" s="88" t="s">
        <v>378</v>
      </c>
      <c r="D334" s="87" t="s">
        <v>11</v>
      </c>
      <c r="E334" s="87" t="s">
        <v>24</v>
      </c>
      <c r="F334" s="87" t="s">
        <v>16</v>
      </c>
      <c r="G334" s="87" t="s">
        <v>35</v>
      </c>
      <c r="H334" s="87">
        <v>7</v>
      </c>
      <c r="I334" s="87">
        <v>3365</v>
      </c>
      <c r="J334" s="87">
        <f t="shared" ca="1" si="12"/>
        <v>0.05</v>
      </c>
      <c r="K334" s="88">
        <f t="shared" si="11"/>
        <v>23555</v>
      </c>
    </row>
    <row r="335" spans="2:11" x14ac:dyDescent="0.25">
      <c r="B335" s="87">
        <v>333</v>
      </c>
      <c r="C335" s="88" t="s">
        <v>379</v>
      </c>
      <c r="D335" s="87" t="s">
        <v>12</v>
      </c>
      <c r="E335" s="87" t="s">
        <v>25</v>
      </c>
      <c r="F335" s="87" t="s">
        <v>17</v>
      </c>
      <c r="G335" s="87" t="s">
        <v>36</v>
      </c>
      <c r="H335" s="87">
        <v>11</v>
      </c>
      <c r="I335" s="87">
        <v>4203</v>
      </c>
      <c r="J335" s="87">
        <f t="shared" ca="1" si="12"/>
        <v>0.12</v>
      </c>
      <c r="K335" s="88">
        <f t="shared" si="11"/>
        <v>46233</v>
      </c>
    </row>
    <row r="336" spans="2:11" x14ac:dyDescent="0.25">
      <c r="B336" s="87">
        <v>334</v>
      </c>
      <c r="C336" s="88" t="s">
        <v>380</v>
      </c>
      <c r="D336" s="87" t="s">
        <v>13</v>
      </c>
      <c r="E336" s="87" t="s">
        <v>26</v>
      </c>
      <c r="F336" s="87" t="s">
        <v>18</v>
      </c>
      <c r="G336" s="87" t="s">
        <v>37</v>
      </c>
      <c r="H336" s="87">
        <v>15</v>
      </c>
      <c r="I336" s="87">
        <v>2628</v>
      </c>
      <c r="J336" s="87">
        <f t="shared" ca="1" si="12"/>
        <v>0.09</v>
      </c>
      <c r="K336" s="88">
        <f t="shared" si="11"/>
        <v>39420</v>
      </c>
    </row>
    <row r="337" spans="2:11" x14ac:dyDescent="0.25">
      <c r="B337" s="87">
        <v>335</v>
      </c>
      <c r="C337" s="88" t="s">
        <v>381</v>
      </c>
      <c r="D337" s="87" t="s">
        <v>14</v>
      </c>
      <c r="E337" s="87" t="s">
        <v>27</v>
      </c>
      <c r="F337" s="87" t="s">
        <v>16</v>
      </c>
      <c r="G337" s="87" t="s">
        <v>38</v>
      </c>
      <c r="H337" s="87">
        <v>19</v>
      </c>
      <c r="I337" s="87">
        <v>1466</v>
      </c>
      <c r="J337" s="87">
        <f t="shared" ca="1" si="12"/>
        <v>0.13</v>
      </c>
      <c r="K337" s="88">
        <f t="shared" si="11"/>
        <v>27854</v>
      </c>
    </row>
    <row r="338" spans="2:11" x14ac:dyDescent="0.25">
      <c r="B338" s="87">
        <v>336</v>
      </c>
      <c r="C338" s="88" t="s">
        <v>382</v>
      </c>
      <c r="D338" s="87" t="s">
        <v>10</v>
      </c>
      <c r="E338" s="87" t="s">
        <v>28</v>
      </c>
      <c r="F338" s="87" t="s">
        <v>17</v>
      </c>
      <c r="G338" s="87" t="s">
        <v>34</v>
      </c>
      <c r="H338" s="87">
        <v>12</v>
      </c>
      <c r="I338" s="87">
        <v>1190</v>
      </c>
      <c r="J338" s="87">
        <f t="shared" ca="1" si="12"/>
        <v>7.0000000000000007E-2</v>
      </c>
      <c r="K338" s="88">
        <f t="shared" si="11"/>
        <v>14280</v>
      </c>
    </row>
    <row r="339" spans="2:11" x14ac:dyDescent="0.25">
      <c r="B339" s="87">
        <v>337</v>
      </c>
      <c r="C339" s="88" t="s">
        <v>383</v>
      </c>
      <c r="D339" s="87" t="s">
        <v>11</v>
      </c>
      <c r="E339" s="87" t="s">
        <v>29</v>
      </c>
      <c r="F339" s="87" t="s">
        <v>18</v>
      </c>
      <c r="G339" s="87" t="s">
        <v>35</v>
      </c>
      <c r="H339" s="87">
        <v>9</v>
      </c>
      <c r="I339" s="87">
        <v>4048</v>
      </c>
      <c r="J339" s="87">
        <f t="shared" ca="1" si="12"/>
        <v>7.0000000000000007E-2</v>
      </c>
      <c r="K339" s="88">
        <f t="shared" si="11"/>
        <v>36432</v>
      </c>
    </row>
    <row r="340" spans="2:11" x14ac:dyDescent="0.25">
      <c r="B340" s="87">
        <v>338</v>
      </c>
      <c r="C340" s="88" t="s">
        <v>384</v>
      </c>
      <c r="D340" s="87" t="s">
        <v>12</v>
      </c>
      <c r="E340" s="87" t="s">
        <v>30</v>
      </c>
      <c r="F340" s="87" t="s">
        <v>16</v>
      </c>
      <c r="G340" s="87" t="s">
        <v>36</v>
      </c>
      <c r="H340" s="87">
        <v>20</v>
      </c>
      <c r="I340" s="87">
        <v>821</v>
      </c>
      <c r="J340" s="87">
        <f t="shared" ca="1" si="12"/>
        <v>0.15</v>
      </c>
      <c r="K340" s="88">
        <f t="shared" si="11"/>
        <v>16420</v>
      </c>
    </row>
    <row r="341" spans="2:11" x14ac:dyDescent="0.25">
      <c r="B341" s="87">
        <v>339</v>
      </c>
      <c r="C341" s="88" t="s">
        <v>385</v>
      </c>
      <c r="D341" s="87" t="s">
        <v>13</v>
      </c>
      <c r="E341" s="87" t="s">
        <v>31</v>
      </c>
      <c r="F341" s="87" t="s">
        <v>17</v>
      </c>
      <c r="G341" s="87" t="s">
        <v>37</v>
      </c>
      <c r="H341" s="87">
        <v>14</v>
      </c>
      <c r="I341" s="87">
        <v>2031</v>
      </c>
      <c r="J341" s="87">
        <f t="shared" ca="1" si="12"/>
        <v>0.1</v>
      </c>
      <c r="K341" s="88">
        <f t="shared" si="11"/>
        <v>28434</v>
      </c>
    </row>
    <row r="342" spans="2:11" x14ac:dyDescent="0.25">
      <c r="B342" s="87">
        <v>340</v>
      </c>
      <c r="C342" s="88" t="s">
        <v>386</v>
      </c>
      <c r="D342" s="87" t="s">
        <v>14</v>
      </c>
      <c r="E342" s="87" t="s">
        <v>32</v>
      </c>
      <c r="F342" s="87" t="s">
        <v>18</v>
      </c>
      <c r="G342" s="87" t="s">
        <v>38</v>
      </c>
      <c r="H342" s="87">
        <v>12</v>
      </c>
      <c r="I342" s="87">
        <v>921</v>
      </c>
      <c r="J342" s="87">
        <f t="shared" ca="1" si="12"/>
        <v>0.03</v>
      </c>
      <c r="K342" s="88">
        <f t="shared" si="11"/>
        <v>11052</v>
      </c>
    </row>
    <row r="343" spans="2:11" x14ac:dyDescent="0.25">
      <c r="B343" s="87">
        <v>341</v>
      </c>
      <c r="C343" s="88" t="s">
        <v>387</v>
      </c>
      <c r="D343" s="87" t="s">
        <v>10</v>
      </c>
      <c r="E343" s="87" t="s">
        <v>33</v>
      </c>
      <c r="F343" s="87" t="s">
        <v>16</v>
      </c>
      <c r="G343" s="87" t="s">
        <v>34</v>
      </c>
      <c r="H343" s="87">
        <v>2</v>
      </c>
      <c r="I343" s="87">
        <v>4155</v>
      </c>
      <c r="J343" s="87">
        <f t="shared" ca="1" si="12"/>
        <v>0.12</v>
      </c>
      <c r="K343" s="88">
        <f t="shared" si="11"/>
        <v>8310</v>
      </c>
    </row>
    <row r="344" spans="2:11" x14ac:dyDescent="0.25">
      <c r="B344" s="87">
        <v>342</v>
      </c>
      <c r="C344" s="88" t="s">
        <v>388</v>
      </c>
      <c r="D344" s="87" t="s">
        <v>11</v>
      </c>
      <c r="E344" s="87" t="s">
        <v>23</v>
      </c>
      <c r="F344" s="87" t="s">
        <v>15</v>
      </c>
      <c r="G344" s="87" t="s">
        <v>35</v>
      </c>
      <c r="H344" s="87">
        <v>19</v>
      </c>
      <c r="I344" s="87">
        <v>2270</v>
      </c>
      <c r="J344" s="87">
        <f t="shared" ca="1" si="12"/>
        <v>0.15</v>
      </c>
      <c r="K344" s="88">
        <f t="shared" si="11"/>
        <v>43130</v>
      </c>
    </row>
    <row r="345" spans="2:11" x14ac:dyDescent="0.25">
      <c r="B345" s="87">
        <v>343</v>
      </c>
      <c r="C345" s="88" t="s">
        <v>389</v>
      </c>
      <c r="D345" s="87" t="s">
        <v>12</v>
      </c>
      <c r="E345" s="87" t="s">
        <v>24</v>
      </c>
      <c r="F345" s="87" t="s">
        <v>16</v>
      </c>
      <c r="G345" s="87" t="s">
        <v>36</v>
      </c>
      <c r="H345" s="87">
        <v>19</v>
      </c>
      <c r="I345" s="87">
        <v>1994</v>
      </c>
      <c r="J345" s="87">
        <f t="shared" ca="1" si="12"/>
        <v>0.03</v>
      </c>
      <c r="K345" s="88">
        <f t="shared" si="11"/>
        <v>37886</v>
      </c>
    </row>
    <row r="346" spans="2:11" x14ac:dyDescent="0.25">
      <c r="B346" s="87">
        <v>344</v>
      </c>
      <c r="C346" s="88" t="s">
        <v>390</v>
      </c>
      <c r="D346" s="87" t="s">
        <v>13</v>
      </c>
      <c r="E346" s="87" t="s">
        <v>25</v>
      </c>
      <c r="F346" s="87" t="s">
        <v>17</v>
      </c>
      <c r="G346" s="87" t="s">
        <v>37</v>
      </c>
      <c r="H346" s="87">
        <v>15</v>
      </c>
      <c r="I346" s="87">
        <v>2491</v>
      </c>
      <c r="J346" s="87">
        <f t="shared" ca="1" si="12"/>
        <v>0.08</v>
      </c>
      <c r="K346" s="88">
        <f t="shared" si="11"/>
        <v>37365</v>
      </c>
    </row>
    <row r="347" spans="2:11" x14ac:dyDescent="0.25">
      <c r="B347" s="87">
        <v>345</v>
      </c>
      <c r="C347" s="88" t="s">
        <v>391</v>
      </c>
      <c r="D347" s="87" t="s">
        <v>14</v>
      </c>
      <c r="E347" s="87" t="s">
        <v>26</v>
      </c>
      <c r="F347" s="87" t="s">
        <v>18</v>
      </c>
      <c r="G347" s="87" t="s">
        <v>38</v>
      </c>
      <c r="H347" s="87">
        <v>4</v>
      </c>
      <c r="I347" s="87">
        <v>3707</v>
      </c>
      <c r="J347" s="87">
        <f t="shared" ca="1" si="12"/>
        <v>0</v>
      </c>
      <c r="K347" s="88">
        <f t="shared" si="11"/>
        <v>14828</v>
      </c>
    </row>
    <row r="348" spans="2:11" x14ac:dyDescent="0.25">
      <c r="B348" s="87">
        <v>346</v>
      </c>
      <c r="C348" s="88" t="s">
        <v>392</v>
      </c>
      <c r="D348" s="87" t="s">
        <v>10</v>
      </c>
      <c r="E348" s="87" t="s">
        <v>27</v>
      </c>
      <c r="F348" s="87" t="s">
        <v>16</v>
      </c>
      <c r="G348" s="87" t="s">
        <v>34</v>
      </c>
      <c r="H348" s="87">
        <v>11</v>
      </c>
      <c r="I348" s="87">
        <v>262</v>
      </c>
      <c r="J348" s="87">
        <f t="shared" ca="1" si="12"/>
        <v>0.14000000000000001</v>
      </c>
      <c r="K348" s="88">
        <f t="shared" si="11"/>
        <v>2882</v>
      </c>
    </row>
    <row r="349" spans="2:11" x14ac:dyDescent="0.25">
      <c r="B349" s="87">
        <v>347</v>
      </c>
      <c r="C349" s="88" t="s">
        <v>393</v>
      </c>
      <c r="D349" s="87" t="s">
        <v>11</v>
      </c>
      <c r="E349" s="87" t="s">
        <v>28</v>
      </c>
      <c r="F349" s="87" t="s">
        <v>17</v>
      </c>
      <c r="G349" s="87" t="s">
        <v>35</v>
      </c>
      <c r="H349" s="87">
        <v>3</v>
      </c>
      <c r="I349" s="87">
        <v>794</v>
      </c>
      <c r="J349" s="87">
        <f t="shared" ca="1" si="12"/>
        <v>0.03</v>
      </c>
      <c r="K349" s="88">
        <f t="shared" si="11"/>
        <v>2382</v>
      </c>
    </row>
    <row r="350" spans="2:11" x14ac:dyDescent="0.25">
      <c r="B350" s="87">
        <v>348</v>
      </c>
      <c r="C350" s="88" t="s">
        <v>394</v>
      </c>
      <c r="D350" s="87" t="s">
        <v>12</v>
      </c>
      <c r="E350" s="87" t="s">
        <v>29</v>
      </c>
      <c r="F350" s="87" t="s">
        <v>18</v>
      </c>
      <c r="G350" s="87" t="s">
        <v>36</v>
      </c>
      <c r="H350" s="87">
        <v>19</v>
      </c>
      <c r="I350" s="87">
        <v>3296</v>
      </c>
      <c r="J350" s="87">
        <f t="shared" ca="1" si="12"/>
        <v>0.01</v>
      </c>
      <c r="K350" s="88">
        <f t="shared" si="11"/>
        <v>62624</v>
      </c>
    </row>
    <row r="351" spans="2:11" x14ac:dyDescent="0.25">
      <c r="B351" s="87">
        <v>349</v>
      </c>
      <c r="C351" s="88" t="s">
        <v>395</v>
      </c>
      <c r="D351" s="87" t="s">
        <v>13</v>
      </c>
      <c r="E351" s="87" t="s">
        <v>30</v>
      </c>
      <c r="F351" s="87" t="s">
        <v>16</v>
      </c>
      <c r="G351" s="87" t="s">
        <v>37</v>
      </c>
      <c r="H351" s="87">
        <v>5</v>
      </c>
      <c r="I351" s="87">
        <v>310</v>
      </c>
      <c r="J351" s="87">
        <f t="shared" ca="1" si="12"/>
        <v>0.06</v>
      </c>
      <c r="K351" s="88">
        <f t="shared" si="11"/>
        <v>1550</v>
      </c>
    </row>
    <row r="352" spans="2:11" x14ac:dyDescent="0.25">
      <c r="B352" s="87">
        <v>350</v>
      </c>
      <c r="C352" s="88" t="s">
        <v>396</v>
      </c>
      <c r="D352" s="87" t="s">
        <v>14</v>
      </c>
      <c r="E352" s="87" t="s">
        <v>31</v>
      </c>
      <c r="F352" s="87" t="s">
        <v>17</v>
      </c>
      <c r="G352" s="87" t="s">
        <v>38</v>
      </c>
      <c r="H352" s="87">
        <v>8</v>
      </c>
      <c r="I352" s="87">
        <v>1853</v>
      </c>
      <c r="J352" s="87">
        <f t="shared" ca="1" si="12"/>
        <v>0.12</v>
      </c>
      <c r="K352" s="88">
        <f t="shared" si="11"/>
        <v>14824</v>
      </c>
    </row>
    <row r="353" spans="2:11" x14ac:dyDescent="0.25">
      <c r="B353" s="87">
        <v>351</v>
      </c>
      <c r="C353" s="88" t="s">
        <v>397</v>
      </c>
      <c r="D353" s="87" t="s">
        <v>10</v>
      </c>
      <c r="E353" s="87" t="s">
        <v>32</v>
      </c>
      <c r="F353" s="87" t="s">
        <v>18</v>
      </c>
      <c r="G353" s="87" t="s">
        <v>34</v>
      </c>
      <c r="H353" s="87">
        <v>18</v>
      </c>
      <c r="I353" s="87">
        <v>2845</v>
      </c>
      <c r="J353" s="87">
        <f t="shared" ca="1" si="12"/>
        <v>0.06</v>
      </c>
      <c r="K353" s="88">
        <f t="shared" si="11"/>
        <v>51210</v>
      </c>
    </row>
    <row r="354" spans="2:11" x14ac:dyDescent="0.25">
      <c r="B354" s="87">
        <v>352</v>
      </c>
      <c r="C354" s="88" t="s">
        <v>398</v>
      </c>
      <c r="D354" s="87" t="s">
        <v>11</v>
      </c>
      <c r="E354" s="87" t="s">
        <v>33</v>
      </c>
      <c r="F354" s="87" t="s">
        <v>16</v>
      </c>
      <c r="G354" s="87" t="s">
        <v>35</v>
      </c>
      <c r="H354" s="87">
        <v>16</v>
      </c>
      <c r="I354" s="87">
        <v>1548</v>
      </c>
      <c r="J354" s="87">
        <f t="shared" ca="1" si="12"/>
        <v>0.08</v>
      </c>
      <c r="K354" s="88">
        <f t="shared" si="11"/>
        <v>24768</v>
      </c>
    </row>
    <row r="355" spans="2:11" x14ac:dyDescent="0.25">
      <c r="B355" s="87">
        <v>353</v>
      </c>
      <c r="C355" s="88" t="s">
        <v>399</v>
      </c>
      <c r="D355" s="87" t="s">
        <v>12</v>
      </c>
      <c r="E355" s="87" t="s">
        <v>23</v>
      </c>
      <c r="F355" s="87" t="s">
        <v>15</v>
      </c>
      <c r="G355" s="87" t="s">
        <v>36</v>
      </c>
      <c r="H355" s="87">
        <v>10</v>
      </c>
      <c r="I355" s="87">
        <v>1769</v>
      </c>
      <c r="J355" s="87">
        <f t="shared" ca="1" si="12"/>
        <v>0.04</v>
      </c>
      <c r="K355" s="88">
        <f t="shared" si="11"/>
        <v>17690</v>
      </c>
    </row>
    <row r="356" spans="2:11" x14ac:dyDescent="0.25">
      <c r="B356" s="87">
        <v>354</v>
      </c>
      <c r="C356" s="88" t="s">
        <v>400</v>
      </c>
      <c r="D356" s="87" t="s">
        <v>13</v>
      </c>
      <c r="E356" s="87" t="s">
        <v>24</v>
      </c>
      <c r="F356" s="87" t="s">
        <v>16</v>
      </c>
      <c r="G356" s="87" t="s">
        <v>37</v>
      </c>
      <c r="H356" s="87">
        <v>6</v>
      </c>
      <c r="I356" s="87">
        <v>4656</v>
      </c>
      <c r="J356" s="87">
        <f t="shared" ca="1" si="12"/>
        <v>0.14000000000000001</v>
      </c>
      <c r="K356" s="88">
        <f t="shared" si="11"/>
        <v>27936</v>
      </c>
    </row>
    <row r="357" spans="2:11" x14ac:dyDescent="0.25">
      <c r="B357" s="87">
        <v>355</v>
      </c>
      <c r="C357" s="88" t="s">
        <v>401</v>
      </c>
      <c r="D357" s="87" t="s">
        <v>14</v>
      </c>
      <c r="E357" s="87" t="s">
        <v>25</v>
      </c>
      <c r="F357" s="87" t="s">
        <v>17</v>
      </c>
      <c r="G357" s="87" t="s">
        <v>38</v>
      </c>
      <c r="H357" s="87">
        <v>16</v>
      </c>
      <c r="I357" s="87">
        <v>2529</v>
      </c>
      <c r="J357" s="87">
        <f t="shared" ca="1" si="12"/>
        <v>0.01</v>
      </c>
      <c r="K357" s="88">
        <f t="shared" si="11"/>
        <v>40464</v>
      </c>
    </row>
    <row r="358" spans="2:11" x14ac:dyDescent="0.25">
      <c r="B358" s="87">
        <v>356</v>
      </c>
      <c r="C358" s="88" t="s">
        <v>402</v>
      </c>
      <c r="D358" s="87" t="s">
        <v>10</v>
      </c>
      <c r="E358" s="87" t="s">
        <v>26</v>
      </c>
      <c r="F358" s="87" t="s">
        <v>18</v>
      </c>
      <c r="G358" s="87" t="s">
        <v>34</v>
      </c>
      <c r="H358" s="87">
        <v>14</v>
      </c>
      <c r="I358" s="87">
        <v>1553</v>
      </c>
      <c r="J358" s="87">
        <f t="shared" ca="1" si="12"/>
        <v>0.14000000000000001</v>
      </c>
      <c r="K358" s="88">
        <f t="shared" si="11"/>
        <v>21742</v>
      </c>
    </row>
    <row r="359" spans="2:11" x14ac:dyDescent="0.25">
      <c r="B359" s="87">
        <v>357</v>
      </c>
      <c r="C359" s="88" t="s">
        <v>403</v>
      </c>
      <c r="D359" s="87" t="s">
        <v>11</v>
      </c>
      <c r="E359" s="87" t="s">
        <v>27</v>
      </c>
      <c r="F359" s="87" t="s">
        <v>16</v>
      </c>
      <c r="G359" s="87" t="s">
        <v>35</v>
      </c>
      <c r="H359" s="87">
        <v>11</v>
      </c>
      <c r="I359" s="87">
        <v>830</v>
      </c>
      <c r="J359" s="87">
        <f t="shared" ca="1" si="12"/>
        <v>0.14000000000000001</v>
      </c>
      <c r="K359" s="88">
        <f t="shared" si="11"/>
        <v>9130</v>
      </c>
    </row>
    <row r="360" spans="2:11" x14ac:dyDescent="0.25">
      <c r="B360" s="87">
        <v>358</v>
      </c>
      <c r="C360" s="88" t="s">
        <v>404</v>
      </c>
      <c r="D360" s="87" t="s">
        <v>12</v>
      </c>
      <c r="E360" s="87" t="s">
        <v>28</v>
      </c>
      <c r="F360" s="87" t="s">
        <v>17</v>
      </c>
      <c r="G360" s="87" t="s">
        <v>36</v>
      </c>
      <c r="H360" s="87">
        <v>12</v>
      </c>
      <c r="I360" s="87">
        <v>3205</v>
      </c>
      <c r="J360" s="87">
        <f t="shared" ca="1" si="12"/>
        <v>0</v>
      </c>
      <c r="K360" s="88">
        <f t="shared" si="11"/>
        <v>38460</v>
      </c>
    </row>
    <row r="361" spans="2:11" x14ac:dyDescent="0.25">
      <c r="B361" s="87">
        <v>359</v>
      </c>
      <c r="C361" s="88" t="s">
        <v>405</v>
      </c>
      <c r="D361" s="87" t="s">
        <v>13</v>
      </c>
      <c r="E361" s="87" t="s">
        <v>29</v>
      </c>
      <c r="F361" s="87" t="s">
        <v>18</v>
      </c>
      <c r="G361" s="87" t="s">
        <v>37</v>
      </c>
      <c r="H361" s="87">
        <v>12</v>
      </c>
      <c r="I361" s="87">
        <v>1307</v>
      </c>
      <c r="J361" s="87">
        <f t="shared" ca="1" si="12"/>
        <v>0.09</v>
      </c>
      <c r="K361" s="88">
        <f t="shared" si="11"/>
        <v>15684</v>
      </c>
    </row>
    <row r="362" spans="2:11" x14ac:dyDescent="0.25">
      <c r="B362" s="87">
        <v>360</v>
      </c>
      <c r="C362" s="88" t="s">
        <v>406</v>
      </c>
      <c r="D362" s="87" t="s">
        <v>14</v>
      </c>
      <c r="E362" s="87" t="s">
        <v>30</v>
      </c>
      <c r="F362" s="87" t="s">
        <v>16</v>
      </c>
      <c r="G362" s="87" t="s">
        <v>38</v>
      </c>
      <c r="H362" s="87">
        <v>20</v>
      </c>
      <c r="I362" s="87">
        <v>4452</v>
      </c>
      <c r="J362" s="87">
        <f t="shared" ca="1" si="12"/>
        <v>0.13</v>
      </c>
      <c r="K362" s="88">
        <f t="shared" si="11"/>
        <v>89040</v>
      </c>
    </row>
    <row r="363" spans="2:11" x14ac:dyDescent="0.25">
      <c r="B363" s="87">
        <v>361</v>
      </c>
      <c r="C363" s="88" t="s">
        <v>407</v>
      </c>
      <c r="D363" s="87" t="s">
        <v>10</v>
      </c>
      <c r="E363" s="87" t="s">
        <v>31</v>
      </c>
      <c r="F363" s="87" t="s">
        <v>17</v>
      </c>
      <c r="G363" s="87" t="s">
        <v>34</v>
      </c>
      <c r="H363" s="87">
        <v>5</v>
      </c>
      <c r="I363" s="87">
        <v>2384</v>
      </c>
      <c r="J363" s="87">
        <f t="shared" ca="1" si="12"/>
        <v>0.1</v>
      </c>
      <c r="K363" s="88">
        <f t="shared" si="11"/>
        <v>11920</v>
      </c>
    </row>
    <row r="364" spans="2:11" x14ac:dyDescent="0.25">
      <c r="B364" s="87">
        <v>362</v>
      </c>
      <c r="C364" s="88" t="s">
        <v>408</v>
      </c>
      <c r="D364" s="87" t="s">
        <v>11</v>
      </c>
      <c r="E364" s="87" t="s">
        <v>32</v>
      </c>
      <c r="F364" s="87" t="s">
        <v>18</v>
      </c>
      <c r="G364" s="87" t="s">
        <v>35</v>
      </c>
      <c r="H364" s="87">
        <v>9</v>
      </c>
      <c r="I364" s="87">
        <v>3819</v>
      </c>
      <c r="J364" s="87">
        <f t="shared" ca="1" si="12"/>
        <v>7.0000000000000007E-2</v>
      </c>
      <c r="K364" s="88">
        <f t="shared" si="11"/>
        <v>34371</v>
      </c>
    </row>
    <row r="365" spans="2:11" x14ac:dyDescent="0.25">
      <c r="B365" s="87">
        <v>363</v>
      </c>
      <c r="C365" s="88" t="s">
        <v>409</v>
      </c>
      <c r="D365" s="87" t="s">
        <v>12</v>
      </c>
      <c r="E365" s="87" t="s">
        <v>33</v>
      </c>
      <c r="F365" s="87" t="s">
        <v>16</v>
      </c>
      <c r="G365" s="87" t="s">
        <v>36</v>
      </c>
      <c r="H365" s="87">
        <v>20</v>
      </c>
      <c r="I365" s="87">
        <v>738</v>
      </c>
      <c r="J365" s="87">
        <f t="shared" ca="1" si="12"/>
        <v>0.14000000000000001</v>
      </c>
      <c r="K365" s="88">
        <f t="shared" si="11"/>
        <v>14760</v>
      </c>
    </row>
    <row r="366" spans="2:11" x14ac:dyDescent="0.25">
      <c r="B366" s="87">
        <v>364</v>
      </c>
      <c r="C366" s="88" t="s">
        <v>410</v>
      </c>
      <c r="D366" s="87" t="s">
        <v>13</v>
      </c>
      <c r="E366" s="87" t="s">
        <v>23</v>
      </c>
      <c r="F366" s="87" t="s">
        <v>15</v>
      </c>
      <c r="G366" s="87" t="s">
        <v>37</v>
      </c>
      <c r="H366" s="87">
        <v>20</v>
      </c>
      <c r="I366" s="87">
        <v>3145</v>
      </c>
      <c r="J366" s="87">
        <f t="shared" ca="1" si="12"/>
        <v>0.12</v>
      </c>
      <c r="K366" s="88">
        <f t="shared" si="11"/>
        <v>62900</v>
      </c>
    </row>
    <row r="367" spans="2:11" x14ac:dyDescent="0.25">
      <c r="B367" s="87">
        <v>365</v>
      </c>
      <c r="C367" s="88" t="s">
        <v>411</v>
      </c>
      <c r="D367" s="87" t="s">
        <v>14</v>
      </c>
      <c r="E367" s="87" t="s">
        <v>24</v>
      </c>
      <c r="F367" s="87" t="s">
        <v>16</v>
      </c>
      <c r="G367" s="87" t="s">
        <v>38</v>
      </c>
      <c r="H367" s="87">
        <v>6</v>
      </c>
      <c r="I367" s="87">
        <v>2279</v>
      </c>
      <c r="J367" s="87">
        <f t="shared" ca="1" si="12"/>
        <v>0.12</v>
      </c>
      <c r="K367" s="88">
        <f t="shared" si="11"/>
        <v>13674</v>
      </c>
    </row>
    <row r="368" spans="2:11" x14ac:dyDescent="0.25">
      <c r="B368" s="87">
        <v>366</v>
      </c>
      <c r="C368" s="88" t="s">
        <v>412</v>
      </c>
      <c r="D368" s="87" t="s">
        <v>10</v>
      </c>
      <c r="E368" s="87" t="s">
        <v>25</v>
      </c>
      <c r="F368" s="87" t="s">
        <v>17</v>
      </c>
      <c r="G368" s="87" t="s">
        <v>34</v>
      </c>
      <c r="H368" s="87">
        <v>2</v>
      </c>
      <c r="I368" s="87">
        <v>4721</v>
      </c>
      <c r="J368" s="87">
        <f t="shared" ca="1" si="12"/>
        <v>0.02</v>
      </c>
      <c r="K368" s="88">
        <f t="shared" si="11"/>
        <v>9442</v>
      </c>
    </row>
    <row r="369" spans="2:11" x14ac:dyDescent="0.25">
      <c r="B369" s="87">
        <v>367</v>
      </c>
      <c r="C369" s="88" t="s">
        <v>413</v>
      </c>
      <c r="D369" s="87" t="s">
        <v>11</v>
      </c>
      <c r="E369" s="87" t="s">
        <v>26</v>
      </c>
      <c r="F369" s="87" t="s">
        <v>18</v>
      </c>
      <c r="G369" s="87" t="s">
        <v>35</v>
      </c>
      <c r="H369" s="87">
        <v>3</v>
      </c>
      <c r="I369" s="87">
        <v>502</v>
      </c>
      <c r="J369" s="87">
        <f t="shared" ca="1" si="12"/>
        <v>0.12</v>
      </c>
      <c r="K369" s="88">
        <f t="shared" si="11"/>
        <v>1506</v>
      </c>
    </row>
    <row r="370" spans="2:11" x14ac:dyDescent="0.25">
      <c r="B370" s="87">
        <v>368</v>
      </c>
      <c r="C370" s="88" t="s">
        <v>414</v>
      </c>
      <c r="D370" s="87" t="s">
        <v>12</v>
      </c>
      <c r="E370" s="87" t="s">
        <v>27</v>
      </c>
      <c r="F370" s="87" t="s">
        <v>16</v>
      </c>
      <c r="G370" s="87" t="s">
        <v>36</v>
      </c>
      <c r="H370" s="87">
        <v>20</v>
      </c>
      <c r="I370" s="87">
        <v>1652</v>
      </c>
      <c r="J370" s="87">
        <f t="shared" ca="1" si="12"/>
        <v>0.12</v>
      </c>
      <c r="K370" s="88">
        <f t="shared" si="11"/>
        <v>33040</v>
      </c>
    </row>
    <row r="371" spans="2:11" x14ac:dyDescent="0.25">
      <c r="B371" s="87">
        <v>369</v>
      </c>
      <c r="C371" s="88" t="s">
        <v>415</v>
      </c>
      <c r="D371" s="87" t="s">
        <v>13</v>
      </c>
      <c r="E371" s="87" t="s">
        <v>28</v>
      </c>
      <c r="F371" s="87" t="s">
        <v>17</v>
      </c>
      <c r="G371" s="87" t="s">
        <v>37</v>
      </c>
      <c r="H371" s="87">
        <v>18</v>
      </c>
      <c r="I371" s="87">
        <v>635</v>
      </c>
      <c r="J371" s="87">
        <f t="shared" ca="1" si="12"/>
        <v>0.03</v>
      </c>
      <c r="K371" s="88">
        <f t="shared" si="11"/>
        <v>11430</v>
      </c>
    </row>
    <row r="372" spans="2:11" x14ac:dyDescent="0.25">
      <c r="B372" s="87">
        <v>370</v>
      </c>
      <c r="C372" s="88" t="s">
        <v>416</v>
      </c>
      <c r="D372" s="87" t="s">
        <v>14</v>
      </c>
      <c r="E372" s="87" t="s">
        <v>29</v>
      </c>
      <c r="F372" s="87" t="s">
        <v>18</v>
      </c>
      <c r="G372" s="87" t="s">
        <v>38</v>
      </c>
      <c r="H372" s="87">
        <v>15</v>
      </c>
      <c r="I372" s="87">
        <v>184</v>
      </c>
      <c r="J372" s="87">
        <f t="shared" ca="1" si="12"/>
        <v>7.0000000000000007E-2</v>
      </c>
      <c r="K372" s="88">
        <f t="shared" si="11"/>
        <v>2760</v>
      </c>
    </row>
    <row r="373" spans="2:11" x14ac:dyDescent="0.25">
      <c r="B373" s="87">
        <v>371</v>
      </c>
      <c r="C373" s="88" t="s">
        <v>417</v>
      </c>
      <c r="D373" s="87" t="s">
        <v>10</v>
      </c>
      <c r="E373" s="87" t="s">
        <v>30</v>
      </c>
      <c r="F373" s="87" t="s">
        <v>16</v>
      </c>
      <c r="G373" s="87" t="s">
        <v>34</v>
      </c>
      <c r="H373" s="87">
        <v>5</v>
      </c>
      <c r="I373" s="87">
        <v>2419</v>
      </c>
      <c r="J373" s="87">
        <f t="shared" ca="1" si="12"/>
        <v>0.05</v>
      </c>
      <c r="K373" s="88">
        <f t="shared" si="11"/>
        <v>12095</v>
      </c>
    </row>
    <row r="374" spans="2:11" x14ac:dyDescent="0.25">
      <c r="B374" s="87">
        <v>372</v>
      </c>
      <c r="C374" s="88" t="s">
        <v>418</v>
      </c>
      <c r="D374" s="87" t="s">
        <v>11</v>
      </c>
      <c r="E374" s="87" t="s">
        <v>31</v>
      </c>
      <c r="F374" s="87" t="s">
        <v>17</v>
      </c>
      <c r="G374" s="87" t="s">
        <v>35</v>
      </c>
      <c r="H374" s="87">
        <v>6</v>
      </c>
      <c r="I374" s="87">
        <v>2564</v>
      </c>
      <c r="J374" s="87">
        <f t="shared" ca="1" si="12"/>
        <v>0.06</v>
      </c>
      <c r="K374" s="88">
        <f t="shared" si="11"/>
        <v>15384</v>
      </c>
    </row>
    <row r="375" spans="2:11" x14ac:dyDescent="0.25">
      <c r="B375" s="87">
        <v>373</v>
      </c>
      <c r="C375" s="88" t="s">
        <v>419</v>
      </c>
      <c r="D375" s="87" t="s">
        <v>12</v>
      </c>
      <c r="E375" s="87" t="s">
        <v>32</v>
      </c>
      <c r="F375" s="87" t="s">
        <v>18</v>
      </c>
      <c r="G375" s="87" t="s">
        <v>36</v>
      </c>
      <c r="H375" s="87">
        <v>7</v>
      </c>
      <c r="I375" s="87">
        <v>3087</v>
      </c>
      <c r="J375" s="87">
        <f t="shared" ca="1" si="12"/>
        <v>0.13</v>
      </c>
      <c r="K375" s="88">
        <f t="shared" si="11"/>
        <v>21609</v>
      </c>
    </row>
    <row r="376" spans="2:11" x14ac:dyDescent="0.25">
      <c r="B376" s="87">
        <v>374</v>
      </c>
      <c r="C376" s="88" t="s">
        <v>420</v>
      </c>
      <c r="D376" s="87" t="s">
        <v>13</v>
      </c>
      <c r="E376" s="87" t="s">
        <v>33</v>
      </c>
      <c r="F376" s="87" t="s">
        <v>16</v>
      </c>
      <c r="G376" s="87" t="s">
        <v>37</v>
      </c>
      <c r="H376" s="87">
        <v>20</v>
      </c>
      <c r="I376" s="87">
        <v>4187</v>
      </c>
      <c r="J376" s="87">
        <f t="shared" ca="1" si="12"/>
        <v>0.06</v>
      </c>
      <c r="K376" s="88">
        <f t="shared" si="11"/>
        <v>83740</v>
      </c>
    </row>
    <row r="377" spans="2:11" x14ac:dyDescent="0.25">
      <c r="B377" s="87">
        <v>375</v>
      </c>
      <c r="C377" s="88" t="s">
        <v>421</v>
      </c>
      <c r="D377" s="87" t="s">
        <v>14</v>
      </c>
      <c r="E377" s="87" t="s">
        <v>23</v>
      </c>
      <c r="F377" s="87" t="s">
        <v>15</v>
      </c>
      <c r="G377" s="87" t="s">
        <v>38</v>
      </c>
      <c r="H377" s="87">
        <v>19</v>
      </c>
      <c r="I377" s="87">
        <v>4638</v>
      </c>
      <c r="J377" s="87">
        <f t="shared" ca="1" si="12"/>
        <v>0.03</v>
      </c>
      <c r="K377" s="88">
        <f t="shared" si="11"/>
        <v>88122</v>
      </c>
    </row>
    <row r="378" spans="2:11" x14ac:dyDescent="0.25">
      <c r="B378" s="87">
        <v>376</v>
      </c>
      <c r="C378" s="88" t="s">
        <v>422</v>
      </c>
      <c r="D378" s="87" t="s">
        <v>10</v>
      </c>
      <c r="E378" s="87" t="s">
        <v>24</v>
      </c>
      <c r="F378" s="87" t="s">
        <v>16</v>
      </c>
      <c r="G378" s="87" t="s">
        <v>34</v>
      </c>
      <c r="H378" s="87">
        <v>10</v>
      </c>
      <c r="I378" s="87">
        <v>2852</v>
      </c>
      <c r="J378" s="87">
        <f t="shared" ca="1" si="12"/>
        <v>0.12</v>
      </c>
      <c r="K378" s="88">
        <f t="shared" si="11"/>
        <v>28520</v>
      </c>
    </row>
    <row r="379" spans="2:11" x14ac:dyDescent="0.25">
      <c r="B379" s="87">
        <v>377</v>
      </c>
      <c r="C379" s="88" t="s">
        <v>423</v>
      </c>
      <c r="D379" s="87" t="s">
        <v>11</v>
      </c>
      <c r="E379" s="87" t="s">
        <v>25</v>
      </c>
      <c r="F379" s="87" t="s">
        <v>17</v>
      </c>
      <c r="G379" s="87" t="s">
        <v>35</v>
      </c>
      <c r="H379" s="87">
        <v>18</v>
      </c>
      <c r="I379" s="87">
        <v>1335</v>
      </c>
      <c r="J379" s="87">
        <f t="shared" ca="1" si="12"/>
        <v>0.02</v>
      </c>
      <c r="K379" s="88">
        <f t="shared" si="11"/>
        <v>24030</v>
      </c>
    </row>
    <row r="380" spans="2:11" x14ac:dyDescent="0.25">
      <c r="B380" s="87">
        <v>378</v>
      </c>
      <c r="C380" s="88" t="s">
        <v>424</v>
      </c>
      <c r="D380" s="87" t="s">
        <v>12</v>
      </c>
      <c r="E380" s="87" t="s">
        <v>26</v>
      </c>
      <c r="F380" s="87" t="s">
        <v>18</v>
      </c>
      <c r="G380" s="87" t="s">
        <v>36</v>
      </c>
      <c r="H380" s="87">
        <v>11</v>
      </c>
      <c r="I380" s="87">
        <v>3790</v>
      </c>
      <c r="J380" s="87">
        <f t="shared" ca="1" si="12"/>
        <v>0.1</v>
      </c>
      <c r="K380" s="88">
        <f t="shared" si="11"/>
        <v>41690</v>
      </c>
    </row>
    <row r="381" spans="2:11" x14ac:dyDescent="0.25">
      <c r="B381" s="87">
        <v>379</v>
      </c>
      <c r="C381" s="88" t="s">
        <v>425</v>
      </c>
      <c r="D381" s="87" t="s">
        <v>13</v>
      </c>
      <c r="E381" s="87" t="s">
        <v>27</v>
      </c>
      <c r="F381" s="87" t="s">
        <v>16</v>
      </c>
      <c r="G381" s="87" t="s">
        <v>37</v>
      </c>
      <c r="H381" s="87">
        <v>11</v>
      </c>
      <c r="I381" s="87">
        <v>4285</v>
      </c>
      <c r="J381" s="87">
        <f t="shared" ca="1" si="12"/>
        <v>7.0000000000000007E-2</v>
      </c>
      <c r="K381" s="88">
        <f t="shared" si="11"/>
        <v>47135</v>
      </c>
    </row>
    <row r="382" spans="2:11" x14ac:dyDescent="0.25">
      <c r="B382" s="87">
        <v>380</v>
      </c>
      <c r="C382" s="88" t="s">
        <v>426</v>
      </c>
      <c r="D382" s="87" t="s">
        <v>14</v>
      </c>
      <c r="E382" s="87" t="s">
        <v>28</v>
      </c>
      <c r="F382" s="87" t="s">
        <v>17</v>
      </c>
      <c r="G382" s="87" t="s">
        <v>38</v>
      </c>
      <c r="H382" s="87">
        <v>17</v>
      </c>
      <c r="I382" s="87">
        <v>389</v>
      </c>
      <c r="J382" s="87">
        <f t="shared" ca="1" si="12"/>
        <v>0.05</v>
      </c>
      <c r="K382" s="88">
        <f t="shared" si="11"/>
        <v>6613</v>
      </c>
    </row>
    <row r="383" spans="2:11" x14ac:dyDescent="0.25">
      <c r="B383" s="87">
        <v>381</v>
      </c>
      <c r="C383" s="88" t="s">
        <v>427</v>
      </c>
      <c r="D383" s="87" t="s">
        <v>10</v>
      </c>
      <c r="E383" s="87" t="s">
        <v>29</v>
      </c>
      <c r="F383" s="87" t="s">
        <v>18</v>
      </c>
      <c r="G383" s="87" t="s">
        <v>34</v>
      </c>
      <c r="H383" s="87">
        <v>20</v>
      </c>
      <c r="I383" s="87">
        <v>1275</v>
      </c>
      <c r="J383" s="87">
        <f t="shared" ca="1" si="12"/>
        <v>0.13</v>
      </c>
      <c r="K383" s="88">
        <f t="shared" si="11"/>
        <v>25500</v>
      </c>
    </row>
    <row r="384" spans="2:11" x14ac:dyDescent="0.25">
      <c r="B384" s="87">
        <v>382</v>
      </c>
      <c r="C384" s="88" t="s">
        <v>428</v>
      </c>
      <c r="D384" s="87" t="s">
        <v>11</v>
      </c>
      <c r="E384" s="87" t="s">
        <v>30</v>
      </c>
      <c r="F384" s="87" t="s">
        <v>16</v>
      </c>
      <c r="G384" s="87" t="s">
        <v>35</v>
      </c>
      <c r="H384" s="87">
        <v>19</v>
      </c>
      <c r="I384" s="87">
        <v>4817</v>
      </c>
      <c r="J384" s="87">
        <f t="shared" ca="1" si="12"/>
        <v>0.1</v>
      </c>
      <c r="K384" s="88">
        <f t="shared" si="11"/>
        <v>91523</v>
      </c>
    </row>
    <row r="385" spans="2:11" x14ac:dyDescent="0.25">
      <c r="B385" s="87">
        <v>383</v>
      </c>
      <c r="C385" s="88" t="s">
        <v>429</v>
      </c>
      <c r="D385" s="87" t="s">
        <v>12</v>
      </c>
      <c r="E385" s="87" t="s">
        <v>31</v>
      </c>
      <c r="F385" s="87" t="s">
        <v>17</v>
      </c>
      <c r="G385" s="87" t="s">
        <v>36</v>
      </c>
      <c r="H385" s="87">
        <v>2</v>
      </c>
      <c r="I385" s="87">
        <v>491</v>
      </c>
      <c r="J385" s="87">
        <f t="shared" ca="1" si="12"/>
        <v>0.14000000000000001</v>
      </c>
      <c r="K385" s="88">
        <f t="shared" si="11"/>
        <v>982</v>
      </c>
    </row>
    <row r="386" spans="2:11" x14ac:dyDescent="0.25">
      <c r="B386" s="87">
        <v>384</v>
      </c>
      <c r="C386" s="88" t="s">
        <v>430</v>
      </c>
      <c r="D386" s="87" t="s">
        <v>13</v>
      </c>
      <c r="E386" s="87" t="s">
        <v>32</v>
      </c>
      <c r="F386" s="87" t="s">
        <v>18</v>
      </c>
      <c r="G386" s="87" t="s">
        <v>37</v>
      </c>
      <c r="H386" s="87">
        <v>11</v>
      </c>
      <c r="I386" s="87">
        <v>543</v>
      </c>
      <c r="J386" s="87">
        <f t="shared" ca="1" si="12"/>
        <v>0.04</v>
      </c>
      <c r="K386" s="88">
        <f t="shared" si="11"/>
        <v>5973</v>
      </c>
    </row>
    <row r="387" spans="2:11" x14ac:dyDescent="0.25">
      <c r="B387" s="87">
        <v>385</v>
      </c>
      <c r="C387" s="88" t="s">
        <v>431</v>
      </c>
      <c r="D387" s="87" t="s">
        <v>14</v>
      </c>
      <c r="E387" s="87" t="s">
        <v>33</v>
      </c>
      <c r="F387" s="87" t="s">
        <v>16</v>
      </c>
      <c r="G387" s="87" t="s">
        <v>38</v>
      </c>
      <c r="H387" s="87">
        <v>4</v>
      </c>
      <c r="I387" s="87">
        <v>160</v>
      </c>
      <c r="J387" s="87">
        <f t="shared" ca="1" si="12"/>
        <v>0.14000000000000001</v>
      </c>
      <c r="K387" s="88">
        <f t="shared" si="11"/>
        <v>640</v>
      </c>
    </row>
    <row r="388" spans="2:11" x14ac:dyDescent="0.25">
      <c r="B388" s="87">
        <v>386</v>
      </c>
      <c r="C388" s="88" t="s">
        <v>432</v>
      </c>
      <c r="D388" s="87" t="s">
        <v>10</v>
      </c>
      <c r="E388" s="87" t="s">
        <v>23</v>
      </c>
      <c r="F388" s="87" t="s">
        <v>15</v>
      </c>
      <c r="G388" s="87" t="s">
        <v>34</v>
      </c>
      <c r="H388" s="87">
        <v>13</v>
      </c>
      <c r="I388" s="87">
        <v>3198</v>
      </c>
      <c r="J388" s="87">
        <f t="shared" ca="1" si="12"/>
        <v>0.14000000000000001</v>
      </c>
      <c r="K388" s="88">
        <f t="shared" si="11"/>
        <v>41574</v>
      </c>
    </row>
    <row r="389" spans="2:11" x14ac:dyDescent="0.25">
      <c r="B389" s="87">
        <v>387</v>
      </c>
      <c r="C389" s="88" t="s">
        <v>433</v>
      </c>
      <c r="D389" s="87" t="s">
        <v>11</v>
      </c>
      <c r="E389" s="87" t="s">
        <v>24</v>
      </c>
      <c r="F389" s="87" t="s">
        <v>16</v>
      </c>
      <c r="G389" s="87" t="s">
        <v>35</v>
      </c>
      <c r="H389" s="87">
        <v>8</v>
      </c>
      <c r="I389" s="87">
        <v>1418</v>
      </c>
      <c r="J389" s="87">
        <f t="shared" ca="1" si="12"/>
        <v>0.03</v>
      </c>
      <c r="K389" s="88">
        <f t="shared" ref="K389:K452" si="13">H389*I389</f>
        <v>11344</v>
      </c>
    </row>
    <row r="390" spans="2:11" x14ac:dyDescent="0.25">
      <c r="B390" s="87">
        <v>388</v>
      </c>
      <c r="C390" s="88" t="s">
        <v>434</v>
      </c>
      <c r="D390" s="87" t="s">
        <v>12</v>
      </c>
      <c r="E390" s="87" t="s">
        <v>25</v>
      </c>
      <c r="F390" s="87" t="s">
        <v>17</v>
      </c>
      <c r="G390" s="87" t="s">
        <v>36</v>
      </c>
      <c r="H390" s="87">
        <v>3</v>
      </c>
      <c r="I390" s="87">
        <v>1486</v>
      </c>
      <c r="J390" s="87">
        <f t="shared" ca="1" si="12"/>
        <v>0.12</v>
      </c>
      <c r="K390" s="88">
        <f t="shared" si="13"/>
        <v>4458</v>
      </c>
    </row>
    <row r="391" spans="2:11" x14ac:dyDescent="0.25">
      <c r="B391" s="87">
        <v>389</v>
      </c>
      <c r="C391" s="88" t="s">
        <v>435</v>
      </c>
      <c r="D391" s="87" t="s">
        <v>13</v>
      </c>
      <c r="E391" s="87" t="s">
        <v>26</v>
      </c>
      <c r="F391" s="87" t="s">
        <v>18</v>
      </c>
      <c r="G391" s="87" t="s">
        <v>37</v>
      </c>
      <c r="H391" s="87">
        <v>20</v>
      </c>
      <c r="I391" s="87">
        <v>360</v>
      </c>
      <c r="J391" s="87">
        <f t="shared" ca="1" si="12"/>
        <v>0.1</v>
      </c>
      <c r="K391" s="88">
        <f t="shared" si="13"/>
        <v>7200</v>
      </c>
    </row>
    <row r="392" spans="2:11" x14ac:dyDescent="0.25">
      <c r="B392" s="87">
        <v>390</v>
      </c>
      <c r="C392" s="88" t="s">
        <v>436</v>
      </c>
      <c r="D392" s="87" t="s">
        <v>14</v>
      </c>
      <c r="E392" s="87" t="s">
        <v>27</v>
      </c>
      <c r="F392" s="87" t="s">
        <v>16</v>
      </c>
      <c r="G392" s="87" t="s">
        <v>38</v>
      </c>
      <c r="H392" s="87">
        <v>8</v>
      </c>
      <c r="I392" s="87">
        <v>572</v>
      </c>
      <c r="J392" s="87">
        <f t="shared" ca="1" si="12"/>
        <v>0.01</v>
      </c>
      <c r="K392" s="88">
        <f t="shared" si="13"/>
        <v>4576</v>
      </c>
    </row>
    <row r="393" spans="2:11" x14ac:dyDescent="0.25">
      <c r="B393" s="87">
        <v>391</v>
      </c>
      <c r="C393" s="88" t="s">
        <v>437</v>
      </c>
      <c r="D393" s="87" t="s">
        <v>10</v>
      </c>
      <c r="E393" s="87" t="s">
        <v>28</v>
      </c>
      <c r="F393" s="87" t="s">
        <v>17</v>
      </c>
      <c r="G393" s="87" t="s">
        <v>34</v>
      </c>
      <c r="H393" s="87">
        <v>10</v>
      </c>
      <c r="I393" s="87">
        <v>1435</v>
      </c>
      <c r="J393" s="87">
        <f t="shared" ref="J393:J456" ca="1" si="14">RANDBETWEEN(0, 15) / 100</f>
        <v>0.05</v>
      </c>
      <c r="K393" s="88">
        <f t="shared" si="13"/>
        <v>14350</v>
      </c>
    </row>
    <row r="394" spans="2:11" x14ac:dyDescent="0.25">
      <c r="B394" s="87">
        <v>392</v>
      </c>
      <c r="C394" s="88" t="s">
        <v>438</v>
      </c>
      <c r="D394" s="87" t="s">
        <v>11</v>
      </c>
      <c r="E394" s="87" t="s">
        <v>29</v>
      </c>
      <c r="F394" s="87" t="s">
        <v>18</v>
      </c>
      <c r="G394" s="87" t="s">
        <v>35</v>
      </c>
      <c r="H394" s="87">
        <v>6</v>
      </c>
      <c r="I394" s="87">
        <v>2928</v>
      </c>
      <c r="J394" s="87">
        <f t="shared" ca="1" si="14"/>
        <v>0.15</v>
      </c>
      <c r="K394" s="88">
        <f t="shared" si="13"/>
        <v>17568</v>
      </c>
    </row>
    <row r="395" spans="2:11" x14ac:dyDescent="0.25">
      <c r="B395" s="87">
        <v>393</v>
      </c>
      <c r="C395" s="88" t="s">
        <v>439</v>
      </c>
      <c r="D395" s="87" t="s">
        <v>12</v>
      </c>
      <c r="E395" s="87" t="s">
        <v>30</v>
      </c>
      <c r="F395" s="87" t="s">
        <v>16</v>
      </c>
      <c r="G395" s="87" t="s">
        <v>36</v>
      </c>
      <c r="H395" s="87">
        <v>2</v>
      </c>
      <c r="I395" s="87">
        <v>705</v>
      </c>
      <c r="J395" s="87">
        <f t="shared" ca="1" si="14"/>
        <v>7.0000000000000007E-2</v>
      </c>
      <c r="K395" s="88">
        <f t="shared" si="13"/>
        <v>1410</v>
      </c>
    </row>
    <row r="396" spans="2:11" x14ac:dyDescent="0.25">
      <c r="B396" s="87">
        <v>394</v>
      </c>
      <c r="C396" s="88" t="s">
        <v>440</v>
      </c>
      <c r="D396" s="87" t="s">
        <v>13</v>
      </c>
      <c r="E396" s="87" t="s">
        <v>31</v>
      </c>
      <c r="F396" s="87" t="s">
        <v>17</v>
      </c>
      <c r="G396" s="87" t="s">
        <v>37</v>
      </c>
      <c r="H396" s="87">
        <v>1</v>
      </c>
      <c r="I396" s="87">
        <v>4719</v>
      </c>
      <c r="J396" s="87">
        <f t="shared" ca="1" si="14"/>
        <v>0.12</v>
      </c>
      <c r="K396" s="88">
        <f t="shared" si="13"/>
        <v>4719</v>
      </c>
    </row>
    <row r="397" spans="2:11" x14ac:dyDescent="0.25">
      <c r="B397" s="87">
        <v>395</v>
      </c>
      <c r="C397" s="88" t="s">
        <v>441</v>
      </c>
      <c r="D397" s="87" t="s">
        <v>14</v>
      </c>
      <c r="E397" s="87" t="s">
        <v>32</v>
      </c>
      <c r="F397" s="87" t="s">
        <v>18</v>
      </c>
      <c r="G397" s="87" t="s">
        <v>38</v>
      </c>
      <c r="H397" s="87">
        <v>9</v>
      </c>
      <c r="I397" s="87">
        <v>348</v>
      </c>
      <c r="J397" s="87">
        <f t="shared" ca="1" si="14"/>
        <v>0.12</v>
      </c>
      <c r="K397" s="88">
        <f t="shared" si="13"/>
        <v>3132</v>
      </c>
    </row>
    <row r="398" spans="2:11" x14ac:dyDescent="0.25">
      <c r="B398" s="87">
        <v>396</v>
      </c>
      <c r="C398" s="88" t="s">
        <v>442</v>
      </c>
      <c r="D398" s="87" t="s">
        <v>10</v>
      </c>
      <c r="E398" s="87" t="s">
        <v>33</v>
      </c>
      <c r="F398" s="87" t="s">
        <v>16</v>
      </c>
      <c r="G398" s="87" t="s">
        <v>34</v>
      </c>
      <c r="H398" s="87">
        <v>19</v>
      </c>
      <c r="I398" s="87">
        <v>2286</v>
      </c>
      <c r="J398" s="87">
        <f t="shared" ca="1" si="14"/>
        <v>7.0000000000000007E-2</v>
      </c>
      <c r="K398" s="88">
        <f t="shared" si="13"/>
        <v>43434</v>
      </c>
    </row>
    <row r="399" spans="2:11" x14ac:dyDescent="0.25">
      <c r="B399" s="87">
        <v>397</v>
      </c>
      <c r="C399" s="88" t="s">
        <v>443</v>
      </c>
      <c r="D399" s="87" t="s">
        <v>11</v>
      </c>
      <c r="E399" s="87" t="s">
        <v>23</v>
      </c>
      <c r="F399" s="87" t="s">
        <v>15</v>
      </c>
      <c r="G399" s="87" t="s">
        <v>35</v>
      </c>
      <c r="H399" s="87">
        <v>17</v>
      </c>
      <c r="I399" s="87">
        <v>1482</v>
      </c>
      <c r="J399" s="87">
        <f t="shared" ca="1" si="14"/>
        <v>0.11</v>
      </c>
      <c r="K399" s="88">
        <f t="shared" si="13"/>
        <v>25194</v>
      </c>
    </row>
    <row r="400" spans="2:11" x14ac:dyDescent="0.25">
      <c r="B400" s="87">
        <v>398</v>
      </c>
      <c r="C400" s="88" t="s">
        <v>444</v>
      </c>
      <c r="D400" s="87" t="s">
        <v>12</v>
      </c>
      <c r="E400" s="87" t="s">
        <v>24</v>
      </c>
      <c r="F400" s="87" t="s">
        <v>16</v>
      </c>
      <c r="G400" s="87" t="s">
        <v>36</v>
      </c>
      <c r="H400" s="87">
        <v>19</v>
      </c>
      <c r="I400" s="87">
        <v>1841</v>
      </c>
      <c r="J400" s="87">
        <f t="shared" ca="1" si="14"/>
        <v>0</v>
      </c>
      <c r="K400" s="88">
        <f t="shared" si="13"/>
        <v>34979</v>
      </c>
    </row>
    <row r="401" spans="2:11" x14ac:dyDescent="0.25">
      <c r="B401" s="87">
        <v>399</v>
      </c>
      <c r="C401" s="88" t="s">
        <v>445</v>
      </c>
      <c r="D401" s="87" t="s">
        <v>13</v>
      </c>
      <c r="E401" s="87" t="s">
        <v>25</v>
      </c>
      <c r="F401" s="87" t="s">
        <v>17</v>
      </c>
      <c r="G401" s="87" t="s">
        <v>37</v>
      </c>
      <c r="H401" s="87">
        <v>14</v>
      </c>
      <c r="I401" s="87">
        <v>1216</v>
      </c>
      <c r="J401" s="87">
        <f t="shared" ca="1" si="14"/>
        <v>0.04</v>
      </c>
      <c r="K401" s="88">
        <f t="shared" si="13"/>
        <v>17024</v>
      </c>
    </row>
    <row r="402" spans="2:11" x14ac:dyDescent="0.25">
      <c r="B402" s="87">
        <v>400</v>
      </c>
      <c r="C402" s="88" t="s">
        <v>446</v>
      </c>
      <c r="D402" s="87" t="s">
        <v>14</v>
      </c>
      <c r="E402" s="87" t="s">
        <v>26</v>
      </c>
      <c r="F402" s="87" t="s">
        <v>18</v>
      </c>
      <c r="G402" s="87" t="s">
        <v>38</v>
      </c>
      <c r="H402" s="87">
        <v>4</v>
      </c>
      <c r="I402" s="87">
        <v>3276</v>
      </c>
      <c r="J402" s="87">
        <f t="shared" ca="1" si="14"/>
        <v>0.01</v>
      </c>
      <c r="K402" s="88">
        <f t="shared" si="13"/>
        <v>13104</v>
      </c>
    </row>
    <row r="403" spans="2:11" x14ac:dyDescent="0.25">
      <c r="B403" s="87">
        <v>401</v>
      </c>
      <c r="C403" s="88" t="s">
        <v>447</v>
      </c>
      <c r="D403" s="87" t="s">
        <v>10</v>
      </c>
      <c r="E403" s="87" t="s">
        <v>27</v>
      </c>
      <c r="F403" s="87" t="s">
        <v>16</v>
      </c>
      <c r="G403" s="87" t="s">
        <v>34</v>
      </c>
      <c r="H403" s="87">
        <v>20</v>
      </c>
      <c r="I403" s="87">
        <v>2620</v>
      </c>
      <c r="J403" s="87">
        <f t="shared" ca="1" si="14"/>
        <v>0.12</v>
      </c>
      <c r="K403" s="88">
        <f t="shared" si="13"/>
        <v>52400</v>
      </c>
    </row>
    <row r="404" spans="2:11" x14ac:dyDescent="0.25">
      <c r="B404" s="87">
        <v>402</v>
      </c>
      <c r="C404" s="88" t="s">
        <v>448</v>
      </c>
      <c r="D404" s="87" t="s">
        <v>11</v>
      </c>
      <c r="E404" s="87" t="s">
        <v>28</v>
      </c>
      <c r="F404" s="87" t="s">
        <v>17</v>
      </c>
      <c r="G404" s="87" t="s">
        <v>35</v>
      </c>
      <c r="H404" s="87">
        <v>20</v>
      </c>
      <c r="I404" s="87">
        <v>1760</v>
      </c>
      <c r="J404" s="87">
        <f t="shared" ca="1" si="14"/>
        <v>0.01</v>
      </c>
      <c r="K404" s="88">
        <f t="shared" si="13"/>
        <v>35200</v>
      </c>
    </row>
    <row r="405" spans="2:11" x14ac:dyDescent="0.25">
      <c r="B405" s="87">
        <v>403</v>
      </c>
      <c r="C405" s="88" t="s">
        <v>449</v>
      </c>
      <c r="D405" s="87" t="s">
        <v>12</v>
      </c>
      <c r="E405" s="87" t="s">
        <v>29</v>
      </c>
      <c r="F405" s="87" t="s">
        <v>18</v>
      </c>
      <c r="G405" s="87" t="s">
        <v>36</v>
      </c>
      <c r="H405" s="87">
        <v>6</v>
      </c>
      <c r="I405" s="87">
        <v>3900</v>
      </c>
      <c r="J405" s="87">
        <f t="shared" ca="1" si="14"/>
        <v>0.05</v>
      </c>
      <c r="K405" s="88">
        <f t="shared" si="13"/>
        <v>23400</v>
      </c>
    </row>
    <row r="406" spans="2:11" x14ac:dyDescent="0.25">
      <c r="B406" s="87">
        <v>404</v>
      </c>
      <c r="C406" s="88" t="s">
        <v>450</v>
      </c>
      <c r="D406" s="87" t="s">
        <v>13</v>
      </c>
      <c r="E406" s="87" t="s">
        <v>30</v>
      </c>
      <c r="F406" s="87" t="s">
        <v>16</v>
      </c>
      <c r="G406" s="87" t="s">
        <v>37</v>
      </c>
      <c r="H406" s="87">
        <v>10</v>
      </c>
      <c r="I406" s="87">
        <v>1858</v>
      </c>
      <c r="J406" s="87">
        <f t="shared" ca="1" si="14"/>
        <v>0.04</v>
      </c>
      <c r="K406" s="88">
        <f t="shared" si="13"/>
        <v>18580</v>
      </c>
    </row>
    <row r="407" spans="2:11" x14ac:dyDescent="0.25">
      <c r="B407" s="87">
        <v>405</v>
      </c>
      <c r="C407" s="88" t="s">
        <v>451</v>
      </c>
      <c r="D407" s="87" t="s">
        <v>14</v>
      </c>
      <c r="E407" s="87" t="s">
        <v>31</v>
      </c>
      <c r="F407" s="87" t="s">
        <v>17</v>
      </c>
      <c r="G407" s="87" t="s">
        <v>38</v>
      </c>
      <c r="H407" s="87">
        <v>12</v>
      </c>
      <c r="I407" s="87">
        <v>3089</v>
      </c>
      <c r="J407" s="87">
        <f t="shared" ca="1" si="14"/>
        <v>0.14000000000000001</v>
      </c>
      <c r="K407" s="88">
        <f t="shared" si="13"/>
        <v>37068</v>
      </c>
    </row>
    <row r="408" spans="2:11" x14ac:dyDescent="0.25">
      <c r="B408" s="87">
        <v>406</v>
      </c>
      <c r="C408" s="88" t="s">
        <v>452</v>
      </c>
      <c r="D408" s="87" t="s">
        <v>10</v>
      </c>
      <c r="E408" s="87" t="s">
        <v>32</v>
      </c>
      <c r="F408" s="87" t="s">
        <v>18</v>
      </c>
      <c r="G408" s="87" t="s">
        <v>34</v>
      </c>
      <c r="H408" s="87">
        <v>14</v>
      </c>
      <c r="I408" s="87">
        <v>4305</v>
      </c>
      <c r="J408" s="87">
        <f t="shared" ca="1" si="14"/>
        <v>0.14000000000000001</v>
      </c>
      <c r="K408" s="88">
        <f t="shared" si="13"/>
        <v>60270</v>
      </c>
    </row>
    <row r="409" spans="2:11" x14ac:dyDescent="0.25">
      <c r="B409" s="87">
        <v>407</v>
      </c>
      <c r="C409" s="88" t="s">
        <v>453</v>
      </c>
      <c r="D409" s="87" t="s">
        <v>11</v>
      </c>
      <c r="E409" s="87" t="s">
        <v>33</v>
      </c>
      <c r="F409" s="87" t="s">
        <v>16</v>
      </c>
      <c r="G409" s="87" t="s">
        <v>35</v>
      </c>
      <c r="H409" s="87">
        <v>20</v>
      </c>
      <c r="I409" s="87">
        <v>2614</v>
      </c>
      <c r="J409" s="87">
        <f t="shared" ca="1" si="14"/>
        <v>0.08</v>
      </c>
      <c r="K409" s="88">
        <f t="shared" si="13"/>
        <v>52280</v>
      </c>
    </row>
    <row r="410" spans="2:11" x14ac:dyDescent="0.25">
      <c r="B410" s="87">
        <v>408</v>
      </c>
      <c r="C410" s="88" t="s">
        <v>454</v>
      </c>
      <c r="D410" s="87" t="s">
        <v>12</v>
      </c>
      <c r="E410" s="87" t="s">
        <v>23</v>
      </c>
      <c r="F410" s="87" t="s">
        <v>15</v>
      </c>
      <c r="G410" s="87" t="s">
        <v>36</v>
      </c>
      <c r="H410" s="87">
        <v>11</v>
      </c>
      <c r="I410" s="87">
        <v>3137</v>
      </c>
      <c r="J410" s="87">
        <f t="shared" ca="1" si="14"/>
        <v>7.0000000000000007E-2</v>
      </c>
      <c r="K410" s="88">
        <f t="shared" si="13"/>
        <v>34507</v>
      </c>
    </row>
    <row r="411" spans="2:11" x14ac:dyDescent="0.25">
      <c r="B411" s="87">
        <v>409</v>
      </c>
      <c r="C411" s="88" t="s">
        <v>455</v>
      </c>
      <c r="D411" s="87" t="s">
        <v>13</v>
      </c>
      <c r="E411" s="87" t="s">
        <v>24</v>
      </c>
      <c r="F411" s="87" t="s">
        <v>16</v>
      </c>
      <c r="G411" s="87" t="s">
        <v>37</v>
      </c>
      <c r="H411" s="87">
        <v>4</v>
      </c>
      <c r="I411" s="87">
        <v>4446</v>
      </c>
      <c r="J411" s="87">
        <f t="shared" ca="1" si="14"/>
        <v>0.03</v>
      </c>
      <c r="K411" s="88">
        <f t="shared" si="13"/>
        <v>17784</v>
      </c>
    </row>
    <row r="412" spans="2:11" x14ac:dyDescent="0.25">
      <c r="B412" s="87">
        <v>410</v>
      </c>
      <c r="C412" s="88" t="s">
        <v>456</v>
      </c>
      <c r="D412" s="87" t="s">
        <v>14</v>
      </c>
      <c r="E412" s="87" t="s">
        <v>25</v>
      </c>
      <c r="F412" s="87" t="s">
        <v>17</v>
      </c>
      <c r="G412" s="87" t="s">
        <v>38</v>
      </c>
      <c r="H412" s="87">
        <v>6</v>
      </c>
      <c r="I412" s="87">
        <v>2574</v>
      </c>
      <c r="J412" s="87">
        <f t="shared" ca="1" si="14"/>
        <v>0</v>
      </c>
      <c r="K412" s="88">
        <f t="shared" si="13"/>
        <v>15444</v>
      </c>
    </row>
    <row r="413" spans="2:11" x14ac:dyDescent="0.25">
      <c r="B413" s="87">
        <v>411</v>
      </c>
      <c r="C413" s="88" t="s">
        <v>457</v>
      </c>
      <c r="D413" s="87" t="s">
        <v>10</v>
      </c>
      <c r="E413" s="87" t="s">
        <v>26</v>
      </c>
      <c r="F413" s="87" t="s">
        <v>18</v>
      </c>
      <c r="G413" s="87" t="s">
        <v>34</v>
      </c>
      <c r="H413" s="87">
        <v>7</v>
      </c>
      <c r="I413" s="87">
        <v>216</v>
      </c>
      <c r="J413" s="87">
        <f t="shared" ca="1" si="14"/>
        <v>0.02</v>
      </c>
      <c r="K413" s="88">
        <f t="shared" si="13"/>
        <v>1512</v>
      </c>
    </row>
    <row r="414" spans="2:11" x14ac:dyDescent="0.25">
      <c r="B414" s="87">
        <v>412</v>
      </c>
      <c r="C414" s="88" t="s">
        <v>458</v>
      </c>
      <c r="D414" s="87" t="s">
        <v>11</v>
      </c>
      <c r="E414" s="87" t="s">
        <v>27</v>
      </c>
      <c r="F414" s="87" t="s">
        <v>16</v>
      </c>
      <c r="G414" s="87" t="s">
        <v>35</v>
      </c>
      <c r="H414" s="87">
        <v>6</v>
      </c>
      <c r="I414" s="87">
        <v>286</v>
      </c>
      <c r="J414" s="87">
        <f t="shared" ca="1" si="14"/>
        <v>0.13</v>
      </c>
      <c r="K414" s="88">
        <f t="shared" si="13"/>
        <v>1716</v>
      </c>
    </row>
    <row r="415" spans="2:11" x14ac:dyDescent="0.25">
      <c r="B415" s="87">
        <v>413</v>
      </c>
      <c r="C415" s="88" t="s">
        <v>459</v>
      </c>
      <c r="D415" s="87" t="s">
        <v>12</v>
      </c>
      <c r="E415" s="87" t="s">
        <v>28</v>
      </c>
      <c r="F415" s="87" t="s">
        <v>17</v>
      </c>
      <c r="G415" s="87" t="s">
        <v>36</v>
      </c>
      <c r="H415" s="87">
        <v>1</v>
      </c>
      <c r="I415" s="87">
        <v>2578</v>
      </c>
      <c r="J415" s="87">
        <f t="shared" ca="1" si="14"/>
        <v>7.0000000000000007E-2</v>
      </c>
      <c r="K415" s="88">
        <f t="shared" si="13"/>
        <v>2578</v>
      </c>
    </row>
    <row r="416" spans="2:11" x14ac:dyDescent="0.25">
      <c r="B416" s="87">
        <v>414</v>
      </c>
      <c r="C416" s="88" t="s">
        <v>460</v>
      </c>
      <c r="D416" s="87" t="s">
        <v>13</v>
      </c>
      <c r="E416" s="87" t="s">
        <v>29</v>
      </c>
      <c r="F416" s="87" t="s">
        <v>18</v>
      </c>
      <c r="G416" s="87" t="s">
        <v>37</v>
      </c>
      <c r="H416" s="87">
        <v>3</v>
      </c>
      <c r="I416" s="87">
        <v>1777</v>
      </c>
      <c r="J416" s="87">
        <f t="shared" ca="1" si="14"/>
        <v>7.0000000000000007E-2</v>
      </c>
      <c r="K416" s="88">
        <f t="shared" si="13"/>
        <v>5331</v>
      </c>
    </row>
    <row r="417" spans="2:11" x14ac:dyDescent="0.25">
      <c r="B417" s="87">
        <v>415</v>
      </c>
      <c r="C417" s="88" t="s">
        <v>461</v>
      </c>
      <c r="D417" s="87" t="s">
        <v>14</v>
      </c>
      <c r="E417" s="87" t="s">
        <v>30</v>
      </c>
      <c r="F417" s="87" t="s">
        <v>16</v>
      </c>
      <c r="G417" s="87" t="s">
        <v>38</v>
      </c>
      <c r="H417" s="87">
        <v>4</v>
      </c>
      <c r="I417" s="87">
        <v>3822</v>
      </c>
      <c r="J417" s="87">
        <f t="shared" ca="1" si="14"/>
        <v>0.01</v>
      </c>
      <c r="K417" s="88">
        <f t="shared" si="13"/>
        <v>15288</v>
      </c>
    </row>
    <row r="418" spans="2:11" x14ac:dyDescent="0.25">
      <c r="B418" s="87">
        <v>416</v>
      </c>
      <c r="C418" s="88" t="s">
        <v>462</v>
      </c>
      <c r="D418" s="87" t="s">
        <v>10</v>
      </c>
      <c r="E418" s="87" t="s">
        <v>31</v>
      </c>
      <c r="F418" s="87" t="s">
        <v>17</v>
      </c>
      <c r="G418" s="87" t="s">
        <v>34</v>
      </c>
      <c r="H418" s="87">
        <v>14</v>
      </c>
      <c r="I418" s="87">
        <v>4896</v>
      </c>
      <c r="J418" s="87">
        <f t="shared" ca="1" si="14"/>
        <v>7.0000000000000007E-2</v>
      </c>
      <c r="K418" s="88">
        <f t="shared" si="13"/>
        <v>68544</v>
      </c>
    </row>
    <row r="419" spans="2:11" x14ac:dyDescent="0.25">
      <c r="B419" s="87">
        <v>417</v>
      </c>
      <c r="C419" s="88" t="s">
        <v>463</v>
      </c>
      <c r="D419" s="87" t="s">
        <v>11</v>
      </c>
      <c r="E419" s="87" t="s">
        <v>32</v>
      </c>
      <c r="F419" s="87" t="s">
        <v>18</v>
      </c>
      <c r="G419" s="87" t="s">
        <v>35</v>
      </c>
      <c r="H419" s="87">
        <v>9</v>
      </c>
      <c r="I419" s="87">
        <v>3240</v>
      </c>
      <c r="J419" s="87">
        <f t="shared" ca="1" si="14"/>
        <v>0.09</v>
      </c>
      <c r="K419" s="88">
        <f t="shared" si="13"/>
        <v>29160</v>
      </c>
    </row>
    <row r="420" spans="2:11" x14ac:dyDescent="0.25">
      <c r="B420" s="87">
        <v>418</v>
      </c>
      <c r="C420" s="88" t="s">
        <v>464</v>
      </c>
      <c r="D420" s="87" t="s">
        <v>12</v>
      </c>
      <c r="E420" s="87" t="s">
        <v>33</v>
      </c>
      <c r="F420" s="87" t="s">
        <v>16</v>
      </c>
      <c r="G420" s="87" t="s">
        <v>36</v>
      </c>
      <c r="H420" s="87">
        <v>5</v>
      </c>
      <c r="I420" s="87">
        <v>2149</v>
      </c>
      <c r="J420" s="87">
        <f t="shared" ca="1" si="14"/>
        <v>0.13</v>
      </c>
      <c r="K420" s="88">
        <f t="shared" si="13"/>
        <v>10745</v>
      </c>
    </row>
    <row r="421" spans="2:11" x14ac:dyDescent="0.25">
      <c r="B421" s="87">
        <v>419</v>
      </c>
      <c r="C421" s="88" t="s">
        <v>465</v>
      </c>
      <c r="D421" s="87" t="s">
        <v>13</v>
      </c>
      <c r="E421" s="87" t="s">
        <v>23</v>
      </c>
      <c r="F421" s="87" t="s">
        <v>15</v>
      </c>
      <c r="G421" s="87" t="s">
        <v>37</v>
      </c>
      <c r="H421" s="87">
        <v>4</v>
      </c>
      <c r="I421" s="87">
        <v>2821</v>
      </c>
      <c r="J421" s="87">
        <f t="shared" ca="1" si="14"/>
        <v>0.15</v>
      </c>
      <c r="K421" s="88">
        <f t="shared" si="13"/>
        <v>11284</v>
      </c>
    </row>
    <row r="422" spans="2:11" x14ac:dyDescent="0.25">
      <c r="B422" s="87">
        <v>420</v>
      </c>
      <c r="C422" s="88" t="s">
        <v>466</v>
      </c>
      <c r="D422" s="87" t="s">
        <v>14</v>
      </c>
      <c r="E422" s="87" t="s">
        <v>24</v>
      </c>
      <c r="F422" s="87" t="s">
        <v>16</v>
      </c>
      <c r="G422" s="87" t="s">
        <v>38</v>
      </c>
      <c r="H422" s="87">
        <v>3</v>
      </c>
      <c r="I422" s="87">
        <v>515</v>
      </c>
      <c r="J422" s="87">
        <f t="shared" ca="1" si="14"/>
        <v>0.03</v>
      </c>
      <c r="K422" s="88">
        <f t="shared" si="13"/>
        <v>1545</v>
      </c>
    </row>
    <row r="423" spans="2:11" x14ac:dyDescent="0.25">
      <c r="B423" s="87">
        <v>421</v>
      </c>
      <c r="C423" s="88" t="s">
        <v>467</v>
      </c>
      <c r="D423" s="87" t="s">
        <v>10</v>
      </c>
      <c r="E423" s="87" t="s">
        <v>25</v>
      </c>
      <c r="F423" s="87" t="s">
        <v>17</v>
      </c>
      <c r="G423" s="87" t="s">
        <v>34</v>
      </c>
      <c r="H423" s="87">
        <v>11</v>
      </c>
      <c r="I423" s="87">
        <v>2323</v>
      </c>
      <c r="J423" s="87">
        <f t="shared" ca="1" si="14"/>
        <v>0</v>
      </c>
      <c r="K423" s="88">
        <f t="shared" si="13"/>
        <v>25553</v>
      </c>
    </row>
    <row r="424" spans="2:11" x14ac:dyDescent="0.25">
      <c r="B424" s="87">
        <v>422</v>
      </c>
      <c r="C424" s="88" t="s">
        <v>468</v>
      </c>
      <c r="D424" s="87" t="s">
        <v>11</v>
      </c>
      <c r="E424" s="87" t="s">
        <v>26</v>
      </c>
      <c r="F424" s="87" t="s">
        <v>18</v>
      </c>
      <c r="G424" s="87" t="s">
        <v>35</v>
      </c>
      <c r="H424" s="87">
        <v>10</v>
      </c>
      <c r="I424" s="87">
        <v>2947</v>
      </c>
      <c r="J424" s="87">
        <f t="shared" ca="1" si="14"/>
        <v>0.02</v>
      </c>
      <c r="K424" s="88">
        <f t="shared" si="13"/>
        <v>29470</v>
      </c>
    </row>
    <row r="425" spans="2:11" x14ac:dyDescent="0.25">
      <c r="B425" s="87">
        <v>423</v>
      </c>
      <c r="C425" s="88" t="s">
        <v>469</v>
      </c>
      <c r="D425" s="87" t="s">
        <v>12</v>
      </c>
      <c r="E425" s="87" t="s">
        <v>27</v>
      </c>
      <c r="F425" s="87" t="s">
        <v>16</v>
      </c>
      <c r="G425" s="87" t="s">
        <v>36</v>
      </c>
      <c r="H425" s="87">
        <v>16</v>
      </c>
      <c r="I425" s="87">
        <v>2814</v>
      </c>
      <c r="J425" s="87">
        <f t="shared" ca="1" si="14"/>
        <v>0.01</v>
      </c>
      <c r="K425" s="88">
        <f t="shared" si="13"/>
        <v>45024</v>
      </c>
    </row>
    <row r="426" spans="2:11" x14ac:dyDescent="0.25">
      <c r="B426" s="87">
        <v>424</v>
      </c>
      <c r="C426" s="88" t="s">
        <v>470</v>
      </c>
      <c r="D426" s="87" t="s">
        <v>13</v>
      </c>
      <c r="E426" s="87" t="s">
        <v>28</v>
      </c>
      <c r="F426" s="87" t="s">
        <v>17</v>
      </c>
      <c r="G426" s="87" t="s">
        <v>37</v>
      </c>
      <c r="H426" s="87">
        <v>15</v>
      </c>
      <c r="I426" s="87">
        <v>4526</v>
      </c>
      <c r="J426" s="87">
        <f t="shared" ca="1" si="14"/>
        <v>0.03</v>
      </c>
      <c r="K426" s="88">
        <f t="shared" si="13"/>
        <v>67890</v>
      </c>
    </row>
    <row r="427" spans="2:11" x14ac:dyDescent="0.25">
      <c r="B427" s="87">
        <v>425</v>
      </c>
      <c r="C427" s="88" t="s">
        <v>471</v>
      </c>
      <c r="D427" s="87" t="s">
        <v>14</v>
      </c>
      <c r="E427" s="87" t="s">
        <v>29</v>
      </c>
      <c r="F427" s="87" t="s">
        <v>18</v>
      </c>
      <c r="G427" s="87" t="s">
        <v>38</v>
      </c>
      <c r="H427" s="87">
        <v>11</v>
      </c>
      <c r="I427" s="87">
        <v>4115</v>
      </c>
      <c r="J427" s="87">
        <f t="shared" ca="1" si="14"/>
        <v>0.1</v>
      </c>
      <c r="K427" s="88">
        <f t="shared" si="13"/>
        <v>45265</v>
      </c>
    </row>
    <row r="428" spans="2:11" x14ac:dyDescent="0.25">
      <c r="B428" s="87">
        <v>426</v>
      </c>
      <c r="C428" s="88" t="s">
        <v>472</v>
      </c>
      <c r="D428" s="87" t="s">
        <v>10</v>
      </c>
      <c r="E428" s="87" t="s">
        <v>30</v>
      </c>
      <c r="F428" s="87" t="s">
        <v>16</v>
      </c>
      <c r="G428" s="87" t="s">
        <v>34</v>
      </c>
      <c r="H428" s="87">
        <v>18</v>
      </c>
      <c r="I428" s="87">
        <v>3426</v>
      </c>
      <c r="J428" s="87">
        <f t="shared" ca="1" si="14"/>
        <v>0.1</v>
      </c>
      <c r="K428" s="88">
        <f t="shared" si="13"/>
        <v>61668</v>
      </c>
    </row>
    <row r="429" spans="2:11" x14ac:dyDescent="0.25">
      <c r="B429" s="87">
        <v>427</v>
      </c>
      <c r="C429" s="88" t="s">
        <v>473</v>
      </c>
      <c r="D429" s="87" t="s">
        <v>11</v>
      </c>
      <c r="E429" s="87" t="s">
        <v>31</v>
      </c>
      <c r="F429" s="87" t="s">
        <v>17</v>
      </c>
      <c r="G429" s="87" t="s">
        <v>35</v>
      </c>
      <c r="H429" s="87">
        <v>14</v>
      </c>
      <c r="I429" s="87">
        <v>362</v>
      </c>
      <c r="J429" s="87">
        <f t="shared" ca="1" si="14"/>
        <v>0.02</v>
      </c>
      <c r="K429" s="88">
        <f t="shared" si="13"/>
        <v>5068</v>
      </c>
    </row>
    <row r="430" spans="2:11" x14ac:dyDescent="0.25">
      <c r="B430" s="87">
        <v>428</v>
      </c>
      <c r="C430" s="88" t="s">
        <v>474</v>
      </c>
      <c r="D430" s="87" t="s">
        <v>12</v>
      </c>
      <c r="E430" s="87" t="s">
        <v>32</v>
      </c>
      <c r="F430" s="87" t="s">
        <v>18</v>
      </c>
      <c r="G430" s="87" t="s">
        <v>36</v>
      </c>
      <c r="H430" s="87">
        <v>11</v>
      </c>
      <c r="I430" s="87">
        <v>248</v>
      </c>
      <c r="J430" s="87">
        <f t="shared" ca="1" si="14"/>
        <v>0.13</v>
      </c>
      <c r="K430" s="88">
        <f t="shared" si="13"/>
        <v>2728</v>
      </c>
    </row>
    <row r="431" spans="2:11" x14ac:dyDescent="0.25">
      <c r="B431" s="87">
        <v>429</v>
      </c>
      <c r="C431" s="88" t="s">
        <v>475</v>
      </c>
      <c r="D431" s="87" t="s">
        <v>13</v>
      </c>
      <c r="E431" s="87" t="s">
        <v>33</v>
      </c>
      <c r="F431" s="87" t="s">
        <v>16</v>
      </c>
      <c r="G431" s="87" t="s">
        <v>37</v>
      </c>
      <c r="H431" s="87">
        <v>18</v>
      </c>
      <c r="I431" s="87">
        <v>3454</v>
      </c>
      <c r="J431" s="87">
        <f t="shared" ca="1" si="14"/>
        <v>0.06</v>
      </c>
      <c r="K431" s="88">
        <f t="shared" si="13"/>
        <v>62172</v>
      </c>
    </row>
    <row r="432" spans="2:11" x14ac:dyDescent="0.25">
      <c r="B432" s="87">
        <v>430</v>
      </c>
      <c r="C432" s="88" t="s">
        <v>476</v>
      </c>
      <c r="D432" s="87" t="s">
        <v>14</v>
      </c>
      <c r="E432" s="87" t="s">
        <v>23</v>
      </c>
      <c r="F432" s="87" t="s">
        <v>15</v>
      </c>
      <c r="G432" s="87" t="s">
        <v>38</v>
      </c>
      <c r="H432" s="87">
        <v>19</v>
      </c>
      <c r="I432" s="87">
        <v>936</v>
      </c>
      <c r="J432" s="87">
        <f t="shared" ca="1" si="14"/>
        <v>0</v>
      </c>
      <c r="K432" s="88">
        <f t="shared" si="13"/>
        <v>17784</v>
      </c>
    </row>
    <row r="433" spans="2:11" x14ac:dyDescent="0.25">
      <c r="B433" s="87">
        <v>431</v>
      </c>
      <c r="C433" s="88" t="s">
        <v>477</v>
      </c>
      <c r="D433" s="87" t="s">
        <v>10</v>
      </c>
      <c r="E433" s="87" t="s">
        <v>24</v>
      </c>
      <c r="F433" s="87" t="s">
        <v>16</v>
      </c>
      <c r="G433" s="87" t="s">
        <v>34</v>
      </c>
      <c r="H433" s="87">
        <v>13</v>
      </c>
      <c r="I433" s="87">
        <v>1073</v>
      </c>
      <c r="J433" s="87">
        <f t="shared" ca="1" si="14"/>
        <v>0.1</v>
      </c>
      <c r="K433" s="88">
        <f t="shared" si="13"/>
        <v>13949</v>
      </c>
    </row>
    <row r="434" spans="2:11" x14ac:dyDescent="0.25">
      <c r="B434" s="87">
        <v>432</v>
      </c>
      <c r="C434" s="88" t="s">
        <v>478</v>
      </c>
      <c r="D434" s="87" t="s">
        <v>11</v>
      </c>
      <c r="E434" s="87" t="s">
        <v>25</v>
      </c>
      <c r="F434" s="87" t="s">
        <v>17</v>
      </c>
      <c r="G434" s="87" t="s">
        <v>35</v>
      </c>
      <c r="H434" s="87">
        <v>9</v>
      </c>
      <c r="I434" s="87">
        <v>1297</v>
      </c>
      <c r="J434" s="87">
        <f t="shared" ca="1" si="14"/>
        <v>0.09</v>
      </c>
      <c r="K434" s="88">
        <f t="shared" si="13"/>
        <v>11673</v>
      </c>
    </row>
    <row r="435" spans="2:11" x14ac:dyDescent="0.25">
      <c r="B435" s="87">
        <v>433</v>
      </c>
      <c r="C435" s="88" t="s">
        <v>479</v>
      </c>
      <c r="D435" s="87" t="s">
        <v>12</v>
      </c>
      <c r="E435" s="87" t="s">
        <v>26</v>
      </c>
      <c r="F435" s="87" t="s">
        <v>18</v>
      </c>
      <c r="G435" s="87" t="s">
        <v>36</v>
      </c>
      <c r="H435" s="87">
        <v>3</v>
      </c>
      <c r="I435" s="87">
        <v>4491</v>
      </c>
      <c r="J435" s="87">
        <f t="shared" ca="1" si="14"/>
        <v>0.12</v>
      </c>
      <c r="K435" s="88">
        <f t="shared" si="13"/>
        <v>13473</v>
      </c>
    </row>
    <row r="436" spans="2:11" x14ac:dyDescent="0.25">
      <c r="B436" s="87">
        <v>434</v>
      </c>
      <c r="C436" s="88" t="s">
        <v>480</v>
      </c>
      <c r="D436" s="87" t="s">
        <v>13</v>
      </c>
      <c r="E436" s="87" t="s">
        <v>27</v>
      </c>
      <c r="F436" s="87" t="s">
        <v>16</v>
      </c>
      <c r="G436" s="87" t="s">
        <v>37</v>
      </c>
      <c r="H436" s="87">
        <v>7</v>
      </c>
      <c r="I436" s="87">
        <v>2854</v>
      </c>
      <c r="J436" s="87">
        <f t="shared" ca="1" si="14"/>
        <v>0.02</v>
      </c>
      <c r="K436" s="88">
        <f t="shared" si="13"/>
        <v>19978</v>
      </c>
    </row>
    <row r="437" spans="2:11" x14ac:dyDescent="0.25">
      <c r="B437" s="87">
        <v>435</v>
      </c>
      <c r="C437" s="88" t="s">
        <v>481</v>
      </c>
      <c r="D437" s="87" t="s">
        <v>14</v>
      </c>
      <c r="E437" s="87" t="s">
        <v>28</v>
      </c>
      <c r="F437" s="87" t="s">
        <v>17</v>
      </c>
      <c r="G437" s="87" t="s">
        <v>38</v>
      </c>
      <c r="H437" s="87">
        <v>17</v>
      </c>
      <c r="I437" s="87">
        <v>1846</v>
      </c>
      <c r="J437" s="87">
        <f t="shared" ca="1" si="14"/>
        <v>0.02</v>
      </c>
      <c r="K437" s="88">
        <f t="shared" si="13"/>
        <v>31382</v>
      </c>
    </row>
    <row r="438" spans="2:11" x14ac:dyDescent="0.25">
      <c r="B438" s="87">
        <v>436</v>
      </c>
      <c r="C438" s="88" t="s">
        <v>482</v>
      </c>
      <c r="D438" s="87" t="s">
        <v>10</v>
      </c>
      <c r="E438" s="87" t="s">
        <v>29</v>
      </c>
      <c r="F438" s="87" t="s">
        <v>18</v>
      </c>
      <c r="G438" s="87" t="s">
        <v>34</v>
      </c>
      <c r="H438" s="87">
        <v>8</v>
      </c>
      <c r="I438" s="87">
        <v>3841</v>
      </c>
      <c r="J438" s="87">
        <f t="shared" ca="1" si="14"/>
        <v>0.15</v>
      </c>
      <c r="K438" s="88">
        <f t="shared" si="13"/>
        <v>30728</v>
      </c>
    </row>
    <row r="439" spans="2:11" x14ac:dyDescent="0.25">
      <c r="B439" s="87">
        <v>437</v>
      </c>
      <c r="C439" s="88" t="s">
        <v>483</v>
      </c>
      <c r="D439" s="87" t="s">
        <v>11</v>
      </c>
      <c r="E439" s="87" t="s">
        <v>30</v>
      </c>
      <c r="F439" s="87" t="s">
        <v>16</v>
      </c>
      <c r="G439" s="87" t="s">
        <v>35</v>
      </c>
      <c r="H439" s="87">
        <v>17</v>
      </c>
      <c r="I439" s="87">
        <v>3333</v>
      </c>
      <c r="J439" s="87">
        <f t="shared" ca="1" si="14"/>
        <v>0.04</v>
      </c>
      <c r="K439" s="88">
        <f t="shared" si="13"/>
        <v>56661</v>
      </c>
    </row>
    <row r="440" spans="2:11" x14ac:dyDescent="0.25">
      <c r="B440" s="87">
        <v>438</v>
      </c>
      <c r="C440" s="88" t="s">
        <v>484</v>
      </c>
      <c r="D440" s="87" t="s">
        <v>12</v>
      </c>
      <c r="E440" s="87" t="s">
        <v>31</v>
      </c>
      <c r="F440" s="87" t="s">
        <v>17</v>
      </c>
      <c r="G440" s="87" t="s">
        <v>36</v>
      </c>
      <c r="H440" s="87">
        <v>6</v>
      </c>
      <c r="I440" s="87">
        <v>3188</v>
      </c>
      <c r="J440" s="87">
        <f t="shared" ca="1" si="14"/>
        <v>0.02</v>
      </c>
      <c r="K440" s="88">
        <f t="shared" si="13"/>
        <v>19128</v>
      </c>
    </row>
    <row r="441" spans="2:11" x14ac:dyDescent="0.25">
      <c r="B441" s="87">
        <v>439</v>
      </c>
      <c r="C441" s="88" t="s">
        <v>485</v>
      </c>
      <c r="D441" s="87" t="s">
        <v>13</v>
      </c>
      <c r="E441" s="87" t="s">
        <v>32</v>
      </c>
      <c r="F441" s="87" t="s">
        <v>18</v>
      </c>
      <c r="G441" s="87" t="s">
        <v>37</v>
      </c>
      <c r="H441" s="87">
        <v>5</v>
      </c>
      <c r="I441" s="87">
        <v>2803</v>
      </c>
      <c r="J441" s="87">
        <f t="shared" ca="1" si="14"/>
        <v>0.12</v>
      </c>
      <c r="K441" s="88">
        <f t="shared" si="13"/>
        <v>14015</v>
      </c>
    </row>
    <row r="442" spans="2:11" x14ac:dyDescent="0.25">
      <c r="B442" s="87">
        <v>440</v>
      </c>
      <c r="C442" s="88" t="s">
        <v>486</v>
      </c>
      <c r="D442" s="87" t="s">
        <v>14</v>
      </c>
      <c r="E442" s="87" t="s">
        <v>33</v>
      </c>
      <c r="F442" s="87" t="s">
        <v>16</v>
      </c>
      <c r="G442" s="87" t="s">
        <v>38</v>
      </c>
      <c r="H442" s="87">
        <v>20</v>
      </c>
      <c r="I442" s="87">
        <v>800</v>
      </c>
      <c r="J442" s="87">
        <f t="shared" ca="1" si="14"/>
        <v>0.05</v>
      </c>
      <c r="K442" s="88">
        <f t="shared" si="13"/>
        <v>16000</v>
      </c>
    </row>
    <row r="443" spans="2:11" x14ac:dyDescent="0.25">
      <c r="B443" s="87">
        <v>441</v>
      </c>
      <c r="C443" s="88" t="s">
        <v>487</v>
      </c>
      <c r="D443" s="87" t="s">
        <v>10</v>
      </c>
      <c r="E443" s="87" t="s">
        <v>23</v>
      </c>
      <c r="F443" s="87" t="s">
        <v>15</v>
      </c>
      <c r="G443" s="87" t="s">
        <v>34</v>
      </c>
      <c r="H443" s="87">
        <v>17</v>
      </c>
      <c r="I443" s="87">
        <v>2657</v>
      </c>
      <c r="J443" s="87">
        <f t="shared" ca="1" si="14"/>
        <v>0.05</v>
      </c>
      <c r="K443" s="88">
        <f t="shared" si="13"/>
        <v>45169</v>
      </c>
    </row>
    <row r="444" spans="2:11" x14ac:dyDescent="0.25">
      <c r="B444" s="87">
        <v>442</v>
      </c>
      <c r="C444" s="88" t="s">
        <v>488</v>
      </c>
      <c r="D444" s="87" t="s">
        <v>11</v>
      </c>
      <c r="E444" s="87" t="s">
        <v>24</v>
      </c>
      <c r="F444" s="87" t="s">
        <v>16</v>
      </c>
      <c r="G444" s="87" t="s">
        <v>35</v>
      </c>
      <c r="H444" s="87">
        <v>6</v>
      </c>
      <c r="I444" s="87">
        <v>634</v>
      </c>
      <c r="J444" s="87">
        <f t="shared" ca="1" si="14"/>
        <v>0.08</v>
      </c>
      <c r="K444" s="88">
        <f t="shared" si="13"/>
        <v>3804</v>
      </c>
    </row>
    <row r="445" spans="2:11" x14ac:dyDescent="0.25">
      <c r="B445" s="87">
        <v>443</v>
      </c>
      <c r="C445" s="88" t="s">
        <v>489</v>
      </c>
      <c r="D445" s="87" t="s">
        <v>12</v>
      </c>
      <c r="E445" s="87" t="s">
        <v>25</v>
      </c>
      <c r="F445" s="87" t="s">
        <v>17</v>
      </c>
      <c r="G445" s="87" t="s">
        <v>36</v>
      </c>
      <c r="H445" s="87">
        <v>16</v>
      </c>
      <c r="I445" s="87">
        <v>748</v>
      </c>
      <c r="J445" s="87">
        <f t="shared" ca="1" si="14"/>
        <v>0.02</v>
      </c>
      <c r="K445" s="88">
        <f t="shared" si="13"/>
        <v>11968</v>
      </c>
    </row>
    <row r="446" spans="2:11" x14ac:dyDescent="0.25">
      <c r="B446" s="87">
        <v>444</v>
      </c>
      <c r="C446" s="88" t="s">
        <v>490</v>
      </c>
      <c r="D446" s="87" t="s">
        <v>13</v>
      </c>
      <c r="E446" s="87" t="s">
        <v>26</v>
      </c>
      <c r="F446" s="87" t="s">
        <v>18</v>
      </c>
      <c r="G446" s="87" t="s">
        <v>37</v>
      </c>
      <c r="H446" s="87">
        <v>7</v>
      </c>
      <c r="I446" s="87">
        <v>1210</v>
      </c>
      <c r="J446" s="87">
        <f t="shared" ca="1" si="14"/>
        <v>0.03</v>
      </c>
      <c r="K446" s="88">
        <f t="shared" si="13"/>
        <v>8470</v>
      </c>
    </row>
    <row r="447" spans="2:11" x14ac:dyDescent="0.25">
      <c r="B447" s="87">
        <v>445</v>
      </c>
      <c r="C447" s="88" t="s">
        <v>491</v>
      </c>
      <c r="D447" s="87" t="s">
        <v>14</v>
      </c>
      <c r="E447" s="87" t="s">
        <v>27</v>
      </c>
      <c r="F447" s="87" t="s">
        <v>16</v>
      </c>
      <c r="G447" s="87" t="s">
        <v>38</v>
      </c>
      <c r="H447" s="87">
        <v>14</v>
      </c>
      <c r="I447" s="87">
        <v>769</v>
      </c>
      <c r="J447" s="87">
        <f t="shared" ca="1" si="14"/>
        <v>0.13</v>
      </c>
      <c r="K447" s="88">
        <f t="shared" si="13"/>
        <v>10766</v>
      </c>
    </row>
    <row r="448" spans="2:11" x14ac:dyDescent="0.25">
      <c r="B448" s="87">
        <v>446</v>
      </c>
      <c r="C448" s="88" t="s">
        <v>492</v>
      </c>
      <c r="D448" s="87" t="s">
        <v>10</v>
      </c>
      <c r="E448" s="87" t="s">
        <v>28</v>
      </c>
      <c r="F448" s="87" t="s">
        <v>17</v>
      </c>
      <c r="G448" s="87" t="s">
        <v>34</v>
      </c>
      <c r="H448" s="87">
        <v>16</v>
      </c>
      <c r="I448" s="87">
        <v>3934</v>
      </c>
      <c r="J448" s="87">
        <f t="shared" ca="1" si="14"/>
        <v>0.02</v>
      </c>
      <c r="K448" s="88">
        <f t="shared" si="13"/>
        <v>62944</v>
      </c>
    </row>
    <row r="449" spans="2:11" x14ac:dyDescent="0.25">
      <c r="B449" s="87">
        <v>447</v>
      </c>
      <c r="C449" s="88" t="s">
        <v>493</v>
      </c>
      <c r="D449" s="87" t="s">
        <v>11</v>
      </c>
      <c r="E449" s="87" t="s">
        <v>29</v>
      </c>
      <c r="F449" s="87" t="s">
        <v>18</v>
      </c>
      <c r="G449" s="87" t="s">
        <v>35</v>
      </c>
      <c r="H449" s="87">
        <v>6</v>
      </c>
      <c r="I449" s="87">
        <v>3292</v>
      </c>
      <c r="J449" s="87">
        <f t="shared" ca="1" si="14"/>
        <v>0.13</v>
      </c>
      <c r="K449" s="88">
        <f t="shared" si="13"/>
        <v>19752</v>
      </c>
    </row>
    <row r="450" spans="2:11" x14ac:dyDescent="0.25">
      <c r="B450" s="87">
        <v>448</v>
      </c>
      <c r="C450" s="88" t="s">
        <v>494</v>
      </c>
      <c r="D450" s="87" t="s">
        <v>12</v>
      </c>
      <c r="E450" s="87" t="s">
        <v>30</v>
      </c>
      <c r="F450" s="87" t="s">
        <v>16</v>
      </c>
      <c r="G450" s="87" t="s">
        <v>36</v>
      </c>
      <c r="H450" s="87">
        <v>13</v>
      </c>
      <c r="I450" s="87">
        <v>145</v>
      </c>
      <c r="J450" s="87">
        <f t="shared" ca="1" si="14"/>
        <v>0.05</v>
      </c>
      <c r="K450" s="88">
        <f t="shared" si="13"/>
        <v>1885</v>
      </c>
    </row>
    <row r="451" spans="2:11" x14ac:dyDescent="0.25">
      <c r="B451" s="87">
        <v>449</v>
      </c>
      <c r="C451" s="88" t="s">
        <v>495</v>
      </c>
      <c r="D451" s="87" t="s">
        <v>13</v>
      </c>
      <c r="E451" s="87" t="s">
        <v>31</v>
      </c>
      <c r="F451" s="87" t="s">
        <v>17</v>
      </c>
      <c r="G451" s="87" t="s">
        <v>37</v>
      </c>
      <c r="H451" s="87">
        <v>15</v>
      </c>
      <c r="I451" s="87">
        <v>3875</v>
      </c>
      <c r="J451" s="87">
        <f t="shared" ca="1" si="14"/>
        <v>0.09</v>
      </c>
      <c r="K451" s="88">
        <f t="shared" si="13"/>
        <v>58125</v>
      </c>
    </row>
    <row r="452" spans="2:11" x14ac:dyDescent="0.25">
      <c r="B452" s="87">
        <v>450</v>
      </c>
      <c r="C452" s="88" t="s">
        <v>496</v>
      </c>
      <c r="D452" s="87" t="s">
        <v>14</v>
      </c>
      <c r="E452" s="87" t="s">
        <v>32</v>
      </c>
      <c r="F452" s="87" t="s">
        <v>18</v>
      </c>
      <c r="G452" s="87" t="s">
        <v>38</v>
      </c>
      <c r="H452" s="87">
        <v>6</v>
      </c>
      <c r="I452" s="87">
        <v>3555</v>
      </c>
      <c r="J452" s="87">
        <f t="shared" ca="1" si="14"/>
        <v>0.06</v>
      </c>
      <c r="K452" s="88">
        <f t="shared" si="13"/>
        <v>21330</v>
      </c>
    </row>
    <row r="453" spans="2:11" x14ac:dyDescent="0.25">
      <c r="B453" s="87">
        <v>451</v>
      </c>
      <c r="C453" s="88" t="s">
        <v>497</v>
      </c>
      <c r="D453" s="87" t="s">
        <v>10</v>
      </c>
      <c r="E453" s="87" t="s">
        <v>33</v>
      </c>
      <c r="F453" s="87" t="s">
        <v>16</v>
      </c>
      <c r="G453" s="87" t="s">
        <v>34</v>
      </c>
      <c r="H453" s="87">
        <v>20</v>
      </c>
      <c r="I453" s="87">
        <v>848</v>
      </c>
      <c r="J453" s="87">
        <f t="shared" ca="1" si="14"/>
        <v>0.06</v>
      </c>
      <c r="K453" s="88">
        <f t="shared" ref="K453:K504" si="15">H453*I453</f>
        <v>16960</v>
      </c>
    </row>
    <row r="454" spans="2:11" x14ac:dyDescent="0.25">
      <c r="B454" s="87">
        <v>452</v>
      </c>
      <c r="C454" s="88" t="s">
        <v>498</v>
      </c>
      <c r="D454" s="87" t="s">
        <v>11</v>
      </c>
      <c r="E454" s="87" t="s">
        <v>23</v>
      </c>
      <c r="F454" s="87" t="s">
        <v>15</v>
      </c>
      <c r="G454" s="87" t="s">
        <v>35</v>
      </c>
      <c r="H454" s="87">
        <v>17</v>
      </c>
      <c r="I454" s="87">
        <v>1058</v>
      </c>
      <c r="J454" s="87">
        <f t="shared" ca="1" si="14"/>
        <v>0.02</v>
      </c>
      <c r="K454" s="88">
        <f t="shared" si="15"/>
        <v>17986</v>
      </c>
    </row>
    <row r="455" spans="2:11" x14ac:dyDescent="0.25">
      <c r="B455" s="87">
        <v>453</v>
      </c>
      <c r="C455" s="88" t="s">
        <v>499</v>
      </c>
      <c r="D455" s="87" t="s">
        <v>12</v>
      </c>
      <c r="E455" s="87" t="s">
        <v>24</v>
      </c>
      <c r="F455" s="87" t="s">
        <v>16</v>
      </c>
      <c r="G455" s="87" t="s">
        <v>36</v>
      </c>
      <c r="H455" s="87">
        <v>20</v>
      </c>
      <c r="I455" s="87">
        <v>3056</v>
      </c>
      <c r="J455" s="87">
        <f t="shared" ca="1" si="14"/>
        <v>0.09</v>
      </c>
      <c r="K455" s="88">
        <f t="shared" si="15"/>
        <v>61120</v>
      </c>
    </row>
    <row r="456" spans="2:11" x14ac:dyDescent="0.25">
      <c r="B456" s="87">
        <v>454</v>
      </c>
      <c r="C456" s="88" t="s">
        <v>500</v>
      </c>
      <c r="D456" s="87" t="s">
        <v>13</v>
      </c>
      <c r="E456" s="87" t="s">
        <v>25</v>
      </c>
      <c r="F456" s="87" t="s">
        <v>17</v>
      </c>
      <c r="G456" s="87" t="s">
        <v>37</v>
      </c>
      <c r="H456" s="87">
        <v>8</v>
      </c>
      <c r="I456" s="87">
        <v>3886</v>
      </c>
      <c r="J456" s="87">
        <f t="shared" ca="1" si="14"/>
        <v>0.09</v>
      </c>
      <c r="K456" s="88">
        <f t="shared" si="15"/>
        <v>31088</v>
      </c>
    </row>
    <row r="457" spans="2:11" x14ac:dyDescent="0.25">
      <c r="B457" s="87">
        <v>455</v>
      </c>
      <c r="C457" s="88" t="s">
        <v>501</v>
      </c>
      <c r="D457" s="87" t="s">
        <v>14</v>
      </c>
      <c r="E457" s="87" t="s">
        <v>26</v>
      </c>
      <c r="F457" s="87" t="s">
        <v>18</v>
      </c>
      <c r="G457" s="87" t="s">
        <v>38</v>
      </c>
      <c r="H457" s="87">
        <v>17</v>
      </c>
      <c r="I457" s="87">
        <v>111</v>
      </c>
      <c r="J457" s="87">
        <f t="shared" ref="J457:J504" ca="1" si="16">RANDBETWEEN(0, 15) / 100</f>
        <v>0.02</v>
      </c>
      <c r="K457" s="88">
        <f t="shared" si="15"/>
        <v>1887</v>
      </c>
    </row>
    <row r="458" spans="2:11" x14ac:dyDescent="0.25">
      <c r="B458" s="87">
        <v>456</v>
      </c>
      <c r="C458" s="88" t="s">
        <v>502</v>
      </c>
      <c r="D458" s="87" t="s">
        <v>10</v>
      </c>
      <c r="E458" s="87" t="s">
        <v>27</v>
      </c>
      <c r="F458" s="87" t="s">
        <v>16</v>
      </c>
      <c r="G458" s="87" t="s">
        <v>34</v>
      </c>
      <c r="H458" s="87">
        <v>17</v>
      </c>
      <c r="I458" s="87">
        <v>2408</v>
      </c>
      <c r="J458" s="87">
        <f t="shared" ca="1" si="16"/>
        <v>0.04</v>
      </c>
      <c r="K458" s="88">
        <f t="shared" si="15"/>
        <v>40936</v>
      </c>
    </row>
    <row r="459" spans="2:11" x14ac:dyDescent="0.25">
      <c r="B459" s="87">
        <v>457</v>
      </c>
      <c r="C459" s="88" t="s">
        <v>503</v>
      </c>
      <c r="D459" s="87" t="s">
        <v>11</v>
      </c>
      <c r="E459" s="87" t="s">
        <v>28</v>
      </c>
      <c r="F459" s="87" t="s">
        <v>17</v>
      </c>
      <c r="G459" s="87" t="s">
        <v>35</v>
      </c>
      <c r="H459" s="87">
        <v>4</v>
      </c>
      <c r="I459" s="87">
        <v>4967</v>
      </c>
      <c r="J459" s="87">
        <f t="shared" ca="1" si="16"/>
        <v>0.05</v>
      </c>
      <c r="K459" s="88">
        <f t="shared" si="15"/>
        <v>19868</v>
      </c>
    </row>
    <row r="460" spans="2:11" x14ac:dyDescent="0.25">
      <c r="B460" s="87">
        <v>458</v>
      </c>
      <c r="C460" s="88" t="s">
        <v>504</v>
      </c>
      <c r="D460" s="87" t="s">
        <v>12</v>
      </c>
      <c r="E460" s="87" t="s">
        <v>29</v>
      </c>
      <c r="F460" s="87" t="s">
        <v>18</v>
      </c>
      <c r="G460" s="87" t="s">
        <v>36</v>
      </c>
      <c r="H460" s="87">
        <v>15</v>
      </c>
      <c r="I460" s="87">
        <v>4777</v>
      </c>
      <c r="J460" s="87">
        <f t="shared" ca="1" si="16"/>
        <v>0.11</v>
      </c>
      <c r="K460" s="88">
        <f t="shared" si="15"/>
        <v>71655</v>
      </c>
    </row>
    <row r="461" spans="2:11" x14ac:dyDescent="0.25">
      <c r="B461" s="87">
        <v>459</v>
      </c>
      <c r="C461" s="88" t="s">
        <v>505</v>
      </c>
      <c r="D461" s="87" t="s">
        <v>13</v>
      </c>
      <c r="E461" s="87" t="s">
        <v>30</v>
      </c>
      <c r="F461" s="87" t="s">
        <v>16</v>
      </c>
      <c r="G461" s="87" t="s">
        <v>37</v>
      </c>
      <c r="H461" s="87">
        <v>18</v>
      </c>
      <c r="I461" s="87">
        <v>4611</v>
      </c>
      <c r="J461" s="87">
        <f t="shared" ca="1" si="16"/>
        <v>0.13</v>
      </c>
      <c r="K461" s="88">
        <f t="shared" si="15"/>
        <v>82998</v>
      </c>
    </row>
    <row r="462" spans="2:11" x14ac:dyDescent="0.25">
      <c r="B462" s="87">
        <v>460</v>
      </c>
      <c r="C462" s="88" t="s">
        <v>506</v>
      </c>
      <c r="D462" s="87" t="s">
        <v>14</v>
      </c>
      <c r="E462" s="87" t="s">
        <v>31</v>
      </c>
      <c r="F462" s="87" t="s">
        <v>17</v>
      </c>
      <c r="G462" s="87" t="s">
        <v>38</v>
      </c>
      <c r="H462" s="87">
        <v>20</v>
      </c>
      <c r="I462" s="87">
        <v>2257</v>
      </c>
      <c r="J462" s="87">
        <f t="shared" ca="1" si="16"/>
        <v>0.03</v>
      </c>
      <c r="K462" s="88">
        <f t="shared" si="15"/>
        <v>45140</v>
      </c>
    </row>
    <row r="463" spans="2:11" x14ac:dyDescent="0.25">
      <c r="B463" s="87">
        <v>461</v>
      </c>
      <c r="C463" s="88" t="s">
        <v>507</v>
      </c>
      <c r="D463" s="87" t="s">
        <v>10</v>
      </c>
      <c r="E463" s="87" t="s">
        <v>32</v>
      </c>
      <c r="F463" s="87" t="s">
        <v>18</v>
      </c>
      <c r="G463" s="87" t="s">
        <v>34</v>
      </c>
      <c r="H463" s="87">
        <v>9</v>
      </c>
      <c r="I463" s="87">
        <v>3827</v>
      </c>
      <c r="J463" s="87">
        <f t="shared" ca="1" si="16"/>
        <v>0.15</v>
      </c>
      <c r="K463" s="88">
        <f t="shared" si="15"/>
        <v>34443</v>
      </c>
    </row>
    <row r="464" spans="2:11" x14ac:dyDescent="0.25">
      <c r="B464" s="87">
        <v>462</v>
      </c>
      <c r="C464" s="88" t="s">
        <v>508</v>
      </c>
      <c r="D464" s="87" t="s">
        <v>11</v>
      </c>
      <c r="E464" s="87" t="s">
        <v>33</v>
      </c>
      <c r="F464" s="87" t="s">
        <v>16</v>
      </c>
      <c r="G464" s="87" t="s">
        <v>35</v>
      </c>
      <c r="H464" s="87">
        <v>17</v>
      </c>
      <c r="I464" s="87">
        <v>1402</v>
      </c>
      <c r="J464" s="87">
        <f t="shared" ca="1" si="16"/>
        <v>0.02</v>
      </c>
      <c r="K464" s="88">
        <f t="shared" si="15"/>
        <v>23834</v>
      </c>
    </row>
    <row r="465" spans="2:11" x14ac:dyDescent="0.25">
      <c r="B465" s="87">
        <v>463</v>
      </c>
      <c r="C465" s="88" t="s">
        <v>509</v>
      </c>
      <c r="D465" s="87" t="s">
        <v>12</v>
      </c>
      <c r="E465" s="87" t="s">
        <v>23</v>
      </c>
      <c r="F465" s="87" t="s">
        <v>15</v>
      </c>
      <c r="G465" s="87" t="s">
        <v>36</v>
      </c>
      <c r="H465" s="87">
        <v>2</v>
      </c>
      <c r="I465" s="87">
        <v>2047</v>
      </c>
      <c r="J465" s="87">
        <f t="shared" ca="1" si="16"/>
        <v>0.02</v>
      </c>
      <c r="K465" s="88">
        <f t="shared" si="15"/>
        <v>4094</v>
      </c>
    </row>
    <row r="466" spans="2:11" x14ac:dyDescent="0.25">
      <c r="B466" s="87">
        <v>464</v>
      </c>
      <c r="C466" s="88" t="s">
        <v>510</v>
      </c>
      <c r="D466" s="87" t="s">
        <v>13</v>
      </c>
      <c r="E466" s="87" t="s">
        <v>24</v>
      </c>
      <c r="F466" s="87" t="s">
        <v>16</v>
      </c>
      <c r="G466" s="87" t="s">
        <v>37</v>
      </c>
      <c r="H466" s="87">
        <v>2</v>
      </c>
      <c r="I466" s="87">
        <v>1011</v>
      </c>
      <c r="J466" s="87">
        <f t="shared" ca="1" si="16"/>
        <v>0.1</v>
      </c>
      <c r="K466" s="88">
        <f t="shared" si="15"/>
        <v>2022</v>
      </c>
    </row>
    <row r="467" spans="2:11" x14ac:dyDescent="0.25">
      <c r="B467" s="87">
        <v>465</v>
      </c>
      <c r="C467" s="88" t="s">
        <v>511</v>
      </c>
      <c r="D467" s="87" t="s">
        <v>14</v>
      </c>
      <c r="E467" s="87" t="s">
        <v>25</v>
      </c>
      <c r="F467" s="87" t="s">
        <v>17</v>
      </c>
      <c r="G467" s="87" t="s">
        <v>38</v>
      </c>
      <c r="H467" s="87">
        <v>12</v>
      </c>
      <c r="I467" s="87">
        <v>3798</v>
      </c>
      <c r="J467" s="87">
        <f t="shared" ca="1" si="16"/>
        <v>0.05</v>
      </c>
      <c r="K467" s="88">
        <f t="shared" si="15"/>
        <v>45576</v>
      </c>
    </row>
    <row r="468" spans="2:11" x14ac:dyDescent="0.25">
      <c r="B468" s="87">
        <v>466</v>
      </c>
      <c r="C468" s="88" t="s">
        <v>512</v>
      </c>
      <c r="D468" s="87" t="s">
        <v>10</v>
      </c>
      <c r="E468" s="87" t="s">
        <v>26</v>
      </c>
      <c r="F468" s="87" t="s">
        <v>18</v>
      </c>
      <c r="G468" s="87" t="s">
        <v>34</v>
      </c>
      <c r="H468" s="87">
        <v>10</v>
      </c>
      <c r="I468" s="87">
        <v>4279</v>
      </c>
      <c r="J468" s="87">
        <f t="shared" ca="1" si="16"/>
        <v>0.11</v>
      </c>
      <c r="K468" s="88">
        <f t="shared" si="15"/>
        <v>42790</v>
      </c>
    </row>
    <row r="469" spans="2:11" x14ac:dyDescent="0.25">
      <c r="B469" s="87">
        <v>467</v>
      </c>
      <c r="C469" s="88" t="s">
        <v>513</v>
      </c>
      <c r="D469" s="87" t="s">
        <v>11</v>
      </c>
      <c r="E469" s="87" t="s">
        <v>27</v>
      </c>
      <c r="F469" s="87" t="s">
        <v>16</v>
      </c>
      <c r="G469" s="87" t="s">
        <v>35</v>
      </c>
      <c r="H469" s="87">
        <v>4</v>
      </c>
      <c r="I469" s="87">
        <v>4239</v>
      </c>
      <c r="J469" s="87">
        <f t="shared" ca="1" si="16"/>
        <v>0.06</v>
      </c>
      <c r="K469" s="88">
        <f t="shared" si="15"/>
        <v>16956</v>
      </c>
    </row>
    <row r="470" spans="2:11" x14ac:dyDescent="0.25">
      <c r="B470" s="87">
        <v>468</v>
      </c>
      <c r="C470" s="88" t="s">
        <v>514</v>
      </c>
      <c r="D470" s="87" t="s">
        <v>12</v>
      </c>
      <c r="E470" s="87" t="s">
        <v>28</v>
      </c>
      <c r="F470" s="87" t="s">
        <v>17</v>
      </c>
      <c r="G470" s="87" t="s">
        <v>36</v>
      </c>
      <c r="H470" s="87">
        <v>4</v>
      </c>
      <c r="I470" s="87">
        <v>3165</v>
      </c>
      <c r="J470" s="87">
        <f t="shared" ca="1" si="16"/>
        <v>0.1</v>
      </c>
      <c r="K470" s="88">
        <f t="shared" si="15"/>
        <v>12660</v>
      </c>
    </row>
    <row r="471" spans="2:11" x14ac:dyDescent="0.25">
      <c r="B471" s="87">
        <v>469</v>
      </c>
      <c r="C471" s="88" t="s">
        <v>515</v>
      </c>
      <c r="D471" s="87" t="s">
        <v>13</v>
      </c>
      <c r="E471" s="87" t="s">
        <v>29</v>
      </c>
      <c r="F471" s="87" t="s">
        <v>18</v>
      </c>
      <c r="G471" s="87" t="s">
        <v>37</v>
      </c>
      <c r="H471" s="87">
        <v>17</v>
      </c>
      <c r="I471" s="87">
        <v>3039</v>
      </c>
      <c r="J471" s="87">
        <f t="shared" ca="1" si="16"/>
        <v>0.08</v>
      </c>
      <c r="K471" s="88">
        <f t="shared" si="15"/>
        <v>51663</v>
      </c>
    </row>
    <row r="472" spans="2:11" x14ac:dyDescent="0.25">
      <c r="B472" s="87">
        <v>470</v>
      </c>
      <c r="C472" s="88" t="s">
        <v>516</v>
      </c>
      <c r="D472" s="87" t="s">
        <v>14</v>
      </c>
      <c r="E472" s="87" t="s">
        <v>30</v>
      </c>
      <c r="F472" s="87" t="s">
        <v>16</v>
      </c>
      <c r="G472" s="87" t="s">
        <v>38</v>
      </c>
      <c r="H472" s="87">
        <v>12</v>
      </c>
      <c r="I472" s="87">
        <v>2802</v>
      </c>
      <c r="J472" s="87">
        <f t="shared" ca="1" si="16"/>
        <v>0.12</v>
      </c>
      <c r="K472" s="88">
        <f t="shared" si="15"/>
        <v>33624</v>
      </c>
    </row>
    <row r="473" spans="2:11" x14ac:dyDescent="0.25">
      <c r="B473" s="87">
        <v>471</v>
      </c>
      <c r="C473" s="88" t="s">
        <v>517</v>
      </c>
      <c r="D473" s="87" t="s">
        <v>10</v>
      </c>
      <c r="E473" s="87" t="s">
        <v>31</v>
      </c>
      <c r="F473" s="87" t="s">
        <v>17</v>
      </c>
      <c r="G473" s="87" t="s">
        <v>34</v>
      </c>
      <c r="H473" s="87">
        <v>5</v>
      </c>
      <c r="I473" s="87">
        <v>3475</v>
      </c>
      <c r="J473" s="87">
        <f t="shared" ca="1" si="16"/>
        <v>7.0000000000000007E-2</v>
      </c>
      <c r="K473" s="88">
        <f t="shared" si="15"/>
        <v>17375</v>
      </c>
    </row>
    <row r="474" spans="2:11" x14ac:dyDescent="0.25">
      <c r="B474" s="87">
        <v>472</v>
      </c>
      <c r="C474" s="88" t="s">
        <v>518</v>
      </c>
      <c r="D474" s="87" t="s">
        <v>11</v>
      </c>
      <c r="E474" s="87" t="s">
        <v>32</v>
      </c>
      <c r="F474" s="87" t="s">
        <v>18</v>
      </c>
      <c r="G474" s="87" t="s">
        <v>35</v>
      </c>
      <c r="H474" s="87">
        <v>19</v>
      </c>
      <c r="I474" s="87">
        <v>1620</v>
      </c>
      <c r="J474" s="87">
        <f t="shared" ca="1" si="16"/>
        <v>7.0000000000000007E-2</v>
      </c>
      <c r="K474" s="88">
        <f t="shared" si="15"/>
        <v>30780</v>
      </c>
    </row>
    <row r="475" spans="2:11" x14ac:dyDescent="0.25">
      <c r="B475" s="87">
        <v>473</v>
      </c>
      <c r="C475" s="88" t="s">
        <v>519</v>
      </c>
      <c r="D475" s="87" t="s">
        <v>12</v>
      </c>
      <c r="E475" s="87" t="s">
        <v>33</v>
      </c>
      <c r="F475" s="87" t="s">
        <v>16</v>
      </c>
      <c r="G475" s="87" t="s">
        <v>36</v>
      </c>
      <c r="H475" s="87">
        <v>4</v>
      </c>
      <c r="I475" s="87">
        <v>301</v>
      </c>
      <c r="J475" s="87">
        <f t="shared" ca="1" si="16"/>
        <v>0.03</v>
      </c>
      <c r="K475" s="88">
        <f t="shared" si="15"/>
        <v>1204</v>
      </c>
    </row>
    <row r="476" spans="2:11" x14ac:dyDescent="0.25">
      <c r="B476" s="87">
        <v>474</v>
      </c>
      <c r="C476" s="88" t="s">
        <v>520</v>
      </c>
      <c r="D476" s="87" t="s">
        <v>13</v>
      </c>
      <c r="E476" s="87" t="s">
        <v>23</v>
      </c>
      <c r="F476" s="87" t="s">
        <v>15</v>
      </c>
      <c r="G476" s="87" t="s">
        <v>37</v>
      </c>
      <c r="H476" s="87">
        <v>15</v>
      </c>
      <c r="I476" s="87">
        <v>3114</v>
      </c>
      <c r="J476" s="87">
        <f t="shared" ca="1" si="16"/>
        <v>7.0000000000000007E-2</v>
      </c>
      <c r="K476" s="88">
        <f t="shared" si="15"/>
        <v>46710</v>
      </c>
    </row>
    <row r="477" spans="2:11" x14ac:dyDescent="0.25">
      <c r="B477" s="87">
        <v>475</v>
      </c>
      <c r="C477" s="88" t="s">
        <v>521</v>
      </c>
      <c r="D477" s="87" t="s">
        <v>14</v>
      </c>
      <c r="E477" s="87" t="s">
        <v>24</v>
      </c>
      <c r="F477" s="87" t="s">
        <v>16</v>
      </c>
      <c r="G477" s="87" t="s">
        <v>38</v>
      </c>
      <c r="H477" s="87">
        <v>17</v>
      </c>
      <c r="I477" s="87">
        <v>1264</v>
      </c>
      <c r="J477" s="87">
        <f t="shared" ca="1" si="16"/>
        <v>0.05</v>
      </c>
      <c r="K477" s="88">
        <f t="shared" si="15"/>
        <v>21488</v>
      </c>
    </row>
    <row r="478" spans="2:11" x14ac:dyDescent="0.25">
      <c r="B478" s="87">
        <v>476</v>
      </c>
      <c r="C478" s="88" t="s">
        <v>522</v>
      </c>
      <c r="D478" s="87" t="s">
        <v>10</v>
      </c>
      <c r="E478" s="87" t="s">
        <v>25</v>
      </c>
      <c r="F478" s="87" t="s">
        <v>17</v>
      </c>
      <c r="G478" s="87" t="s">
        <v>34</v>
      </c>
      <c r="H478" s="87">
        <v>1</v>
      </c>
      <c r="I478" s="87">
        <v>983</v>
      </c>
      <c r="J478" s="87">
        <f t="shared" ca="1" si="16"/>
        <v>0</v>
      </c>
      <c r="K478" s="88">
        <f t="shared" si="15"/>
        <v>983</v>
      </c>
    </row>
    <row r="479" spans="2:11" x14ac:dyDescent="0.25">
      <c r="B479" s="87">
        <v>477</v>
      </c>
      <c r="C479" s="88" t="s">
        <v>523</v>
      </c>
      <c r="D479" s="87" t="s">
        <v>11</v>
      </c>
      <c r="E479" s="87" t="s">
        <v>26</v>
      </c>
      <c r="F479" s="87" t="s">
        <v>18</v>
      </c>
      <c r="G479" s="87" t="s">
        <v>35</v>
      </c>
      <c r="H479" s="87">
        <v>6</v>
      </c>
      <c r="I479" s="87">
        <v>1246</v>
      </c>
      <c r="J479" s="87">
        <f t="shared" ca="1" si="16"/>
        <v>0.01</v>
      </c>
      <c r="K479" s="88">
        <f t="shared" si="15"/>
        <v>7476</v>
      </c>
    </row>
    <row r="480" spans="2:11" x14ac:dyDescent="0.25">
      <c r="B480" s="87">
        <v>478</v>
      </c>
      <c r="C480" s="88" t="s">
        <v>524</v>
      </c>
      <c r="D480" s="87" t="s">
        <v>12</v>
      </c>
      <c r="E480" s="87" t="s">
        <v>27</v>
      </c>
      <c r="F480" s="87" t="s">
        <v>16</v>
      </c>
      <c r="G480" s="87" t="s">
        <v>36</v>
      </c>
      <c r="H480" s="87">
        <v>19</v>
      </c>
      <c r="I480" s="87">
        <v>2982</v>
      </c>
      <c r="J480" s="87">
        <f t="shared" ca="1" si="16"/>
        <v>0.12</v>
      </c>
      <c r="K480" s="88">
        <f t="shared" si="15"/>
        <v>56658</v>
      </c>
    </row>
    <row r="481" spans="2:11" x14ac:dyDescent="0.25">
      <c r="B481" s="87">
        <v>479</v>
      </c>
      <c r="C481" s="88" t="s">
        <v>525</v>
      </c>
      <c r="D481" s="87" t="s">
        <v>13</v>
      </c>
      <c r="E481" s="87" t="s">
        <v>28</v>
      </c>
      <c r="F481" s="87" t="s">
        <v>17</v>
      </c>
      <c r="G481" s="87" t="s">
        <v>37</v>
      </c>
      <c r="H481" s="87">
        <v>20</v>
      </c>
      <c r="I481" s="87">
        <v>981</v>
      </c>
      <c r="J481" s="87">
        <f t="shared" ca="1" si="16"/>
        <v>0.09</v>
      </c>
      <c r="K481" s="88">
        <f t="shared" si="15"/>
        <v>19620</v>
      </c>
    </row>
    <row r="482" spans="2:11" x14ac:dyDescent="0.25">
      <c r="B482" s="87">
        <v>480</v>
      </c>
      <c r="C482" s="88" t="s">
        <v>526</v>
      </c>
      <c r="D482" s="87" t="s">
        <v>14</v>
      </c>
      <c r="E482" s="87" t="s">
        <v>29</v>
      </c>
      <c r="F482" s="87" t="s">
        <v>18</v>
      </c>
      <c r="G482" s="87" t="s">
        <v>38</v>
      </c>
      <c r="H482" s="87">
        <v>3</v>
      </c>
      <c r="I482" s="87">
        <v>1014</v>
      </c>
      <c r="J482" s="87">
        <f t="shared" ca="1" si="16"/>
        <v>0.05</v>
      </c>
      <c r="K482" s="88">
        <f t="shared" si="15"/>
        <v>3042</v>
      </c>
    </row>
    <row r="483" spans="2:11" x14ac:dyDescent="0.25">
      <c r="B483" s="87">
        <v>481</v>
      </c>
      <c r="C483" s="88" t="s">
        <v>527</v>
      </c>
      <c r="D483" s="87" t="s">
        <v>10</v>
      </c>
      <c r="E483" s="87" t="s">
        <v>30</v>
      </c>
      <c r="F483" s="87" t="s">
        <v>16</v>
      </c>
      <c r="G483" s="87" t="s">
        <v>34</v>
      </c>
      <c r="H483" s="87">
        <v>8</v>
      </c>
      <c r="I483" s="87">
        <v>844</v>
      </c>
      <c r="J483" s="87">
        <f t="shared" ca="1" si="16"/>
        <v>0.01</v>
      </c>
      <c r="K483" s="88">
        <f t="shared" si="15"/>
        <v>6752</v>
      </c>
    </row>
    <row r="484" spans="2:11" x14ac:dyDescent="0.25">
      <c r="B484" s="87">
        <v>482</v>
      </c>
      <c r="C484" s="88" t="s">
        <v>528</v>
      </c>
      <c r="D484" s="87" t="s">
        <v>11</v>
      </c>
      <c r="E484" s="87" t="s">
        <v>31</v>
      </c>
      <c r="F484" s="87" t="s">
        <v>17</v>
      </c>
      <c r="G484" s="87" t="s">
        <v>35</v>
      </c>
      <c r="H484" s="87">
        <v>15</v>
      </c>
      <c r="I484" s="87">
        <v>4883</v>
      </c>
      <c r="J484" s="87">
        <f t="shared" ca="1" si="16"/>
        <v>0.03</v>
      </c>
      <c r="K484" s="88">
        <f t="shared" si="15"/>
        <v>73245</v>
      </c>
    </row>
    <row r="485" spans="2:11" x14ac:dyDescent="0.25">
      <c r="B485" s="87">
        <v>483</v>
      </c>
      <c r="C485" s="88" t="s">
        <v>529</v>
      </c>
      <c r="D485" s="87" t="s">
        <v>12</v>
      </c>
      <c r="E485" s="87" t="s">
        <v>32</v>
      </c>
      <c r="F485" s="87" t="s">
        <v>18</v>
      </c>
      <c r="G485" s="87" t="s">
        <v>36</v>
      </c>
      <c r="H485" s="87">
        <v>11</v>
      </c>
      <c r="I485" s="87">
        <v>1576</v>
      </c>
      <c r="J485" s="87">
        <f t="shared" ca="1" si="16"/>
        <v>0.06</v>
      </c>
      <c r="K485" s="88">
        <f t="shared" si="15"/>
        <v>17336</v>
      </c>
    </row>
    <row r="486" spans="2:11" x14ac:dyDescent="0.25">
      <c r="B486" s="87">
        <v>484</v>
      </c>
      <c r="C486" s="88" t="s">
        <v>530</v>
      </c>
      <c r="D486" s="87" t="s">
        <v>13</v>
      </c>
      <c r="E486" s="87" t="s">
        <v>33</v>
      </c>
      <c r="F486" s="87" t="s">
        <v>16</v>
      </c>
      <c r="G486" s="87" t="s">
        <v>37</v>
      </c>
      <c r="H486" s="87">
        <v>14</v>
      </c>
      <c r="I486" s="87">
        <v>701</v>
      </c>
      <c r="J486" s="87">
        <f t="shared" ca="1" si="16"/>
        <v>0.11</v>
      </c>
      <c r="K486" s="88">
        <f t="shared" si="15"/>
        <v>9814</v>
      </c>
    </row>
    <row r="487" spans="2:11" x14ac:dyDescent="0.25">
      <c r="B487" s="87">
        <v>485</v>
      </c>
      <c r="C487" s="88" t="s">
        <v>531</v>
      </c>
      <c r="D487" s="87" t="s">
        <v>14</v>
      </c>
      <c r="E487" s="87" t="s">
        <v>23</v>
      </c>
      <c r="F487" s="87" t="s">
        <v>15</v>
      </c>
      <c r="G487" s="87" t="s">
        <v>38</v>
      </c>
      <c r="H487" s="87">
        <v>16</v>
      </c>
      <c r="I487" s="87">
        <v>3643</v>
      </c>
      <c r="J487" s="87">
        <f t="shared" ca="1" si="16"/>
        <v>7.0000000000000007E-2</v>
      </c>
      <c r="K487" s="88">
        <f t="shared" si="15"/>
        <v>58288</v>
      </c>
    </row>
    <row r="488" spans="2:11" x14ac:dyDescent="0.25">
      <c r="B488" s="87">
        <v>486</v>
      </c>
      <c r="C488" s="88" t="s">
        <v>532</v>
      </c>
      <c r="D488" s="87" t="s">
        <v>10</v>
      </c>
      <c r="E488" s="87" t="s">
        <v>24</v>
      </c>
      <c r="F488" s="87" t="s">
        <v>16</v>
      </c>
      <c r="G488" s="87" t="s">
        <v>34</v>
      </c>
      <c r="H488" s="87">
        <v>19</v>
      </c>
      <c r="I488" s="87">
        <v>1691</v>
      </c>
      <c r="J488" s="87">
        <f t="shared" ca="1" si="16"/>
        <v>0.02</v>
      </c>
      <c r="K488" s="88">
        <f t="shared" si="15"/>
        <v>32129</v>
      </c>
    </row>
    <row r="489" spans="2:11" x14ac:dyDescent="0.25">
      <c r="B489" s="87">
        <v>487</v>
      </c>
      <c r="C489" s="88" t="s">
        <v>533</v>
      </c>
      <c r="D489" s="87" t="s">
        <v>11</v>
      </c>
      <c r="E489" s="87" t="s">
        <v>25</v>
      </c>
      <c r="F489" s="87" t="s">
        <v>17</v>
      </c>
      <c r="G489" s="87" t="s">
        <v>35</v>
      </c>
      <c r="H489" s="87">
        <v>4</v>
      </c>
      <c r="I489" s="87">
        <v>4500</v>
      </c>
      <c r="J489" s="87">
        <f t="shared" ca="1" si="16"/>
        <v>0.1</v>
      </c>
      <c r="K489" s="88">
        <f t="shared" si="15"/>
        <v>18000</v>
      </c>
    </row>
    <row r="490" spans="2:11" x14ac:dyDescent="0.25">
      <c r="B490" s="87">
        <v>488</v>
      </c>
      <c r="C490" s="88" t="s">
        <v>534</v>
      </c>
      <c r="D490" s="87" t="s">
        <v>12</v>
      </c>
      <c r="E490" s="87" t="s">
        <v>26</v>
      </c>
      <c r="F490" s="87" t="s">
        <v>18</v>
      </c>
      <c r="G490" s="87" t="s">
        <v>36</v>
      </c>
      <c r="H490" s="87">
        <v>3</v>
      </c>
      <c r="I490" s="87">
        <v>4242</v>
      </c>
      <c r="J490" s="87">
        <f t="shared" ca="1" si="16"/>
        <v>0.04</v>
      </c>
      <c r="K490" s="88">
        <f t="shared" si="15"/>
        <v>12726</v>
      </c>
    </row>
    <row r="491" spans="2:11" x14ac:dyDescent="0.25">
      <c r="B491" s="87">
        <v>489</v>
      </c>
      <c r="C491" s="88" t="s">
        <v>535</v>
      </c>
      <c r="D491" s="87" t="s">
        <v>13</v>
      </c>
      <c r="E491" s="87" t="s">
        <v>27</v>
      </c>
      <c r="F491" s="87" t="s">
        <v>16</v>
      </c>
      <c r="G491" s="87" t="s">
        <v>37</v>
      </c>
      <c r="H491" s="87">
        <v>15</v>
      </c>
      <c r="I491" s="87">
        <v>3356</v>
      </c>
      <c r="J491" s="87">
        <f t="shared" ca="1" si="16"/>
        <v>7.0000000000000007E-2</v>
      </c>
      <c r="K491" s="88">
        <f t="shared" si="15"/>
        <v>50340</v>
      </c>
    </row>
    <row r="492" spans="2:11" x14ac:dyDescent="0.25">
      <c r="B492" s="87">
        <v>490</v>
      </c>
      <c r="C492" s="88" t="s">
        <v>536</v>
      </c>
      <c r="D492" s="87" t="s">
        <v>14</v>
      </c>
      <c r="E492" s="87" t="s">
        <v>28</v>
      </c>
      <c r="F492" s="87" t="s">
        <v>17</v>
      </c>
      <c r="G492" s="87" t="s">
        <v>38</v>
      </c>
      <c r="H492" s="87">
        <v>19</v>
      </c>
      <c r="I492" s="87">
        <v>4037</v>
      </c>
      <c r="J492" s="87">
        <f t="shared" ca="1" si="16"/>
        <v>0.05</v>
      </c>
      <c r="K492" s="88">
        <f t="shared" si="15"/>
        <v>76703</v>
      </c>
    </row>
    <row r="493" spans="2:11" x14ac:dyDescent="0.25">
      <c r="B493" s="87">
        <v>491</v>
      </c>
      <c r="C493" s="88" t="s">
        <v>537</v>
      </c>
      <c r="D493" s="87" t="s">
        <v>10</v>
      </c>
      <c r="E493" s="87" t="s">
        <v>29</v>
      </c>
      <c r="F493" s="87" t="s">
        <v>18</v>
      </c>
      <c r="G493" s="87" t="s">
        <v>34</v>
      </c>
      <c r="H493" s="87">
        <v>15</v>
      </c>
      <c r="I493" s="87">
        <v>4504</v>
      </c>
      <c r="J493" s="87">
        <f t="shared" ca="1" si="16"/>
        <v>0.02</v>
      </c>
      <c r="K493" s="88">
        <f t="shared" si="15"/>
        <v>67560</v>
      </c>
    </row>
    <row r="494" spans="2:11" x14ac:dyDescent="0.25">
      <c r="B494" s="87">
        <v>492</v>
      </c>
      <c r="C494" s="88" t="s">
        <v>538</v>
      </c>
      <c r="D494" s="87" t="s">
        <v>11</v>
      </c>
      <c r="E494" s="87" t="s">
        <v>30</v>
      </c>
      <c r="F494" s="87" t="s">
        <v>16</v>
      </c>
      <c r="G494" s="87" t="s">
        <v>35</v>
      </c>
      <c r="H494" s="87">
        <v>12</v>
      </c>
      <c r="I494" s="87">
        <v>3475</v>
      </c>
      <c r="J494" s="87">
        <f t="shared" ca="1" si="16"/>
        <v>0.04</v>
      </c>
      <c r="K494" s="88">
        <f t="shared" si="15"/>
        <v>41700</v>
      </c>
    </row>
    <row r="495" spans="2:11" x14ac:dyDescent="0.25">
      <c r="B495" s="87">
        <v>493</v>
      </c>
      <c r="C495" s="88" t="s">
        <v>539</v>
      </c>
      <c r="D495" s="87" t="s">
        <v>12</v>
      </c>
      <c r="E495" s="87" t="s">
        <v>31</v>
      </c>
      <c r="F495" s="87" t="s">
        <v>17</v>
      </c>
      <c r="G495" s="87" t="s">
        <v>36</v>
      </c>
      <c r="H495" s="87">
        <v>17</v>
      </c>
      <c r="I495" s="87">
        <v>3933</v>
      </c>
      <c r="J495" s="87">
        <f t="shared" ca="1" si="16"/>
        <v>0.01</v>
      </c>
      <c r="K495" s="88">
        <f t="shared" si="15"/>
        <v>66861</v>
      </c>
    </row>
    <row r="496" spans="2:11" x14ac:dyDescent="0.25">
      <c r="B496" s="87">
        <v>494</v>
      </c>
      <c r="C496" s="88" t="s">
        <v>540</v>
      </c>
      <c r="D496" s="87" t="s">
        <v>13</v>
      </c>
      <c r="E496" s="87" t="s">
        <v>32</v>
      </c>
      <c r="F496" s="87" t="s">
        <v>18</v>
      </c>
      <c r="G496" s="87" t="s">
        <v>37</v>
      </c>
      <c r="H496" s="87">
        <v>14</v>
      </c>
      <c r="I496" s="87">
        <v>2087</v>
      </c>
      <c r="J496" s="87">
        <f t="shared" ca="1" si="16"/>
        <v>0.09</v>
      </c>
      <c r="K496" s="88">
        <f t="shared" si="15"/>
        <v>29218</v>
      </c>
    </row>
    <row r="497" spans="2:11" x14ac:dyDescent="0.25">
      <c r="B497" s="87">
        <v>495</v>
      </c>
      <c r="C497" s="88" t="s">
        <v>541</v>
      </c>
      <c r="D497" s="87" t="s">
        <v>14</v>
      </c>
      <c r="E497" s="87" t="s">
        <v>33</v>
      </c>
      <c r="F497" s="87" t="s">
        <v>16</v>
      </c>
      <c r="G497" s="87" t="s">
        <v>38</v>
      </c>
      <c r="H497" s="87">
        <v>2</v>
      </c>
      <c r="I497" s="87">
        <v>1183</v>
      </c>
      <c r="J497" s="87">
        <f t="shared" ca="1" si="16"/>
        <v>0.1</v>
      </c>
      <c r="K497" s="88">
        <f t="shared" si="15"/>
        <v>2366</v>
      </c>
    </row>
    <row r="498" spans="2:11" x14ac:dyDescent="0.25">
      <c r="B498" s="87">
        <v>496</v>
      </c>
      <c r="C498" s="88" t="s">
        <v>542</v>
      </c>
      <c r="D498" s="87" t="s">
        <v>10</v>
      </c>
      <c r="E498" s="87" t="s">
        <v>23</v>
      </c>
      <c r="F498" s="87" t="s">
        <v>15</v>
      </c>
      <c r="G498" s="87" t="s">
        <v>34</v>
      </c>
      <c r="H498" s="87">
        <v>15</v>
      </c>
      <c r="I498" s="87">
        <v>2605</v>
      </c>
      <c r="J498" s="87">
        <f t="shared" ca="1" si="16"/>
        <v>0.01</v>
      </c>
      <c r="K498" s="88">
        <f t="shared" si="15"/>
        <v>39075</v>
      </c>
    </row>
    <row r="499" spans="2:11" x14ac:dyDescent="0.25">
      <c r="B499" s="87">
        <v>497</v>
      </c>
      <c r="C499" s="88" t="s">
        <v>543</v>
      </c>
      <c r="D499" s="87" t="s">
        <v>11</v>
      </c>
      <c r="E499" s="87" t="s">
        <v>24</v>
      </c>
      <c r="F499" s="87" t="s">
        <v>16</v>
      </c>
      <c r="G499" s="87" t="s">
        <v>35</v>
      </c>
      <c r="H499" s="87">
        <v>18</v>
      </c>
      <c r="I499" s="87">
        <v>4158</v>
      </c>
      <c r="J499" s="87">
        <f t="shared" ca="1" si="16"/>
        <v>0.13</v>
      </c>
      <c r="K499" s="88">
        <f t="shared" si="15"/>
        <v>74844</v>
      </c>
    </row>
    <row r="500" spans="2:11" x14ac:dyDescent="0.25">
      <c r="B500" s="87">
        <v>498</v>
      </c>
      <c r="C500" s="88" t="s">
        <v>544</v>
      </c>
      <c r="D500" s="87" t="s">
        <v>12</v>
      </c>
      <c r="E500" s="87" t="s">
        <v>25</v>
      </c>
      <c r="F500" s="87" t="s">
        <v>17</v>
      </c>
      <c r="G500" s="87" t="s">
        <v>36</v>
      </c>
      <c r="H500" s="87">
        <v>2</v>
      </c>
      <c r="I500" s="87">
        <v>2941</v>
      </c>
      <c r="J500" s="87">
        <f t="shared" ca="1" si="16"/>
        <v>0.15</v>
      </c>
      <c r="K500" s="88">
        <f t="shared" si="15"/>
        <v>5882</v>
      </c>
    </row>
    <row r="501" spans="2:11" x14ac:dyDescent="0.25">
      <c r="B501" s="87">
        <v>499</v>
      </c>
      <c r="C501" s="88" t="s">
        <v>545</v>
      </c>
      <c r="D501" s="87" t="s">
        <v>13</v>
      </c>
      <c r="E501" s="87" t="s">
        <v>26</v>
      </c>
      <c r="F501" s="87" t="s">
        <v>18</v>
      </c>
      <c r="G501" s="87" t="s">
        <v>37</v>
      </c>
      <c r="H501" s="87">
        <v>11</v>
      </c>
      <c r="I501" s="87">
        <v>1672</v>
      </c>
      <c r="J501" s="87">
        <f t="shared" ca="1" si="16"/>
        <v>0.08</v>
      </c>
      <c r="K501" s="88">
        <f t="shared" si="15"/>
        <v>18392</v>
      </c>
    </row>
    <row r="502" spans="2:11" x14ac:dyDescent="0.25">
      <c r="B502" s="87">
        <v>500</v>
      </c>
      <c r="C502" s="88" t="s">
        <v>546</v>
      </c>
      <c r="D502" s="87" t="s">
        <v>14</v>
      </c>
      <c r="E502" s="87" t="s">
        <v>27</v>
      </c>
      <c r="F502" s="87" t="s">
        <v>16</v>
      </c>
      <c r="G502" s="87" t="s">
        <v>38</v>
      </c>
      <c r="H502" s="87">
        <v>2</v>
      </c>
      <c r="I502" s="87">
        <v>2199</v>
      </c>
      <c r="J502" s="87">
        <f t="shared" ca="1" si="16"/>
        <v>0.14000000000000001</v>
      </c>
      <c r="K502" s="88">
        <f t="shared" si="15"/>
        <v>4398</v>
      </c>
    </row>
    <row r="503" spans="2:11" x14ac:dyDescent="0.25">
      <c r="B503" s="87">
        <v>501</v>
      </c>
      <c r="C503" s="88" t="s">
        <v>547</v>
      </c>
      <c r="D503" s="87" t="s">
        <v>10</v>
      </c>
      <c r="E503" s="87" t="s">
        <v>28</v>
      </c>
      <c r="F503" s="87" t="s">
        <v>17</v>
      </c>
      <c r="G503" s="87" t="s">
        <v>34</v>
      </c>
      <c r="H503" s="87">
        <v>12</v>
      </c>
      <c r="I503" s="87">
        <v>3691</v>
      </c>
      <c r="J503" s="87">
        <f t="shared" ca="1" si="16"/>
        <v>0.04</v>
      </c>
      <c r="K503" s="88">
        <f t="shared" si="15"/>
        <v>44292</v>
      </c>
    </row>
    <row r="504" spans="2:11" x14ac:dyDescent="0.25">
      <c r="B504" s="87">
        <v>502</v>
      </c>
      <c r="C504" s="88" t="s">
        <v>548</v>
      </c>
      <c r="D504" s="87" t="s">
        <v>11</v>
      </c>
      <c r="E504" s="87" t="s">
        <v>29</v>
      </c>
      <c r="F504" s="87" t="s">
        <v>18</v>
      </c>
      <c r="G504" s="87" t="s">
        <v>35</v>
      </c>
      <c r="H504" s="87">
        <v>12</v>
      </c>
      <c r="I504" s="87">
        <v>1313</v>
      </c>
      <c r="J504" s="87">
        <f t="shared" ca="1" si="16"/>
        <v>0.13</v>
      </c>
      <c r="K504" s="88">
        <f t="shared" si="15"/>
        <v>15756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0914-56A0-4D2E-9367-C315E58B4FCE}">
  <sheetPr filterMode="1"/>
  <dimension ref="A1:N10287"/>
  <sheetViews>
    <sheetView zoomScale="91" zoomScaleNormal="91" workbookViewId="0"/>
  </sheetViews>
  <sheetFormatPr baseColWidth="10" defaultRowHeight="16.5" thickTop="1" thickBottom="1" x14ac:dyDescent="0.3"/>
  <cols>
    <col min="2" max="2" width="11.28515625" style="1" customWidth="1"/>
    <col min="3" max="3" width="11.85546875" bestFit="1" customWidth="1"/>
    <col min="4" max="4" width="20.42578125" style="3" bestFit="1" customWidth="1"/>
    <col min="5" max="5" width="12.42578125" style="3" bestFit="1" customWidth="1"/>
    <col min="6" max="6" width="9.28515625" customWidth="1"/>
    <col min="7" max="7" width="11.42578125" style="3"/>
    <col min="8" max="8" width="19.140625" style="7" bestFit="1" customWidth="1"/>
    <col min="9" max="9" width="12.85546875" style="3" bestFit="1" customWidth="1"/>
    <col min="10" max="10" width="16.28515625" style="9" customWidth="1"/>
    <col min="11" max="11" width="15.140625" customWidth="1"/>
    <col min="12" max="12" width="17.7109375" style="3" customWidth="1"/>
    <col min="13" max="13" width="22.140625" style="50" customWidth="1"/>
  </cols>
  <sheetData>
    <row r="1" spans="1:14" s="41" customFormat="1" ht="24" customHeight="1" thickBot="1" x14ac:dyDescent="0.3">
      <c r="A1" s="39" t="s">
        <v>0</v>
      </c>
      <c r="B1" s="8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40" t="s">
        <v>7</v>
      </c>
      <c r="I1" s="39" t="s">
        <v>8</v>
      </c>
      <c r="J1" s="40" t="s">
        <v>9</v>
      </c>
      <c r="K1" s="39" t="s">
        <v>44</v>
      </c>
      <c r="L1" s="56" t="s">
        <v>45</v>
      </c>
      <c r="M1" s="59" t="s">
        <v>574</v>
      </c>
      <c r="N1" s="60" t="s">
        <v>580</v>
      </c>
    </row>
    <row r="2" spans="1:14" ht="15.75" thickBot="1" x14ac:dyDescent="0.3">
      <c r="A2" s="35">
        <v>176</v>
      </c>
      <c r="B2" s="36">
        <v>45467</v>
      </c>
      <c r="C2" s="35" t="s">
        <v>10</v>
      </c>
      <c r="D2" s="35" t="s">
        <v>33</v>
      </c>
      <c r="E2" s="35" t="s">
        <v>16</v>
      </c>
      <c r="F2" s="35" t="s">
        <v>34</v>
      </c>
      <c r="G2" s="35">
        <v>2</v>
      </c>
      <c r="H2" s="37">
        <v>4997</v>
      </c>
      <c r="I2" s="35">
        <v>0.04</v>
      </c>
      <c r="J2" s="38">
        <f t="shared" ref="J2:J65" si="0">G2*H2</f>
        <v>9994</v>
      </c>
      <c r="K2" s="55" t="str">
        <f t="shared" ref="K2:K65" si="1">IF(J2&gt;5000, "Venta Grande", "Venta Normal")</f>
        <v>Venta Grande</v>
      </c>
      <c r="L2" s="58" t="str">
        <f>VLOOKUP(D2, AUXILIAR!$A$2:$B$16, 2, 0)</f>
        <v>LG Electronics</v>
      </c>
      <c r="M2" s="54" t="str">
        <f>IF(AND(E2="Tecnología", J2&gt;20000), "Prioridad Alta", IF(J2&gt;5000, "Prioridad Media", "Prioridad Baja"))</f>
        <v>Prioridad Media</v>
      </c>
      <c r="N2" s="54" t="str">
        <f>VLOOKUP(E2, AUXILIAR!$E$2:$F$4, 2, FALSE)</f>
        <v>ALM-01</v>
      </c>
    </row>
    <row r="3" spans="1:14" ht="15.75" hidden="1" thickBot="1" x14ac:dyDescent="0.3">
      <c r="A3" s="21">
        <v>2</v>
      </c>
      <c r="B3" s="22">
        <v>45293</v>
      </c>
      <c r="C3" s="23" t="s">
        <v>11</v>
      </c>
      <c r="D3" s="24" t="s">
        <v>24</v>
      </c>
      <c r="E3" s="24" t="s">
        <v>16</v>
      </c>
      <c r="F3" s="24" t="s">
        <v>35</v>
      </c>
      <c r="G3" s="24">
        <v>2</v>
      </c>
      <c r="H3" s="25">
        <v>557</v>
      </c>
      <c r="I3" s="24">
        <v>0.08</v>
      </c>
      <c r="J3" s="26">
        <f t="shared" si="0"/>
        <v>1114</v>
      </c>
      <c r="K3" s="27" t="str">
        <f t="shared" si="1"/>
        <v>Venta Normal</v>
      </c>
      <c r="L3" s="24" t="str">
        <f>VLOOKUP(D3, AUXILIAR!$A$2:$B$16, 2, 0)</f>
        <v>Samsung Oficial</v>
      </c>
      <c r="M3"/>
    </row>
    <row r="4" spans="1:14" ht="15.75" hidden="1" thickBot="1" x14ac:dyDescent="0.3">
      <c r="A4" s="16">
        <v>3</v>
      </c>
      <c r="B4" s="17">
        <v>45294</v>
      </c>
      <c r="C4" s="15" t="s">
        <v>12</v>
      </c>
      <c r="D4" s="18" t="s">
        <v>25</v>
      </c>
      <c r="E4" s="18" t="s">
        <v>17</v>
      </c>
      <c r="F4" s="18" t="s">
        <v>36</v>
      </c>
      <c r="G4" s="18">
        <v>2</v>
      </c>
      <c r="H4" s="19">
        <v>1305</v>
      </c>
      <c r="I4" s="18">
        <v>0.04</v>
      </c>
      <c r="J4" s="20">
        <f t="shared" si="0"/>
        <v>2610</v>
      </c>
      <c r="K4" s="14" t="str">
        <f t="shared" si="1"/>
        <v>Venta Normal</v>
      </c>
      <c r="L4" s="18" t="str">
        <f>VLOOKUP(D4, AUXILIAR!$A$2:$B$16, 2, 0)</f>
        <v>LG Electronics</v>
      </c>
      <c r="M4"/>
    </row>
    <row r="5" spans="1:14" ht="15.75" thickBot="1" x14ac:dyDescent="0.3">
      <c r="A5" s="35">
        <v>90</v>
      </c>
      <c r="B5" s="36">
        <v>45381</v>
      </c>
      <c r="C5" s="35" t="s">
        <v>14</v>
      </c>
      <c r="D5" s="35" t="s">
        <v>24</v>
      </c>
      <c r="E5" s="35" t="s">
        <v>16</v>
      </c>
      <c r="F5" s="35" t="s">
        <v>38</v>
      </c>
      <c r="G5" s="35">
        <v>8</v>
      </c>
      <c r="H5" s="37">
        <v>4971</v>
      </c>
      <c r="I5" s="35">
        <v>0.11</v>
      </c>
      <c r="J5" s="38">
        <f t="shared" si="0"/>
        <v>39768</v>
      </c>
      <c r="K5" s="55" t="str">
        <f t="shared" si="1"/>
        <v>Venta Grande</v>
      </c>
      <c r="L5" s="58" t="str">
        <f>VLOOKUP(D5, AUXILIAR!$A$2:$B$16, 2, 0)</f>
        <v>Samsung Oficial</v>
      </c>
      <c r="M5" s="54" t="str">
        <f>IF(AND(E5="Tecnología", J5&gt;20000), "Prioridad Alta", IF(J5&gt;5000, "Prioridad Media", "Prioridad Baja"))</f>
        <v>Prioridad Alta</v>
      </c>
      <c r="N5" s="54" t="str">
        <f>VLOOKUP(E5, AUXILIAR!$E$2:$F$4, 2, FALSE)</f>
        <v>ALM-01</v>
      </c>
    </row>
    <row r="6" spans="1:14" ht="15.75" hidden="1" thickBot="1" x14ac:dyDescent="0.3">
      <c r="A6" s="28">
        <v>5</v>
      </c>
      <c r="B6" s="29">
        <v>45296</v>
      </c>
      <c r="C6" s="30" t="s">
        <v>14</v>
      </c>
      <c r="D6" s="31" t="s">
        <v>27</v>
      </c>
      <c r="E6" s="31" t="s">
        <v>16</v>
      </c>
      <c r="F6" s="31" t="s">
        <v>38</v>
      </c>
      <c r="G6" s="31">
        <v>1</v>
      </c>
      <c r="H6" s="32">
        <v>3882</v>
      </c>
      <c r="I6" s="31">
        <v>0.01</v>
      </c>
      <c r="J6" s="33">
        <f t="shared" si="0"/>
        <v>3882</v>
      </c>
      <c r="K6" s="34" t="str">
        <f t="shared" si="1"/>
        <v>Venta Normal</v>
      </c>
      <c r="L6" s="31" t="str">
        <f>VLOOKUP(D6, AUXILIAR!$A$2:$B$16, 2, 0)</f>
        <v>LG Electronics</v>
      </c>
      <c r="M6"/>
    </row>
    <row r="7" spans="1:14" ht="15.75" thickBot="1" x14ac:dyDescent="0.3">
      <c r="A7" s="35">
        <v>457</v>
      </c>
      <c r="B7" s="36">
        <v>45748</v>
      </c>
      <c r="C7" s="35" t="s">
        <v>11</v>
      </c>
      <c r="D7" s="35" t="s">
        <v>28</v>
      </c>
      <c r="E7" s="35" t="s">
        <v>17</v>
      </c>
      <c r="F7" s="35" t="s">
        <v>35</v>
      </c>
      <c r="G7" s="35">
        <v>4</v>
      </c>
      <c r="H7" s="37">
        <v>4967</v>
      </c>
      <c r="I7" s="35">
        <v>0.12</v>
      </c>
      <c r="J7" s="38">
        <f t="shared" si="0"/>
        <v>19868</v>
      </c>
      <c r="K7" s="55" t="str">
        <f t="shared" si="1"/>
        <v>Venta Grande</v>
      </c>
      <c r="L7" s="58" t="str">
        <f>VLOOKUP(D7, AUXILIAR!$A$2:$B$16, 2, 0)</f>
        <v>Samsung Oficial</v>
      </c>
      <c r="M7" s="54" t="str">
        <f t="shared" ref="M7:M17" si="2">IF(AND(E7="Tecnología", J7&gt;20000), "Prioridad Alta", IF(J7&gt;5000, "Prioridad Media", "Prioridad Baja"))</f>
        <v>Prioridad Media</v>
      </c>
      <c r="N7" s="54" t="str">
        <f>VLOOKUP(E7, AUXILIAR!$E$2:$F$4, 2, FALSE)</f>
        <v>ALM-02</v>
      </c>
    </row>
    <row r="8" spans="1:14" ht="15.75" thickBot="1" x14ac:dyDescent="0.3">
      <c r="A8" s="35">
        <v>170</v>
      </c>
      <c r="B8" s="36">
        <v>45461</v>
      </c>
      <c r="C8" s="35" t="s">
        <v>14</v>
      </c>
      <c r="D8" s="35" t="s">
        <v>27</v>
      </c>
      <c r="E8" s="35" t="s">
        <v>16</v>
      </c>
      <c r="F8" s="35" t="s">
        <v>38</v>
      </c>
      <c r="G8" s="35">
        <v>10</v>
      </c>
      <c r="H8" s="37">
        <v>4964</v>
      </c>
      <c r="I8" s="35">
        <v>0.03</v>
      </c>
      <c r="J8" s="38">
        <f t="shared" si="0"/>
        <v>49640</v>
      </c>
      <c r="K8" s="55" t="str">
        <f t="shared" si="1"/>
        <v>Venta Grande</v>
      </c>
      <c r="L8" s="58" t="str">
        <f>VLOOKUP(D8, AUXILIAR!$A$2:$B$16, 2, 0)</f>
        <v>LG Electronics</v>
      </c>
      <c r="M8" s="54" t="str">
        <f t="shared" si="2"/>
        <v>Prioridad Alta</v>
      </c>
      <c r="N8" s="54" t="str">
        <f>VLOOKUP(E8, AUXILIAR!$E$2:$F$4, 2, FALSE)</f>
        <v>ALM-01</v>
      </c>
    </row>
    <row r="9" spans="1:14" ht="15.75" thickBot="1" x14ac:dyDescent="0.3">
      <c r="A9" s="35">
        <v>140</v>
      </c>
      <c r="B9" s="36">
        <v>45431</v>
      </c>
      <c r="C9" s="35" t="s">
        <v>14</v>
      </c>
      <c r="D9" s="35" t="s">
        <v>30</v>
      </c>
      <c r="E9" s="35" t="s">
        <v>16</v>
      </c>
      <c r="F9" s="35" t="s">
        <v>38</v>
      </c>
      <c r="G9" s="35">
        <v>14</v>
      </c>
      <c r="H9" s="37">
        <v>4961</v>
      </c>
      <c r="I9" s="35">
        <v>7.0000000000000007E-2</v>
      </c>
      <c r="J9" s="38">
        <f t="shared" si="0"/>
        <v>69454</v>
      </c>
      <c r="K9" s="55" t="str">
        <f t="shared" si="1"/>
        <v>Venta Grande</v>
      </c>
      <c r="L9" s="58" t="str">
        <f>VLOOKUP(D9, AUXILIAR!$A$2:$B$16, 2, 0)</f>
        <v>Office Design</v>
      </c>
      <c r="M9" s="54" t="str">
        <f t="shared" si="2"/>
        <v>Prioridad Alta</v>
      </c>
      <c r="N9" s="54" t="str">
        <f>VLOOKUP(E9, AUXILIAR!$E$2:$F$4, 2, FALSE)</f>
        <v>ALM-01</v>
      </c>
    </row>
    <row r="10" spans="1:14" ht="15.75" thickBot="1" x14ac:dyDescent="0.3">
      <c r="A10" s="35">
        <v>97</v>
      </c>
      <c r="B10" s="36">
        <v>45388</v>
      </c>
      <c r="C10" s="35" t="s">
        <v>11</v>
      </c>
      <c r="D10" s="35" t="s">
        <v>31</v>
      </c>
      <c r="E10" s="35" t="s">
        <v>17</v>
      </c>
      <c r="F10" s="35" t="s">
        <v>35</v>
      </c>
      <c r="G10" s="35">
        <v>9</v>
      </c>
      <c r="H10" s="37">
        <v>4932</v>
      </c>
      <c r="I10" s="35">
        <v>0.03</v>
      </c>
      <c r="J10" s="38">
        <f t="shared" si="0"/>
        <v>44388</v>
      </c>
      <c r="K10" s="55" t="str">
        <f t="shared" si="1"/>
        <v>Venta Grande</v>
      </c>
      <c r="L10" s="58" t="str">
        <f>VLOOKUP(D10, AUXILIAR!$A$2:$B$16, 2, 0)</f>
        <v>LG Electronics</v>
      </c>
      <c r="M10" s="54" t="str">
        <f t="shared" si="2"/>
        <v>Prioridad Media</v>
      </c>
      <c r="N10" s="54" t="str">
        <f>VLOOKUP(E10, AUXILIAR!$E$2:$F$4, 2, FALSE)</f>
        <v>ALM-02</v>
      </c>
    </row>
    <row r="11" spans="1:14" ht="15.75" thickBot="1" x14ac:dyDescent="0.3">
      <c r="A11" s="35">
        <v>96</v>
      </c>
      <c r="B11" s="36">
        <v>45387</v>
      </c>
      <c r="C11" s="35" t="s">
        <v>10</v>
      </c>
      <c r="D11" s="35" t="s">
        <v>30</v>
      </c>
      <c r="E11" s="35" t="s">
        <v>16</v>
      </c>
      <c r="F11" s="35" t="s">
        <v>34</v>
      </c>
      <c r="G11" s="35">
        <v>8</v>
      </c>
      <c r="H11" s="37">
        <v>4912</v>
      </c>
      <c r="I11" s="35">
        <v>0.12</v>
      </c>
      <c r="J11" s="38">
        <f t="shared" si="0"/>
        <v>39296</v>
      </c>
      <c r="K11" s="55" t="str">
        <f t="shared" si="1"/>
        <v>Venta Grande</v>
      </c>
      <c r="L11" s="58" t="str">
        <f>VLOOKUP(D11, AUXILIAR!$A$2:$B$16, 2, 0)</f>
        <v>Office Design</v>
      </c>
      <c r="M11" s="54" t="str">
        <f t="shared" si="2"/>
        <v>Prioridad Alta</v>
      </c>
      <c r="N11" s="54" t="str">
        <f>VLOOKUP(E11, AUXILIAR!$E$2:$F$4, 2, FALSE)</f>
        <v>ALM-01</v>
      </c>
    </row>
    <row r="12" spans="1:14" ht="15.75" thickBot="1" x14ac:dyDescent="0.3">
      <c r="A12" s="35">
        <v>7</v>
      </c>
      <c r="B12" s="36">
        <v>45298</v>
      </c>
      <c r="C12" s="35" t="s">
        <v>11</v>
      </c>
      <c r="D12" s="35" t="s">
        <v>29</v>
      </c>
      <c r="E12" s="35" t="s">
        <v>18</v>
      </c>
      <c r="F12" s="35" t="s">
        <v>35</v>
      </c>
      <c r="G12" s="35">
        <v>2</v>
      </c>
      <c r="H12" s="37">
        <v>4911</v>
      </c>
      <c r="I12" s="35">
        <v>0.11</v>
      </c>
      <c r="J12" s="38">
        <f t="shared" si="0"/>
        <v>9822</v>
      </c>
      <c r="K12" s="55" t="str">
        <f t="shared" si="1"/>
        <v>Venta Grande</v>
      </c>
      <c r="L12" s="58" t="str">
        <f>VLOOKUP(D12, AUXILIAR!$A$2:$B$16, 2, 0)</f>
        <v>LG Electronics</v>
      </c>
      <c r="M12" s="54" t="str">
        <f t="shared" si="2"/>
        <v>Prioridad Media</v>
      </c>
      <c r="N12" s="54" t="str">
        <f>VLOOKUP(E12, AUXILIAR!$E$2:$F$4, 2, FALSE)</f>
        <v>ALM-03</v>
      </c>
    </row>
    <row r="13" spans="1:14" ht="15.75" thickBot="1" x14ac:dyDescent="0.3">
      <c r="A13" s="35">
        <v>416</v>
      </c>
      <c r="B13" s="36">
        <v>45707</v>
      </c>
      <c r="C13" s="35" t="s">
        <v>10</v>
      </c>
      <c r="D13" s="35" t="s">
        <v>31</v>
      </c>
      <c r="E13" s="35" t="s">
        <v>17</v>
      </c>
      <c r="F13" s="35" t="s">
        <v>34</v>
      </c>
      <c r="G13" s="35">
        <v>14</v>
      </c>
      <c r="H13" s="37">
        <v>4896</v>
      </c>
      <c r="I13" s="35">
        <v>0.14000000000000001</v>
      </c>
      <c r="J13" s="38">
        <f t="shared" si="0"/>
        <v>68544</v>
      </c>
      <c r="K13" s="55" t="str">
        <f t="shared" si="1"/>
        <v>Venta Grande</v>
      </c>
      <c r="L13" s="58" t="str">
        <f>VLOOKUP(D13, AUXILIAR!$A$2:$B$16, 2, 0)</f>
        <v>LG Electronics</v>
      </c>
      <c r="M13" s="54" t="str">
        <f t="shared" si="2"/>
        <v>Prioridad Media</v>
      </c>
      <c r="N13" s="54" t="str">
        <f>VLOOKUP(E13, AUXILIAR!$E$2:$F$4, 2, FALSE)</f>
        <v>ALM-02</v>
      </c>
    </row>
    <row r="14" spans="1:14" ht="15.75" thickBot="1" x14ac:dyDescent="0.3">
      <c r="A14" s="35">
        <v>482</v>
      </c>
      <c r="B14" s="36">
        <v>45773</v>
      </c>
      <c r="C14" s="35" t="s">
        <v>11</v>
      </c>
      <c r="D14" s="35" t="s">
        <v>31</v>
      </c>
      <c r="E14" s="35" t="s">
        <v>17</v>
      </c>
      <c r="F14" s="35" t="s">
        <v>35</v>
      </c>
      <c r="G14" s="35">
        <v>15</v>
      </c>
      <c r="H14" s="37">
        <v>4883</v>
      </c>
      <c r="I14" s="35">
        <v>0.12</v>
      </c>
      <c r="J14" s="38">
        <f t="shared" si="0"/>
        <v>73245</v>
      </c>
      <c r="K14" s="55" t="str">
        <f t="shared" si="1"/>
        <v>Venta Grande</v>
      </c>
      <c r="L14" s="58" t="str">
        <f>VLOOKUP(D14, AUXILIAR!$A$2:$B$16, 2, 0)</f>
        <v>LG Electronics</v>
      </c>
      <c r="M14" s="54" t="str">
        <f t="shared" si="2"/>
        <v>Prioridad Media</v>
      </c>
      <c r="N14" s="54" t="str">
        <f>VLOOKUP(E14, AUXILIAR!$E$2:$F$4, 2, FALSE)</f>
        <v>ALM-02</v>
      </c>
    </row>
    <row r="15" spans="1:14" ht="15.75" thickBot="1" x14ac:dyDescent="0.3">
      <c r="A15" s="35">
        <v>145</v>
      </c>
      <c r="B15" s="36">
        <v>45436</v>
      </c>
      <c r="C15" s="35" t="s">
        <v>14</v>
      </c>
      <c r="D15" s="35" t="s">
        <v>24</v>
      </c>
      <c r="E15" s="35" t="s">
        <v>16</v>
      </c>
      <c r="F15" s="35" t="s">
        <v>38</v>
      </c>
      <c r="G15" s="35">
        <v>13</v>
      </c>
      <c r="H15" s="37">
        <v>4882</v>
      </c>
      <c r="I15" s="35">
        <v>0.08</v>
      </c>
      <c r="J15" s="38">
        <f t="shared" si="0"/>
        <v>63466</v>
      </c>
      <c r="K15" s="55" t="str">
        <f t="shared" si="1"/>
        <v>Venta Grande</v>
      </c>
      <c r="L15" s="58" t="str">
        <f>VLOOKUP(D15, AUXILIAR!$A$2:$B$16, 2, 0)</f>
        <v>Samsung Oficial</v>
      </c>
      <c r="M15" s="54" t="str">
        <f t="shared" si="2"/>
        <v>Prioridad Alta</v>
      </c>
      <c r="N15" s="54" t="str">
        <f>VLOOKUP(E15, AUXILIAR!$E$2:$F$4, 2, FALSE)</f>
        <v>ALM-01</v>
      </c>
    </row>
    <row r="16" spans="1:14" ht="15.75" thickBot="1" x14ac:dyDescent="0.3">
      <c r="A16" s="35">
        <v>241</v>
      </c>
      <c r="B16" s="36">
        <v>45532</v>
      </c>
      <c r="C16" s="35" t="s">
        <v>10</v>
      </c>
      <c r="D16" s="35" t="s">
        <v>32</v>
      </c>
      <c r="E16" s="35" t="s">
        <v>18</v>
      </c>
      <c r="F16" s="35" t="s">
        <v>34</v>
      </c>
      <c r="G16" s="35">
        <v>6</v>
      </c>
      <c r="H16" s="37">
        <v>4875</v>
      </c>
      <c r="I16" s="35">
        <v>0.12</v>
      </c>
      <c r="J16" s="38">
        <f t="shared" si="0"/>
        <v>29250</v>
      </c>
      <c r="K16" s="55" t="str">
        <f t="shared" si="1"/>
        <v>Venta Grande</v>
      </c>
      <c r="L16" s="58" t="str">
        <f>VLOOKUP(D16, AUXILIAR!$A$2:$B$16, 2, 0)</f>
        <v>Samsung Oficial</v>
      </c>
      <c r="M16" s="54" t="str">
        <f t="shared" si="2"/>
        <v>Prioridad Media</v>
      </c>
      <c r="N16" s="54" t="str">
        <f>VLOOKUP(E16, AUXILIAR!$E$2:$F$4, 2, FALSE)</f>
        <v>ALM-03</v>
      </c>
    </row>
    <row r="17" spans="1:14" ht="15.75" thickBot="1" x14ac:dyDescent="0.3">
      <c r="A17" s="35">
        <v>39</v>
      </c>
      <c r="B17" s="36">
        <v>45330</v>
      </c>
      <c r="C17" s="35" t="s">
        <v>13</v>
      </c>
      <c r="D17" s="35" t="s">
        <v>28</v>
      </c>
      <c r="E17" s="35" t="s">
        <v>17</v>
      </c>
      <c r="F17" s="35" t="s">
        <v>37</v>
      </c>
      <c r="G17" s="35">
        <v>16</v>
      </c>
      <c r="H17" s="37">
        <v>4849</v>
      </c>
      <c r="I17" s="35">
        <v>0.04</v>
      </c>
      <c r="J17" s="38">
        <f t="shared" si="0"/>
        <v>77584</v>
      </c>
      <c r="K17" s="55" t="str">
        <f t="shared" si="1"/>
        <v>Venta Grande</v>
      </c>
      <c r="L17" s="58" t="str">
        <f>VLOOKUP(D17, AUXILIAR!$A$2:$B$16, 2, 0)</f>
        <v>Samsung Oficial</v>
      </c>
      <c r="M17" s="54" t="str">
        <f t="shared" si="2"/>
        <v>Prioridad Media</v>
      </c>
      <c r="N17" s="54" t="str">
        <f>VLOOKUP(E17, AUXILIAR!$E$2:$F$4, 2, FALSE)</f>
        <v>ALM-02</v>
      </c>
    </row>
    <row r="18" spans="1:14" ht="15.75" hidden="1" thickBot="1" x14ac:dyDescent="0.3">
      <c r="A18" s="28">
        <v>17</v>
      </c>
      <c r="B18" s="29">
        <v>45308</v>
      </c>
      <c r="C18" s="30" t="s">
        <v>11</v>
      </c>
      <c r="D18" s="31" t="s">
        <v>28</v>
      </c>
      <c r="E18" s="31" t="s">
        <v>17</v>
      </c>
      <c r="F18" s="31" t="s">
        <v>35</v>
      </c>
      <c r="G18" s="31">
        <v>1</v>
      </c>
      <c r="H18" s="32">
        <v>3447</v>
      </c>
      <c r="I18" s="31">
        <v>0.09</v>
      </c>
      <c r="J18" s="33">
        <f t="shared" si="0"/>
        <v>3447</v>
      </c>
      <c r="K18" s="34" t="str">
        <f t="shared" si="1"/>
        <v>Venta Normal</v>
      </c>
      <c r="L18" s="31" t="str">
        <f>VLOOKUP(D18, AUXILIAR!$A$2:$B$16, 2, 0)</f>
        <v>Samsung Oficial</v>
      </c>
      <c r="M18"/>
    </row>
    <row r="19" spans="1:14" ht="15.75" thickBot="1" x14ac:dyDescent="0.3">
      <c r="A19" s="35">
        <v>247</v>
      </c>
      <c r="B19" s="36">
        <v>45538</v>
      </c>
      <c r="C19" s="35" t="s">
        <v>11</v>
      </c>
      <c r="D19" s="35" t="s">
        <v>27</v>
      </c>
      <c r="E19" s="35" t="s">
        <v>16</v>
      </c>
      <c r="F19" s="35" t="s">
        <v>35</v>
      </c>
      <c r="G19" s="35">
        <v>20</v>
      </c>
      <c r="H19" s="37">
        <v>4844</v>
      </c>
      <c r="I19" s="35">
        <v>0.04</v>
      </c>
      <c r="J19" s="38">
        <f t="shared" si="0"/>
        <v>96880</v>
      </c>
      <c r="K19" s="55" t="str">
        <f t="shared" si="1"/>
        <v>Venta Grande</v>
      </c>
      <c r="L19" s="58" t="str">
        <f>VLOOKUP(D19, AUXILIAR!$A$2:$B$16, 2, 0)</f>
        <v>LG Electronics</v>
      </c>
      <c r="M19" s="54" t="str">
        <f>IF(AND(E19="Tecnología", J19&gt;20000), "Prioridad Alta", IF(J19&gt;5000, "Prioridad Media", "Prioridad Baja"))</f>
        <v>Prioridad Alta</v>
      </c>
      <c r="N19" s="54" t="str">
        <f>VLOOKUP(E19, AUXILIAR!$E$2:$F$4, 2, FALSE)</f>
        <v>ALM-01</v>
      </c>
    </row>
    <row r="20" spans="1:14" ht="15.75" thickBot="1" x14ac:dyDescent="0.3">
      <c r="A20" s="35">
        <v>284</v>
      </c>
      <c r="B20" s="36">
        <v>45575</v>
      </c>
      <c r="C20" s="35" t="s">
        <v>13</v>
      </c>
      <c r="D20" s="35" t="s">
        <v>31</v>
      </c>
      <c r="E20" s="35" t="s">
        <v>17</v>
      </c>
      <c r="F20" s="35" t="s">
        <v>37</v>
      </c>
      <c r="G20" s="35">
        <v>19</v>
      </c>
      <c r="H20" s="37">
        <v>4833</v>
      </c>
      <c r="I20" s="35">
        <v>0.13</v>
      </c>
      <c r="J20" s="38">
        <f t="shared" si="0"/>
        <v>91827</v>
      </c>
      <c r="K20" s="55" t="str">
        <f t="shared" si="1"/>
        <v>Venta Grande</v>
      </c>
      <c r="L20" s="58" t="str">
        <f>VLOOKUP(D20, AUXILIAR!$A$2:$B$16, 2, 0)</f>
        <v>LG Electronics</v>
      </c>
      <c r="M20" s="54" t="str">
        <f>IF(AND(E20="Tecnología", J20&gt;20000), "Prioridad Alta", IF(J20&gt;5000, "Prioridad Media", "Prioridad Baja"))</f>
        <v>Prioridad Media</v>
      </c>
      <c r="N20" s="54" t="str">
        <f>VLOOKUP(E20, AUXILIAR!$E$2:$F$4, 2, FALSE)</f>
        <v>ALM-02</v>
      </c>
    </row>
    <row r="21" spans="1:14" ht="15.75" thickBot="1" x14ac:dyDescent="0.3">
      <c r="A21" s="35">
        <v>209</v>
      </c>
      <c r="B21" s="36">
        <v>45500</v>
      </c>
      <c r="C21" s="35" t="s">
        <v>13</v>
      </c>
      <c r="D21" s="35" t="s">
        <v>33</v>
      </c>
      <c r="E21" s="35" t="s">
        <v>16</v>
      </c>
      <c r="F21" s="35" t="s">
        <v>37</v>
      </c>
      <c r="G21" s="35">
        <v>13</v>
      </c>
      <c r="H21" s="37">
        <v>4819</v>
      </c>
      <c r="I21" s="35">
        <v>0.08</v>
      </c>
      <c r="J21" s="38">
        <f t="shared" si="0"/>
        <v>62647</v>
      </c>
      <c r="K21" s="55" t="str">
        <f t="shared" si="1"/>
        <v>Venta Grande</v>
      </c>
      <c r="L21" s="58" t="str">
        <f>VLOOKUP(D21, AUXILIAR!$A$2:$B$16, 2, 0)</f>
        <v>LG Electronics</v>
      </c>
      <c r="M21" s="54" t="str">
        <f>IF(AND(E21="Tecnología", J21&gt;20000), "Prioridad Alta", IF(J21&gt;5000, "Prioridad Media", "Prioridad Baja"))</f>
        <v>Prioridad Alta</v>
      </c>
      <c r="N21" s="54" t="str">
        <f>VLOOKUP(E21, AUXILIAR!$E$2:$F$4, 2, FALSE)</f>
        <v>ALM-01</v>
      </c>
    </row>
    <row r="22" spans="1:14" ht="15.75" thickBot="1" x14ac:dyDescent="0.3">
      <c r="A22" s="35">
        <v>382</v>
      </c>
      <c r="B22" s="36">
        <v>45673</v>
      </c>
      <c r="C22" s="35" t="s">
        <v>11</v>
      </c>
      <c r="D22" s="35" t="s">
        <v>30</v>
      </c>
      <c r="E22" s="35" t="s">
        <v>16</v>
      </c>
      <c r="F22" s="35" t="s">
        <v>35</v>
      </c>
      <c r="G22" s="35">
        <v>19</v>
      </c>
      <c r="H22" s="37">
        <v>4817</v>
      </c>
      <c r="I22" s="35">
        <v>7.0000000000000007E-2</v>
      </c>
      <c r="J22" s="38">
        <f t="shared" si="0"/>
        <v>91523</v>
      </c>
      <c r="K22" s="55" t="str">
        <f t="shared" si="1"/>
        <v>Venta Grande</v>
      </c>
      <c r="L22" s="58" t="str">
        <f>VLOOKUP(D22, AUXILIAR!$A$2:$B$16, 2, 0)</f>
        <v>Office Design</v>
      </c>
      <c r="M22" s="54" t="str">
        <f>IF(AND(E22="Tecnología", J22&gt;20000), "Prioridad Alta", IF(J22&gt;5000, "Prioridad Media", "Prioridad Baja"))</f>
        <v>Prioridad Alta</v>
      </c>
      <c r="N22" s="54" t="str">
        <f>VLOOKUP(E22, AUXILIAR!$E$2:$F$4, 2, FALSE)</f>
        <v>ALM-01</v>
      </c>
    </row>
    <row r="23" spans="1:14" ht="15.75" thickBot="1" x14ac:dyDescent="0.3">
      <c r="A23" s="35">
        <v>154</v>
      </c>
      <c r="B23" s="36">
        <v>45445</v>
      </c>
      <c r="C23" s="35" t="s">
        <v>13</v>
      </c>
      <c r="D23" s="35" t="s">
        <v>33</v>
      </c>
      <c r="E23" s="35" t="s">
        <v>16</v>
      </c>
      <c r="F23" s="35" t="s">
        <v>37</v>
      </c>
      <c r="G23" s="35">
        <v>16</v>
      </c>
      <c r="H23" s="37">
        <v>4789</v>
      </c>
      <c r="I23" s="35">
        <v>0.06</v>
      </c>
      <c r="J23" s="38">
        <f t="shared" si="0"/>
        <v>76624</v>
      </c>
      <c r="K23" s="55" t="str">
        <f t="shared" si="1"/>
        <v>Venta Grande</v>
      </c>
      <c r="L23" s="58" t="str">
        <f>VLOOKUP(D23, AUXILIAR!$A$2:$B$16, 2, 0)</f>
        <v>LG Electronics</v>
      </c>
      <c r="M23" s="54" t="str">
        <f>IF(AND(E23="Tecnología", J23&gt;20000), "Prioridad Alta", IF(J23&gt;5000, "Prioridad Media", "Prioridad Baja"))</f>
        <v>Prioridad Alta</v>
      </c>
      <c r="N23" s="54" t="str">
        <f>VLOOKUP(E23, AUXILIAR!$E$2:$F$4, 2, FALSE)</f>
        <v>ALM-01</v>
      </c>
    </row>
    <row r="24" spans="1:14" ht="15.75" hidden="1" thickBot="1" x14ac:dyDescent="0.3">
      <c r="A24" s="28">
        <v>23</v>
      </c>
      <c r="B24" s="29">
        <v>45314</v>
      </c>
      <c r="C24" s="30" t="s">
        <v>12</v>
      </c>
      <c r="D24" s="31" t="s">
        <v>33</v>
      </c>
      <c r="E24" s="31" t="s">
        <v>16</v>
      </c>
      <c r="F24" s="31" t="s">
        <v>36</v>
      </c>
      <c r="G24" s="31">
        <v>2</v>
      </c>
      <c r="H24" s="32">
        <v>272</v>
      </c>
      <c r="I24" s="31">
        <v>0.09</v>
      </c>
      <c r="J24" s="33">
        <f t="shared" si="0"/>
        <v>544</v>
      </c>
      <c r="K24" s="34" t="str">
        <f t="shared" si="1"/>
        <v>Venta Normal</v>
      </c>
      <c r="L24" s="31" t="str">
        <f>VLOOKUP(D24, AUXILIAR!$A$2:$B$16, 2, 0)</f>
        <v>LG Electronics</v>
      </c>
      <c r="M24"/>
    </row>
    <row r="25" spans="1:14" ht="15.75" thickBot="1" x14ac:dyDescent="0.3">
      <c r="A25" s="35">
        <v>208</v>
      </c>
      <c r="B25" s="36">
        <v>45499</v>
      </c>
      <c r="C25" s="35" t="s">
        <v>12</v>
      </c>
      <c r="D25" s="35" t="s">
        <v>32</v>
      </c>
      <c r="E25" s="35" t="s">
        <v>18</v>
      </c>
      <c r="F25" s="35" t="s">
        <v>36</v>
      </c>
      <c r="G25" s="35">
        <v>7</v>
      </c>
      <c r="H25" s="37">
        <v>4787</v>
      </c>
      <c r="I25" s="35">
        <v>0.14000000000000001</v>
      </c>
      <c r="J25" s="38">
        <f t="shared" si="0"/>
        <v>33509</v>
      </c>
      <c r="K25" s="55" t="str">
        <f t="shared" si="1"/>
        <v>Venta Grande</v>
      </c>
      <c r="L25" s="58" t="str">
        <f>VLOOKUP(D25, AUXILIAR!$A$2:$B$16, 2, 0)</f>
        <v>Samsung Oficial</v>
      </c>
      <c r="M25" s="54" t="str">
        <f t="shared" ref="M25:M30" si="3">IF(AND(E25="Tecnología", J25&gt;20000), "Prioridad Alta", IF(J25&gt;5000, "Prioridad Media", "Prioridad Baja"))</f>
        <v>Prioridad Media</v>
      </c>
      <c r="N25" s="54" t="str">
        <f>VLOOKUP(E25, AUXILIAR!$E$2:$F$4, 2, FALSE)</f>
        <v>ALM-03</v>
      </c>
    </row>
    <row r="26" spans="1:14" ht="15.75" thickBot="1" x14ac:dyDescent="0.3">
      <c r="A26" s="35">
        <v>50</v>
      </c>
      <c r="B26" s="36">
        <v>45341</v>
      </c>
      <c r="C26" s="35" t="s">
        <v>14</v>
      </c>
      <c r="D26" s="35" t="s">
        <v>28</v>
      </c>
      <c r="E26" s="35" t="s">
        <v>17</v>
      </c>
      <c r="F26" s="35" t="s">
        <v>38</v>
      </c>
      <c r="G26" s="35">
        <v>14</v>
      </c>
      <c r="H26" s="37">
        <v>4780</v>
      </c>
      <c r="I26" s="35">
        <v>0.1</v>
      </c>
      <c r="J26" s="38">
        <f t="shared" si="0"/>
        <v>66920</v>
      </c>
      <c r="K26" s="55" t="str">
        <f t="shared" si="1"/>
        <v>Venta Grande</v>
      </c>
      <c r="L26" s="58" t="str">
        <f>VLOOKUP(D26, AUXILIAR!$A$2:$B$16, 2, 0)</f>
        <v>Samsung Oficial</v>
      </c>
      <c r="M26" s="54" t="str">
        <f t="shared" si="3"/>
        <v>Prioridad Media</v>
      </c>
      <c r="N26" s="54" t="str">
        <f>VLOOKUP(E26, AUXILIAR!$E$2:$F$4, 2, FALSE)</f>
        <v>ALM-02</v>
      </c>
    </row>
    <row r="27" spans="1:14" ht="15.75" thickBot="1" x14ac:dyDescent="0.3">
      <c r="A27" s="35">
        <v>458</v>
      </c>
      <c r="B27" s="36">
        <v>45749</v>
      </c>
      <c r="C27" s="35" t="s">
        <v>12</v>
      </c>
      <c r="D27" s="35" t="s">
        <v>29</v>
      </c>
      <c r="E27" s="35" t="s">
        <v>18</v>
      </c>
      <c r="F27" s="35" t="s">
        <v>36</v>
      </c>
      <c r="G27" s="35">
        <v>15</v>
      </c>
      <c r="H27" s="37">
        <v>4777</v>
      </c>
      <c r="I27" s="35">
        <v>0.02</v>
      </c>
      <c r="J27" s="38">
        <f t="shared" si="0"/>
        <v>71655</v>
      </c>
      <c r="K27" s="55" t="str">
        <f t="shared" si="1"/>
        <v>Venta Grande</v>
      </c>
      <c r="L27" s="58" t="str">
        <f>VLOOKUP(D27, AUXILIAR!$A$2:$B$16, 2, 0)</f>
        <v>LG Electronics</v>
      </c>
      <c r="M27" s="54" t="str">
        <f t="shared" si="3"/>
        <v>Prioridad Media</v>
      </c>
      <c r="N27" s="54" t="str">
        <f>VLOOKUP(E27, AUXILIAR!$E$2:$F$4, 2, FALSE)</f>
        <v>ALM-03</v>
      </c>
    </row>
    <row r="28" spans="1:14" ht="15.75" thickBot="1" x14ac:dyDescent="0.3">
      <c r="A28" s="35">
        <v>125</v>
      </c>
      <c r="B28" s="36">
        <v>45416</v>
      </c>
      <c r="C28" s="35" t="s">
        <v>14</v>
      </c>
      <c r="D28" s="35" t="s">
        <v>26</v>
      </c>
      <c r="E28" s="35" t="s">
        <v>18</v>
      </c>
      <c r="F28" s="35" t="s">
        <v>38</v>
      </c>
      <c r="G28" s="35">
        <v>4</v>
      </c>
      <c r="H28" s="37">
        <v>4769</v>
      </c>
      <c r="I28" s="35">
        <v>0.1</v>
      </c>
      <c r="J28" s="38">
        <f t="shared" si="0"/>
        <v>19076</v>
      </c>
      <c r="K28" s="55" t="str">
        <f t="shared" si="1"/>
        <v>Venta Grande</v>
      </c>
      <c r="L28" s="58" t="str">
        <f>VLOOKUP(D28, AUXILIAR!$A$2:$B$16, 2, 0)</f>
        <v>Office Design</v>
      </c>
      <c r="M28" s="54" t="str">
        <f t="shared" si="3"/>
        <v>Prioridad Media</v>
      </c>
      <c r="N28" s="54" t="str">
        <f>VLOOKUP(E28, AUXILIAR!$E$2:$F$4, 2, FALSE)</f>
        <v>ALM-03</v>
      </c>
    </row>
    <row r="29" spans="1:14" ht="15.75" thickBot="1" x14ac:dyDescent="0.3">
      <c r="A29" s="35">
        <v>49</v>
      </c>
      <c r="B29" s="36">
        <v>45340</v>
      </c>
      <c r="C29" s="35" t="s">
        <v>13</v>
      </c>
      <c r="D29" s="35" t="s">
        <v>27</v>
      </c>
      <c r="E29" s="35" t="s">
        <v>16</v>
      </c>
      <c r="F29" s="35" t="s">
        <v>37</v>
      </c>
      <c r="G29" s="35">
        <v>7</v>
      </c>
      <c r="H29" s="37">
        <v>4763</v>
      </c>
      <c r="I29" s="35">
        <v>0.11</v>
      </c>
      <c r="J29" s="38">
        <f t="shared" si="0"/>
        <v>33341</v>
      </c>
      <c r="K29" s="55" t="str">
        <f t="shared" si="1"/>
        <v>Venta Grande</v>
      </c>
      <c r="L29" s="58" t="str">
        <f>VLOOKUP(D29, AUXILIAR!$A$2:$B$16, 2, 0)</f>
        <v>LG Electronics</v>
      </c>
      <c r="M29" s="54" t="str">
        <f t="shared" si="3"/>
        <v>Prioridad Alta</v>
      </c>
      <c r="N29" s="54" t="str">
        <f>VLOOKUP(E29, AUXILIAR!$E$2:$F$4, 2, FALSE)</f>
        <v>ALM-01</v>
      </c>
    </row>
    <row r="30" spans="1:14" ht="15.75" thickBot="1" x14ac:dyDescent="0.3">
      <c r="A30" s="35">
        <v>213</v>
      </c>
      <c r="B30" s="36">
        <v>45504</v>
      </c>
      <c r="C30" s="35" t="s">
        <v>12</v>
      </c>
      <c r="D30" s="35" t="s">
        <v>26</v>
      </c>
      <c r="E30" s="35" t="s">
        <v>18</v>
      </c>
      <c r="F30" s="35" t="s">
        <v>36</v>
      </c>
      <c r="G30" s="35">
        <v>13</v>
      </c>
      <c r="H30" s="37">
        <v>4758</v>
      </c>
      <c r="I30" s="35">
        <v>0.12</v>
      </c>
      <c r="J30" s="38">
        <f t="shared" si="0"/>
        <v>61854</v>
      </c>
      <c r="K30" s="55" t="str">
        <f t="shared" si="1"/>
        <v>Venta Grande</v>
      </c>
      <c r="L30" s="58" t="str">
        <f>VLOOKUP(D30, AUXILIAR!$A$2:$B$16, 2, 0)</f>
        <v>Office Design</v>
      </c>
      <c r="M30" s="54" t="str">
        <f t="shared" si="3"/>
        <v>Prioridad Media</v>
      </c>
      <c r="N30" s="54" t="str">
        <f>VLOOKUP(E30, AUXILIAR!$E$2:$F$4, 2, FALSE)</f>
        <v>ALM-03</v>
      </c>
    </row>
    <row r="31" spans="1:14" ht="15.75" hidden="1" thickBot="1" x14ac:dyDescent="0.3">
      <c r="A31" s="28">
        <v>30</v>
      </c>
      <c r="B31" s="29">
        <v>45321</v>
      </c>
      <c r="C31" s="30" t="s">
        <v>14</v>
      </c>
      <c r="D31" s="31" t="s">
        <v>30</v>
      </c>
      <c r="E31" s="31" t="s">
        <v>16</v>
      </c>
      <c r="F31" s="31" t="s">
        <v>38</v>
      </c>
      <c r="G31" s="31">
        <v>10</v>
      </c>
      <c r="H31" s="32">
        <v>349</v>
      </c>
      <c r="I31" s="31">
        <v>0.04</v>
      </c>
      <c r="J31" s="33">
        <f t="shared" si="0"/>
        <v>3490</v>
      </c>
      <c r="K31" s="34" t="str">
        <f t="shared" si="1"/>
        <v>Venta Normal</v>
      </c>
      <c r="L31" s="31" t="str">
        <f>VLOOKUP(D31, AUXILIAR!$A$2:$B$16, 2, 0)</f>
        <v>Office Design</v>
      </c>
      <c r="M31"/>
    </row>
    <row r="32" spans="1:14" ht="15.75" thickBot="1" x14ac:dyDescent="0.3">
      <c r="A32" s="35">
        <v>271</v>
      </c>
      <c r="B32" s="36">
        <v>45562</v>
      </c>
      <c r="C32" s="35" t="s">
        <v>10</v>
      </c>
      <c r="D32" s="35" t="s">
        <v>29</v>
      </c>
      <c r="E32" s="35" t="s">
        <v>18</v>
      </c>
      <c r="F32" s="35" t="s">
        <v>34</v>
      </c>
      <c r="G32" s="35">
        <v>7</v>
      </c>
      <c r="H32" s="37">
        <v>4744</v>
      </c>
      <c r="I32" s="35">
        <v>0.1</v>
      </c>
      <c r="J32" s="38">
        <f t="shared" si="0"/>
        <v>33208</v>
      </c>
      <c r="K32" s="55" t="str">
        <f t="shared" si="1"/>
        <v>Venta Grande</v>
      </c>
      <c r="L32" s="58" t="str">
        <f>VLOOKUP(D32, AUXILIAR!$A$2:$B$16, 2, 0)</f>
        <v>LG Electronics</v>
      </c>
      <c r="M32" s="54" t="str">
        <f>IF(AND(E32="Tecnología", J32&gt;20000), "Prioridad Alta", IF(J32&gt;5000, "Prioridad Media", "Prioridad Baja"))</f>
        <v>Prioridad Media</v>
      </c>
      <c r="N32" s="54" t="str">
        <f>VLOOKUP(E32, AUXILIAR!$E$2:$F$4, 2, FALSE)</f>
        <v>ALM-03</v>
      </c>
    </row>
    <row r="33" spans="1:14" ht="15.75" thickBot="1" x14ac:dyDescent="0.3">
      <c r="A33" s="35">
        <v>197</v>
      </c>
      <c r="B33" s="36">
        <v>45488</v>
      </c>
      <c r="C33" s="35" t="s">
        <v>11</v>
      </c>
      <c r="D33" s="35" t="s">
        <v>32</v>
      </c>
      <c r="E33" s="35" t="s">
        <v>18</v>
      </c>
      <c r="F33" s="35" t="s">
        <v>35</v>
      </c>
      <c r="G33" s="35">
        <v>13</v>
      </c>
      <c r="H33" s="37">
        <v>4726</v>
      </c>
      <c r="I33" s="35">
        <v>0.11</v>
      </c>
      <c r="J33" s="38">
        <f t="shared" si="0"/>
        <v>61438</v>
      </c>
      <c r="K33" s="55" t="str">
        <f t="shared" si="1"/>
        <v>Venta Grande</v>
      </c>
      <c r="L33" s="58" t="str">
        <f>VLOOKUP(D33, AUXILIAR!$A$2:$B$16, 2, 0)</f>
        <v>Samsung Oficial</v>
      </c>
      <c r="M33" s="54" t="str">
        <f>IF(AND(E33="Tecnología", J33&gt;20000), "Prioridad Alta", IF(J33&gt;5000, "Prioridad Media", "Prioridad Baja"))</f>
        <v>Prioridad Media</v>
      </c>
      <c r="N33" s="54" t="str">
        <f>VLOOKUP(E33, AUXILIAR!$E$2:$F$4, 2, FALSE)</f>
        <v>ALM-03</v>
      </c>
    </row>
    <row r="34" spans="1:14" ht="15.75" hidden="1" thickBot="1" x14ac:dyDescent="0.3">
      <c r="A34" s="28">
        <v>33</v>
      </c>
      <c r="B34" s="29">
        <v>45324</v>
      </c>
      <c r="C34" s="30" t="s">
        <v>12</v>
      </c>
      <c r="D34" s="31" t="s">
        <v>33</v>
      </c>
      <c r="E34" s="31" t="s">
        <v>16</v>
      </c>
      <c r="F34" s="31" t="s">
        <v>36</v>
      </c>
      <c r="G34" s="31">
        <v>1</v>
      </c>
      <c r="H34" s="32">
        <v>3859</v>
      </c>
      <c r="I34" s="31">
        <v>0.15</v>
      </c>
      <c r="J34" s="33">
        <f t="shared" si="0"/>
        <v>3859</v>
      </c>
      <c r="K34" s="34" t="str">
        <f t="shared" si="1"/>
        <v>Venta Normal</v>
      </c>
      <c r="L34" s="31" t="str">
        <f>VLOOKUP(D34, AUXILIAR!$A$2:$B$16, 2, 0)</f>
        <v>LG Electronics</v>
      </c>
      <c r="M34"/>
    </row>
    <row r="35" spans="1:14" ht="15.75" thickBot="1" x14ac:dyDescent="0.3">
      <c r="A35" s="35">
        <v>366</v>
      </c>
      <c r="B35" s="36">
        <v>45657</v>
      </c>
      <c r="C35" s="35" t="s">
        <v>10</v>
      </c>
      <c r="D35" s="35" t="s">
        <v>25</v>
      </c>
      <c r="E35" s="35" t="s">
        <v>17</v>
      </c>
      <c r="F35" s="35" t="s">
        <v>34</v>
      </c>
      <c r="G35" s="35">
        <v>2</v>
      </c>
      <c r="H35" s="37">
        <v>4721</v>
      </c>
      <c r="I35" s="35">
        <v>0.1</v>
      </c>
      <c r="J35" s="38">
        <f t="shared" si="0"/>
        <v>9442</v>
      </c>
      <c r="K35" s="55" t="str">
        <f t="shared" si="1"/>
        <v>Venta Grande</v>
      </c>
      <c r="L35" s="58" t="str">
        <f>VLOOKUP(D35, AUXILIAR!$A$2:$B$16, 2, 0)</f>
        <v>LG Electronics</v>
      </c>
      <c r="M35" s="54" t="str">
        <f>IF(AND(E35="Tecnología", J35&gt;20000), "Prioridad Alta", IF(J35&gt;5000, "Prioridad Media", "Prioridad Baja"))</f>
        <v>Prioridad Media</v>
      </c>
      <c r="N35" s="54" t="str">
        <f>VLOOKUP(E35, AUXILIAR!$E$2:$F$4, 2, FALSE)</f>
        <v>ALM-02</v>
      </c>
    </row>
    <row r="36" spans="1:14" ht="15.75" thickBot="1" x14ac:dyDescent="0.3">
      <c r="A36" s="35">
        <v>155</v>
      </c>
      <c r="B36" s="36">
        <v>45446</v>
      </c>
      <c r="C36" s="35" t="s">
        <v>14</v>
      </c>
      <c r="D36" s="35" t="s">
        <v>33</v>
      </c>
      <c r="E36" s="35" t="s">
        <v>16</v>
      </c>
      <c r="F36" s="35" t="s">
        <v>38</v>
      </c>
      <c r="G36" s="35">
        <v>10</v>
      </c>
      <c r="H36" s="37">
        <v>4686</v>
      </c>
      <c r="I36" s="35">
        <v>0.05</v>
      </c>
      <c r="J36" s="38">
        <f t="shared" si="0"/>
        <v>46860</v>
      </c>
      <c r="K36" s="55" t="str">
        <f t="shared" si="1"/>
        <v>Venta Grande</v>
      </c>
      <c r="L36" s="58" t="str">
        <f>VLOOKUP(D36, AUXILIAR!$A$2:$B$16, 2, 0)</f>
        <v>LG Electronics</v>
      </c>
      <c r="M36" s="54" t="str">
        <f>IF(AND(E36="Tecnología", J36&gt;20000), "Prioridad Alta", IF(J36&gt;5000, "Prioridad Media", "Prioridad Baja"))</f>
        <v>Prioridad Alta</v>
      </c>
      <c r="N36" s="54" t="str">
        <f>VLOOKUP(E36, AUXILIAR!$E$2:$F$4, 2, FALSE)</f>
        <v>ALM-01</v>
      </c>
    </row>
    <row r="37" spans="1:14" ht="15.75" hidden="1" thickBot="1" x14ac:dyDescent="0.3">
      <c r="A37" s="21">
        <v>36</v>
      </c>
      <c r="B37" s="22">
        <v>45327</v>
      </c>
      <c r="C37" s="23" t="s">
        <v>10</v>
      </c>
      <c r="D37" s="24" t="s">
        <v>25</v>
      </c>
      <c r="E37" s="24" t="s">
        <v>17</v>
      </c>
      <c r="F37" s="24" t="s">
        <v>34</v>
      </c>
      <c r="G37" s="24">
        <v>7</v>
      </c>
      <c r="H37" s="25">
        <v>146</v>
      </c>
      <c r="I37" s="24">
        <v>0.09</v>
      </c>
      <c r="J37" s="26">
        <f t="shared" si="0"/>
        <v>1022</v>
      </c>
      <c r="K37" s="27" t="str">
        <f t="shared" si="1"/>
        <v>Venta Normal</v>
      </c>
      <c r="L37" s="24" t="str">
        <f>VLOOKUP(D37, AUXILIAR!$A$2:$B$16, 2, 0)</f>
        <v>LG Electronics</v>
      </c>
      <c r="M37"/>
    </row>
    <row r="38" spans="1:14" ht="15.75" hidden="1" thickBot="1" x14ac:dyDescent="0.3">
      <c r="A38" s="16">
        <v>37</v>
      </c>
      <c r="B38" s="17">
        <v>45328</v>
      </c>
      <c r="C38" s="15" t="s">
        <v>11</v>
      </c>
      <c r="D38" s="18" t="s">
        <v>26</v>
      </c>
      <c r="E38" s="18" t="s">
        <v>18</v>
      </c>
      <c r="F38" s="18" t="s">
        <v>35</v>
      </c>
      <c r="G38" s="18">
        <v>3</v>
      </c>
      <c r="H38" s="19">
        <v>941</v>
      </c>
      <c r="I38" s="18">
        <v>0.03</v>
      </c>
      <c r="J38" s="20">
        <f t="shared" si="0"/>
        <v>2823</v>
      </c>
      <c r="K38" s="14" t="str">
        <f t="shared" si="1"/>
        <v>Venta Normal</v>
      </c>
      <c r="L38" s="18" t="str">
        <f>VLOOKUP(D38, AUXILIAR!$A$2:$B$16, 2, 0)</f>
        <v>Office Design</v>
      </c>
      <c r="M38"/>
    </row>
    <row r="39" spans="1:14" ht="15.75" thickBot="1" x14ac:dyDescent="0.3">
      <c r="A39" s="35">
        <v>354</v>
      </c>
      <c r="B39" s="36">
        <v>45645</v>
      </c>
      <c r="C39" s="35" t="s">
        <v>13</v>
      </c>
      <c r="D39" s="35" t="s">
        <v>24</v>
      </c>
      <c r="E39" s="35" t="s">
        <v>16</v>
      </c>
      <c r="F39" s="35" t="s">
        <v>37</v>
      </c>
      <c r="G39" s="35">
        <v>6</v>
      </c>
      <c r="H39" s="37">
        <v>4656</v>
      </c>
      <c r="I39" s="35">
        <v>0.15</v>
      </c>
      <c r="J39" s="38">
        <f t="shared" si="0"/>
        <v>27936</v>
      </c>
      <c r="K39" s="55" t="str">
        <f t="shared" si="1"/>
        <v>Venta Grande</v>
      </c>
      <c r="L39" s="58" t="str">
        <f>VLOOKUP(D39, AUXILIAR!$A$2:$B$16, 2, 0)</f>
        <v>Samsung Oficial</v>
      </c>
      <c r="M39" s="54" t="str">
        <f>IF(AND(E39="Tecnología", J39&gt;20000), "Prioridad Alta", IF(J39&gt;5000, "Prioridad Media", "Prioridad Baja"))</f>
        <v>Prioridad Alta</v>
      </c>
      <c r="N39" s="54" t="str">
        <f>VLOOKUP(E39, AUXILIAR!$E$2:$F$4, 2, FALSE)</f>
        <v>ALM-01</v>
      </c>
    </row>
    <row r="40" spans="1:14" ht="15.75" thickBot="1" x14ac:dyDescent="0.3">
      <c r="A40" s="35">
        <v>270</v>
      </c>
      <c r="B40" s="36">
        <v>45561</v>
      </c>
      <c r="C40" s="35" t="s">
        <v>14</v>
      </c>
      <c r="D40" s="35" t="s">
        <v>28</v>
      </c>
      <c r="E40" s="35" t="s">
        <v>17</v>
      </c>
      <c r="F40" s="35" t="s">
        <v>38</v>
      </c>
      <c r="G40" s="35">
        <v>19</v>
      </c>
      <c r="H40" s="37">
        <v>4648</v>
      </c>
      <c r="I40" s="35">
        <v>0.09</v>
      </c>
      <c r="J40" s="38">
        <f t="shared" si="0"/>
        <v>88312</v>
      </c>
      <c r="K40" s="55" t="str">
        <f t="shared" si="1"/>
        <v>Venta Grande</v>
      </c>
      <c r="L40" s="58" t="str">
        <f>VLOOKUP(D40, AUXILIAR!$A$2:$B$16, 2, 0)</f>
        <v>Samsung Oficial</v>
      </c>
      <c r="M40" s="54" t="str">
        <f>IF(AND(E40="Tecnología", J40&gt;20000), "Prioridad Alta", IF(J40&gt;5000, "Prioridad Media", "Prioridad Baja"))</f>
        <v>Prioridad Media</v>
      </c>
      <c r="N40" s="54" t="str">
        <f>VLOOKUP(E40, AUXILIAR!$E$2:$F$4, 2, FALSE)</f>
        <v>ALM-02</v>
      </c>
    </row>
    <row r="41" spans="1:14" ht="15.75" thickBot="1" x14ac:dyDescent="0.3">
      <c r="A41" s="35">
        <v>137</v>
      </c>
      <c r="B41" s="36">
        <v>45428</v>
      </c>
      <c r="C41" s="35" t="s">
        <v>11</v>
      </c>
      <c r="D41" s="35" t="s">
        <v>27</v>
      </c>
      <c r="E41" s="35" t="s">
        <v>16</v>
      </c>
      <c r="F41" s="35" t="s">
        <v>35</v>
      </c>
      <c r="G41" s="35">
        <v>7</v>
      </c>
      <c r="H41" s="37">
        <v>4646</v>
      </c>
      <c r="I41" s="35">
        <v>0.05</v>
      </c>
      <c r="J41" s="38">
        <f t="shared" si="0"/>
        <v>32522</v>
      </c>
      <c r="K41" s="55" t="str">
        <f t="shared" si="1"/>
        <v>Venta Grande</v>
      </c>
      <c r="L41" s="58" t="str">
        <f>VLOOKUP(D41, AUXILIAR!$A$2:$B$16, 2, 0)</f>
        <v>LG Electronics</v>
      </c>
      <c r="M41" s="54" t="str">
        <f>IF(AND(E41="Tecnología", J41&gt;20000), "Prioridad Alta", IF(J41&gt;5000, "Prioridad Media", "Prioridad Baja"))</f>
        <v>Prioridad Alta</v>
      </c>
      <c r="N41" s="54" t="str">
        <f>VLOOKUP(E41, AUXILIAR!$E$2:$F$4, 2, FALSE)</f>
        <v>ALM-01</v>
      </c>
    </row>
    <row r="42" spans="1:14" ht="15.75" thickBot="1" x14ac:dyDescent="0.3">
      <c r="A42" s="35">
        <v>375</v>
      </c>
      <c r="B42" s="36">
        <v>45666</v>
      </c>
      <c r="C42" s="35" t="s">
        <v>14</v>
      </c>
      <c r="D42" s="35" t="s">
        <v>33</v>
      </c>
      <c r="E42" s="35" t="s">
        <v>16</v>
      </c>
      <c r="F42" s="35" t="s">
        <v>38</v>
      </c>
      <c r="G42" s="35">
        <v>19</v>
      </c>
      <c r="H42" s="37">
        <v>4638</v>
      </c>
      <c r="I42" s="35">
        <v>0.02</v>
      </c>
      <c r="J42" s="38">
        <f t="shared" si="0"/>
        <v>88122</v>
      </c>
      <c r="K42" s="55" t="str">
        <f t="shared" si="1"/>
        <v>Venta Grande</v>
      </c>
      <c r="L42" s="58" t="str">
        <f>VLOOKUP(D42, AUXILIAR!$A$2:$B$16, 2, 0)</f>
        <v>LG Electronics</v>
      </c>
      <c r="M42" s="54" t="str">
        <f>IF(AND(E42="Tecnología", J42&gt;20000), "Prioridad Alta", IF(J42&gt;5000, "Prioridad Media", "Prioridad Baja"))</f>
        <v>Prioridad Alta</v>
      </c>
      <c r="N42" s="54" t="str">
        <f>VLOOKUP(E42, AUXILIAR!$E$2:$F$4, 2, FALSE)</f>
        <v>ALM-01</v>
      </c>
    </row>
    <row r="43" spans="1:14" ht="15.75" hidden="1" thickBot="1" x14ac:dyDescent="0.3">
      <c r="A43" s="28">
        <v>42</v>
      </c>
      <c r="B43" s="29">
        <v>45333</v>
      </c>
      <c r="C43" s="30" t="s">
        <v>11</v>
      </c>
      <c r="D43" s="31" t="s">
        <v>31</v>
      </c>
      <c r="E43" s="31" t="s">
        <v>17</v>
      </c>
      <c r="F43" s="31" t="s">
        <v>35</v>
      </c>
      <c r="G43" s="31">
        <v>3</v>
      </c>
      <c r="H43" s="32">
        <v>865</v>
      </c>
      <c r="I43" s="31">
        <v>0.1</v>
      </c>
      <c r="J43" s="33">
        <f t="shared" si="0"/>
        <v>2595</v>
      </c>
      <c r="K43" s="34" t="str">
        <f t="shared" si="1"/>
        <v>Venta Normal</v>
      </c>
      <c r="L43" s="31" t="str">
        <f>VLOOKUP(D43, AUXILIAR!$A$2:$B$16, 2, 0)</f>
        <v>LG Electronics</v>
      </c>
      <c r="M43"/>
    </row>
    <row r="44" spans="1:14" ht="15.75" thickBot="1" x14ac:dyDescent="0.3">
      <c r="A44" s="35">
        <v>212</v>
      </c>
      <c r="B44" s="36">
        <v>45503</v>
      </c>
      <c r="C44" s="35" t="s">
        <v>11</v>
      </c>
      <c r="D44" s="35" t="s">
        <v>25</v>
      </c>
      <c r="E44" s="35" t="s">
        <v>17</v>
      </c>
      <c r="F44" s="35" t="s">
        <v>35</v>
      </c>
      <c r="G44" s="35">
        <v>2</v>
      </c>
      <c r="H44" s="37">
        <v>4632</v>
      </c>
      <c r="I44" s="35">
        <v>0.12</v>
      </c>
      <c r="J44" s="38">
        <f t="shared" si="0"/>
        <v>9264</v>
      </c>
      <c r="K44" s="55" t="str">
        <f t="shared" si="1"/>
        <v>Venta Grande</v>
      </c>
      <c r="L44" s="58" t="str">
        <f>VLOOKUP(D44, AUXILIAR!$A$2:$B$16, 2, 0)</f>
        <v>LG Electronics</v>
      </c>
      <c r="M44" s="54" t="str">
        <f>IF(AND(E44="Tecnología", J44&gt;20000), "Prioridad Alta", IF(J44&gt;5000, "Prioridad Media", "Prioridad Baja"))</f>
        <v>Prioridad Media</v>
      </c>
      <c r="N44" s="54" t="str">
        <f>VLOOKUP(E44, AUXILIAR!$E$2:$F$4, 2, FALSE)</f>
        <v>ALM-02</v>
      </c>
    </row>
    <row r="45" spans="1:14" ht="15.75" thickBot="1" x14ac:dyDescent="0.3">
      <c r="A45" s="35">
        <v>6</v>
      </c>
      <c r="B45" s="36">
        <v>45297</v>
      </c>
      <c r="C45" s="35" t="s">
        <v>10</v>
      </c>
      <c r="D45" s="35" t="s">
        <v>28</v>
      </c>
      <c r="E45" s="35" t="s">
        <v>17</v>
      </c>
      <c r="F45" s="35" t="s">
        <v>34</v>
      </c>
      <c r="G45" s="35">
        <v>20</v>
      </c>
      <c r="H45" s="37">
        <v>4622</v>
      </c>
      <c r="I45" s="35">
        <v>0.09</v>
      </c>
      <c r="J45" s="38">
        <f t="shared" si="0"/>
        <v>92440</v>
      </c>
      <c r="K45" s="55" t="str">
        <f t="shared" si="1"/>
        <v>Venta Grande</v>
      </c>
      <c r="L45" s="58" t="str">
        <f>VLOOKUP(D45, AUXILIAR!$A$2:$B$16, 2, 0)</f>
        <v>Samsung Oficial</v>
      </c>
      <c r="M45" s="54" t="str">
        <f>IF(AND(E45="Tecnología", J45&gt;20000), "Prioridad Alta", IF(J45&gt;5000, "Prioridad Media", "Prioridad Baja"))</f>
        <v>Prioridad Media</v>
      </c>
      <c r="N45" s="54" t="str">
        <f>VLOOKUP(E45, AUXILIAR!$E$2:$F$4, 2, FALSE)</f>
        <v>ALM-02</v>
      </c>
    </row>
    <row r="46" spans="1:14" ht="15.75" thickBot="1" x14ac:dyDescent="0.3">
      <c r="A46" s="35">
        <v>93</v>
      </c>
      <c r="B46" s="36">
        <v>45384</v>
      </c>
      <c r="C46" s="35" t="s">
        <v>12</v>
      </c>
      <c r="D46" s="35" t="s">
        <v>27</v>
      </c>
      <c r="E46" s="35" t="s">
        <v>16</v>
      </c>
      <c r="F46" s="35" t="s">
        <v>36</v>
      </c>
      <c r="G46" s="35">
        <v>20</v>
      </c>
      <c r="H46" s="37">
        <v>4611</v>
      </c>
      <c r="I46" s="35">
        <v>0.13</v>
      </c>
      <c r="J46" s="38">
        <f t="shared" si="0"/>
        <v>92220</v>
      </c>
      <c r="K46" s="55" t="str">
        <f t="shared" si="1"/>
        <v>Venta Grande</v>
      </c>
      <c r="L46" s="58" t="str">
        <f>VLOOKUP(D46, AUXILIAR!$A$2:$B$16, 2, 0)</f>
        <v>LG Electronics</v>
      </c>
      <c r="M46" s="54" t="str">
        <f>IF(AND(E46="Tecnología", J46&gt;20000), "Prioridad Alta", IF(J46&gt;5000, "Prioridad Media", "Prioridad Baja"))</f>
        <v>Prioridad Alta</v>
      </c>
      <c r="N46" s="54" t="str">
        <f>VLOOKUP(E46, AUXILIAR!$E$2:$F$4, 2, FALSE)</f>
        <v>ALM-01</v>
      </c>
    </row>
    <row r="47" spans="1:14" ht="15.75" thickBot="1" x14ac:dyDescent="0.3">
      <c r="A47" s="35">
        <v>459</v>
      </c>
      <c r="B47" s="36">
        <v>45750</v>
      </c>
      <c r="C47" s="35" t="s">
        <v>13</v>
      </c>
      <c r="D47" s="35" t="s">
        <v>30</v>
      </c>
      <c r="E47" s="35" t="s">
        <v>16</v>
      </c>
      <c r="F47" s="35" t="s">
        <v>37</v>
      </c>
      <c r="G47" s="35">
        <v>18</v>
      </c>
      <c r="H47" s="37">
        <v>4611</v>
      </c>
      <c r="I47" s="35">
        <v>0.03</v>
      </c>
      <c r="J47" s="38">
        <f t="shared" si="0"/>
        <v>82998</v>
      </c>
      <c r="K47" s="55" t="str">
        <f t="shared" si="1"/>
        <v>Venta Grande</v>
      </c>
      <c r="L47" s="58" t="str">
        <f>VLOOKUP(D47, AUXILIAR!$A$2:$B$16, 2, 0)</f>
        <v>Office Design</v>
      </c>
      <c r="M47" s="54" t="str">
        <f>IF(AND(E47="Tecnología", J47&gt;20000), "Prioridad Alta", IF(J47&gt;5000, "Prioridad Media", "Prioridad Baja"))</f>
        <v>Prioridad Alta</v>
      </c>
      <c r="N47" s="54" t="str">
        <f>VLOOKUP(E47, AUXILIAR!$E$2:$F$4, 2, FALSE)</f>
        <v>ALM-01</v>
      </c>
    </row>
    <row r="48" spans="1:14" ht="15.75" hidden="1" thickBot="1" x14ac:dyDescent="0.3">
      <c r="A48" s="28">
        <v>47</v>
      </c>
      <c r="B48" s="29">
        <v>45338</v>
      </c>
      <c r="C48" s="30" t="s">
        <v>11</v>
      </c>
      <c r="D48" s="31" t="s">
        <v>25</v>
      </c>
      <c r="E48" s="31" t="s">
        <v>17</v>
      </c>
      <c r="F48" s="31" t="s">
        <v>35</v>
      </c>
      <c r="G48" s="31">
        <v>2</v>
      </c>
      <c r="H48" s="32">
        <v>1643</v>
      </c>
      <c r="I48" s="31">
        <v>0.04</v>
      </c>
      <c r="J48" s="33">
        <f t="shared" si="0"/>
        <v>3286</v>
      </c>
      <c r="K48" s="34" t="str">
        <f t="shared" si="1"/>
        <v>Venta Normal</v>
      </c>
      <c r="L48" s="31" t="str">
        <f>VLOOKUP(D48, AUXILIAR!$A$2:$B$16, 2, 0)</f>
        <v>LG Electronics</v>
      </c>
      <c r="M48"/>
    </row>
    <row r="49" spans="1:14" ht="15.75" thickBot="1" x14ac:dyDescent="0.3">
      <c r="A49" s="35">
        <v>45</v>
      </c>
      <c r="B49" s="36">
        <v>45336</v>
      </c>
      <c r="C49" s="35" t="s">
        <v>14</v>
      </c>
      <c r="D49" s="35" t="s">
        <v>33</v>
      </c>
      <c r="E49" s="35" t="s">
        <v>16</v>
      </c>
      <c r="F49" s="35" t="s">
        <v>38</v>
      </c>
      <c r="G49" s="35">
        <v>20</v>
      </c>
      <c r="H49" s="37">
        <v>4606</v>
      </c>
      <c r="I49" s="35">
        <v>0.04</v>
      </c>
      <c r="J49" s="38">
        <f t="shared" si="0"/>
        <v>92120</v>
      </c>
      <c r="K49" s="55" t="str">
        <f t="shared" si="1"/>
        <v>Venta Grande</v>
      </c>
      <c r="L49" s="58" t="str">
        <f>VLOOKUP(D49, AUXILIAR!$A$2:$B$16, 2, 0)</f>
        <v>LG Electronics</v>
      </c>
      <c r="M49" s="54" t="str">
        <f t="shared" ref="M49:M58" si="4">IF(AND(E49="Tecnología", J49&gt;20000), "Prioridad Alta", IF(J49&gt;5000, "Prioridad Media", "Prioridad Baja"))</f>
        <v>Prioridad Alta</v>
      </c>
      <c r="N49" s="54" t="str">
        <f>VLOOKUP(E49, AUXILIAR!$E$2:$F$4, 2, FALSE)</f>
        <v>ALM-01</v>
      </c>
    </row>
    <row r="50" spans="1:14" ht="15.75" thickBot="1" x14ac:dyDescent="0.3">
      <c r="A50" s="35">
        <v>227</v>
      </c>
      <c r="B50" s="36">
        <v>45518</v>
      </c>
      <c r="C50" s="35" t="s">
        <v>11</v>
      </c>
      <c r="D50" s="35" t="s">
        <v>29</v>
      </c>
      <c r="E50" s="35" t="s">
        <v>18</v>
      </c>
      <c r="F50" s="35" t="s">
        <v>35</v>
      </c>
      <c r="G50" s="35">
        <v>20</v>
      </c>
      <c r="H50" s="37">
        <v>4604</v>
      </c>
      <c r="I50" s="35">
        <v>7.0000000000000007E-2</v>
      </c>
      <c r="J50" s="38">
        <f t="shared" si="0"/>
        <v>92080</v>
      </c>
      <c r="K50" s="55" t="str">
        <f t="shared" si="1"/>
        <v>Venta Grande</v>
      </c>
      <c r="L50" s="58" t="str">
        <f>VLOOKUP(D50, AUXILIAR!$A$2:$B$16, 2, 0)</f>
        <v>LG Electronics</v>
      </c>
      <c r="M50" s="54" t="str">
        <f t="shared" si="4"/>
        <v>Prioridad Media</v>
      </c>
      <c r="N50" s="54" t="str">
        <f>VLOOKUP(E50, AUXILIAR!$E$2:$F$4, 2, FALSE)</f>
        <v>ALM-03</v>
      </c>
    </row>
    <row r="51" spans="1:14" ht="15.75" thickBot="1" x14ac:dyDescent="0.3">
      <c r="A51" s="35">
        <v>262</v>
      </c>
      <c r="B51" s="36">
        <v>45553</v>
      </c>
      <c r="C51" s="35" t="s">
        <v>11</v>
      </c>
      <c r="D51" s="35" t="s">
        <v>31</v>
      </c>
      <c r="E51" s="35" t="s">
        <v>17</v>
      </c>
      <c r="F51" s="35" t="s">
        <v>35</v>
      </c>
      <c r="G51" s="35">
        <v>20</v>
      </c>
      <c r="H51" s="37">
        <v>4590</v>
      </c>
      <c r="I51" s="35">
        <v>0.12</v>
      </c>
      <c r="J51" s="38">
        <f t="shared" si="0"/>
        <v>91800</v>
      </c>
      <c r="K51" s="55" t="str">
        <f t="shared" si="1"/>
        <v>Venta Grande</v>
      </c>
      <c r="L51" s="58" t="str">
        <f>VLOOKUP(D51, AUXILIAR!$A$2:$B$16, 2, 0)</f>
        <v>LG Electronics</v>
      </c>
      <c r="M51" s="54" t="str">
        <f t="shared" si="4"/>
        <v>Prioridad Media</v>
      </c>
      <c r="N51" s="54" t="str">
        <f>VLOOKUP(E51, AUXILIAR!$E$2:$F$4, 2, FALSE)</f>
        <v>ALM-02</v>
      </c>
    </row>
    <row r="52" spans="1:14" ht="15.75" thickBot="1" x14ac:dyDescent="0.3">
      <c r="A52" s="35">
        <v>259</v>
      </c>
      <c r="B52" s="36">
        <v>45550</v>
      </c>
      <c r="C52" s="35" t="s">
        <v>13</v>
      </c>
      <c r="D52" s="35" t="s">
        <v>28</v>
      </c>
      <c r="E52" s="35" t="s">
        <v>17</v>
      </c>
      <c r="F52" s="35" t="s">
        <v>37</v>
      </c>
      <c r="G52" s="35">
        <v>19</v>
      </c>
      <c r="H52" s="37">
        <v>4576</v>
      </c>
      <c r="I52" s="35">
        <v>0.04</v>
      </c>
      <c r="J52" s="38">
        <f t="shared" si="0"/>
        <v>86944</v>
      </c>
      <c r="K52" s="55" t="str">
        <f t="shared" si="1"/>
        <v>Venta Grande</v>
      </c>
      <c r="L52" s="58" t="str">
        <f>VLOOKUP(D52, AUXILIAR!$A$2:$B$16, 2, 0)</f>
        <v>Samsung Oficial</v>
      </c>
      <c r="M52" s="54" t="str">
        <f t="shared" si="4"/>
        <v>Prioridad Media</v>
      </c>
      <c r="N52" s="54" t="str">
        <f>VLOOKUP(E52, AUXILIAR!$E$2:$F$4, 2, FALSE)</f>
        <v>ALM-02</v>
      </c>
    </row>
    <row r="53" spans="1:14" ht="15.75" thickBot="1" x14ac:dyDescent="0.3">
      <c r="A53" s="35">
        <v>273</v>
      </c>
      <c r="B53" s="36">
        <v>45564</v>
      </c>
      <c r="C53" s="35" t="s">
        <v>12</v>
      </c>
      <c r="D53" s="35" t="s">
        <v>31</v>
      </c>
      <c r="E53" s="35" t="s">
        <v>17</v>
      </c>
      <c r="F53" s="35" t="s">
        <v>36</v>
      </c>
      <c r="G53" s="35">
        <v>17</v>
      </c>
      <c r="H53" s="37">
        <v>4559</v>
      </c>
      <c r="I53" s="35">
        <v>0.02</v>
      </c>
      <c r="J53" s="38">
        <f t="shared" si="0"/>
        <v>77503</v>
      </c>
      <c r="K53" s="55" t="str">
        <f t="shared" si="1"/>
        <v>Venta Grande</v>
      </c>
      <c r="L53" s="58" t="str">
        <f>VLOOKUP(D53, AUXILIAR!$A$2:$B$16, 2, 0)</f>
        <v>LG Electronics</v>
      </c>
      <c r="M53" s="54" t="str">
        <f t="shared" si="4"/>
        <v>Prioridad Media</v>
      </c>
      <c r="N53" s="54" t="str">
        <f>VLOOKUP(E53, AUXILIAR!$E$2:$F$4, 2, FALSE)</f>
        <v>ALM-02</v>
      </c>
    </row>
    <row r="54" spans="1:14" ht="15.75" thickBot="1" x14ac:dyDescent="0.3">
      <c r="A54" s="35">
        <v>130</v>
      </c>
      <c r="B54" s="36">
        <v>45421</v>
      </c>
      <c r="C54" s="35" t="s">
        <v>14</v>
      </c>
      <c r="D54" s="35" t="s">
        <v>31</v>
      </c>
      <c r="E54" s="35" t="s">
        <v>17</v>
      </c>
      <c r="F54" s="35" t="s">
        <v>38</v>
      </c>
      <c r="G54" s="35">
        <v>13</v>
      </c>
      <c r="H54" s="37">
        <v>4553</v>
      </c>
      <c r="I54" s="35">
        <v>0.05</v>
      </c>
      <c r="J54" s="38">
        <f t="shared" si="0"/>
        <v>59189</v>
      </c>
      <c r="K54" s="55" t="str">
        <f t="shared" si="1"/>
        <v>Venta Grande</v>
      </c>
      <c r="L54" s="58" t="str">
        <f>VLOOKUP(D54, AUXILIAR!$A$2:$B$16, 2, 0)</f>
        <v>LG Electronics</v>
      </c>
      <c r="M54" s="54" t="str">
        <f t="shared" si="4"/>
        <v>Prioridad Media</v>
      </c>
      <c r="N54" s="54" t="str">
        <f>VLOOKUP(E54, AUXILIAR!$E$2:$F$4, 2, FALSE)</f>
        <v>ALM-02</v>
      </c>
    </row>
    <row r="55" spans="1:14" ht="15.75" thickBot="1" x14ac:dyDescent="0.3">
      <c r="A55" s="35">
        <v>297</v>
      </c>
      <c r="B55" s="36">
        <v>45588</v>
      </c>
      <c r="C55" s="35" t="s">
        <v>11</v>
      </c>
      <c r="D55" s="35" t="s">
        <v>33</v>
      </c>
      <c r="E55" s="35" t="s">
        <v>16</v>
      </c>
      <c r="F55" s="35" t="s">
        <v>35</v>
      </c>
      <c r="G55" s="35">
        <v>16</v>
      </c>
      <c r="H55" s="37">
        <v>4542</v>
      </c>
      <c r="I55" s="35">
        <v>0.13</v>
      </c>
      <c r="J55" s="38">
        <f t="shared" si="0"/>
        <v>72672</v>
      </c>
      <c r="K55" s="55" t="str">
        <f t="shared" si="1"/>
        <v>Venta Grande</v>
      </c>
      <c r="L55" s="58" t="str">
        <f>VLOOKUP(D55, AUXILIAR!$A$2:$B$16, 2, 0)</f>
        <v>LG Electronics</v>
      </c>
      <c r="M55" s="54" t="str">
        <f t="shared" si="4"/>
        <v>Prioridad Alta</v>
      </c>
      <c r="N55" s="54" t="str">
        <f>VLOOKUP(E55, AUXILIAR!$E$2:$F$4, 2, FALSE)</f>
        <v>ALM-01</v>
      </c>
    </row>
    <row r="56" spans="1:14" ht="15.75" thickBot="1" x14ac:dyDescent="0.3">
      <c r="A56" s="35">
        <v>106</v>
      </c>
      <c r="B56" s="36">
        <v>45397</v>
      </c>
      <c r="C56" s="35" t="s">
        <v>10</v>
      </c>
      <c r="D56" s="35" t="s">
        <v>29</v>
      </c>
      <c r="E56" s="35" t="s">
        <v>18</v>
      </c>
      <c r="F56" s="35" t="s">
        <v>34</v>
      </c>
      <c r="G56" s="35">
        <v>19</v>
      </c>
      <c r="H56" s="37">
        <v>4534</v>
      </c>
      <c r="I56" s="35">
        <v>7.0000000000000007E-2</v>
      </c>
      <c r="J56" s="38">
        <f t="shared" si="0"/>
        <v>86146</v>
      </c>
      <c r="K56" s="55" t="str">
        <f t="shared" si="1"/>
        <v>Venta Grande</v>
      </c>
      <c r="L56" s="58" t="str">
        <f>VLOOKUP(D56, AUXILIAR!$A$2:$B$16, 2, 0)</f>
        <v>LG Electronics</v>
      </c>
      <c r="M56" s="54" t="str">
        <f t="shared" si="4"/>
        <v>Prioridad Media</v>
      </c>
      <c r="N56" s="54" t="str">
        <f>VLOOKUP(E56, AUXILIAR!$E$2:$F$4, 2, FALSE)</f>
        <v>ALM-03</v>
      </c>
    </row>
    <row r="57" spans="1:14" ht="15.75" thickBot="1" x14ac:dyDescent="0.3">
      <c r="A57" s="35">
        <v>327</v>
      </c>
      <c r="B57" s="36">
        <v>45618</v>
      </c>
      <c r="C57" s="35" t="s">
        <v>11</v>
      </c>
      <c r="D57" s="35" t="s">
        <v>30</v>
      </c>
      <c r="E57" s="35" t="s">
        <v>16</v>
      </c>
      <c r="F57" s="35" t="s">
        <v>35</v>
      </c>
      <c r="G57" s="35">
        <v>3</v>
      </c>
      <c r="H57" s="37">
        <v>4531</v>
      </c>
      <c r="I57" s="35">
        <v>0.06</v>
      </c>
      <c r="J57" s="38">
        <f t="shared" si="0"/>
        <v>13593</v>
      </c>
      <c r="K57" s="55" t="str">
        <f t="shared" si="1"/>
        <v>Venta Grande</v>
      </c>
      <c r="L57" s="58" t="str">
        <f>VLOOKUP(D57, AUXILIAR!$A$2:$B$16, 2, 0)</f>
        <v>Office Design</v>
      </c>
      <c r="M57" s="54" t="str">
        <f t="shared" si="4"/>
        <v>Prioridad Media</v>
      </c>
      <c r="N57" s="54" t="str">
        <f>VLOOKUP(E57, AUXILIAR!$E$2:$F$4, 2, FALSE)</f>
        <v>ALM-01</v>
      </c>
    </row>
    <row r="58" spans="1:14" ht="15.75" thickBot="1" x14ac:dyDescent="0.3">
      <c r="A58" s="35">
        <v>424</v>
      </c>
      <c r="B58" s="36">
        <v>45715</v>
      </c>
      <c r="C58" s="35" t="s">
        <v>13</v>
      </c>
      <c r="D58" s="35" t="s">
        <v>28</v>
      </c>
      <c r="E58" s="35" t="s">
        <v>17</v>
      </c>
      <c r="F58" s="35" t="s">
        <v>37</v>
      </c>
      <c r="G58" s="35">
        <v>15</v>
      </c>
      <c r="H58" s="37">
        <v>4526</v>
      </c>
      <c r="I58" s="35">
        <v>7.0000000000000007E-2</v>
      </c>
      <c r="J58" s="38">
        <f t="shared" si="0"/>
        <v>67890</v>
      </c>
      <c r="K58" s="55" t="str">
        <f t="shared" si="1"/>
        <v>Venta Grande</v>
      </c>
      <c r="L58" s="58" t="str">
        <f>VLOOKUP(D58, AUXILIAR!$A$2:$B$16, 2, 0)</f>
        <v>Samsung Oficial</v>
      </c>
      <c r="M58" s="54" t="str">
        <f t="shared" si="4"/>
        <v>Prioridad Media</v>
      </c>
      <c r="N58" s="54" t="str">
        <f>VLOOKUP(E58, AUXILIAR!$E$2:$F$4, 2, FALSE)</f>
        <v>ALM-02</v>
      </c>
    </row>
    <row r="59" spans="1:14" ht="15.75" hidden="1" thickBot="1" x14ac:dyDescent="0.3">
      <c r="A59" s="21">
        <v>58</v>
      </c>
      <c r="B59" s="22">
        <v>45349</v>
      </c>
      <c r="C59" s="23" t="s">
        <v>12</v>
      </c>
      <c r="D59" s="24" t="s">
        <v>25</v>
      </c>
      <c r="E59" s="24" t="s">
        <v>17</v>
      </c>
      <c r="F59" s="24" t="s">
        <v>36</v>
      </c>
      <c r="G59" s="24">
        <v>6</v>
      </c>
      <c r="H59" s="25">
        <v>694</v>
      </c>
      <c r="I59" s="24">
        <v>0.15</v>
      </c>
      <c r="J59" s="26">
        <f t="shared" si="0"/>
        <v>4164</v>
      </c>
      <c r="K59" s="27" t="str">
        <f t="shared" si="1"/>
        <v>Venta Normal</v>
      </c>
      <c r="L59" s="24" t="str">
        <f>VLOOKUP(D59, AUXILIAR!$A$2:$B$16, 2, 0)</f>
        <v>LG Electronics</v>
      </c>
      <c r="M59"/>
    </row>
    <row r="60" spans="1:14" ht="15.75" hidden="1" thickBot="1" x14ac:dyDescent="0.3">
      <c r="A60" s="16">
        <v>59</v>
      </c>
      <c r="B60" s="17">
        <v>45350</v>
      </c>
      <c r="C60" s="15" t="s">
        <v>13</v>
      </c>
      <c r="D60" s="18" t="s">
        <v>26</v>
      </c>
      <c r="E60" s="18" t="s">
        <v>18</v>
      </c>
      <c r="F60" s="18" t="s">
        <v>37</v>
      </c>
      <c r="G60" s="18">
        <v>1</v>
      </c>
      <c r="H60" s="19">
        <v>3724</v>
      </c>
      <c r="I60" s="18">
        <v>0.04</v>
      </c>
      <c r="J60" s="20">
        <f t="shared" si="0"/>
        <v>3724</v>
      </c>
      <c r="K60" s="14" t="str">
        <f t="shared" si="1"/>
        <v>Venta Normal</v>
      </c>
      <c r="L60" s="18" t="str">
        <f>VLOOKUP(D60, AUXILIAR!$A$2:$B$16, 2, 0)</f>
        <v>Office Design</v>
      </c>
      <c r="M60"/>
    </row>
    <row r="61" spans="1:14" ht="15.75" thickBot="1" x14ac:dyDescent="0.3">
      <c r="A61" s="35">
        <v>88</v>
      </c>
      <c r="B61" s="36">
        <v>45379</v>
      </c>
      <c r="C61" s="35" t="s">
        <v>12</v>
      </c>
      <c r="D61" s="35" t="s">
        <v>33</v>
      </c>
      <c r="E61" s="35" t="s">
        <v>16</v>
      </c>
      <c r="F61" s="35" t="s">
        <v>36</v>
      </c>
      <c r="G61" s="35">
        <v>19</v>
      </c>
      <c r="H61" s="37">
        <v>4525</v>
      </c>
      <c r="I61" s="35">
        <v>0.04</v>
      </c>
      <c r="J61" s="38">
        <f t="shared" si="0"/>
        <v>85975</v>
      </c>
      <c r="K61" s="55" t="str">
        <f t="shared" si="1"/>
        <v>Venta Grande</v>
      </c>
      <c r="L61" s="58" t="str">
        <f>VLOOKUP(D61, AUXILIAR!$A$2:$B$16, 2, 0)</f>
        <v>LG Electronics</v>
      </c>
      <c r="M61" s="54" t="str">
        <f>IF(AND(E61="Tecnología", J61&gt;20000), "Prioridad Alta", IF(J61&gt;5000, "Prioridad Media", "Prioridad Baja"))</f>
        <v>Prioridad Alta</v>
      </c>
      <c r="N61" s="54" t="str">
        <f>VLOOKUP(E61, AUXILIAR!$E$2:$F$4, 2, FALSE)</f>
        <v>ALM-01</v>
      </c>
    </row>
    <row r="62" spans="1:14" ht="15.75" thickBot="1" x14ac:dyDescent="0.3">
      <c r="A62" s="35">
        <v>285</v>
      </c>
      <c r="B62" s="36">
        <v>45576</v>
      </c>
      <c r="C62" s="35" t="s">
        <v>14</v>
      </c>
      <c r="D62" s="35" t="s">
        <v>32</v>
      </c>
      <c r="E62" s="35" t="s">
        <v>18</v>
      </c>
      <c r="F62" s="35" t="s">
        <v>38</v>
      </c>
      <c r="G62" s="35">
        <v>20</v>
      </c>
      <c r="H62" s="37">
        <v>4516</v>
      </c>
      <c r="I62" s="35">
        <v>0.08</v>
      </c>
      <c r="J62" s="38">
        <f t="shared" si="0"/>
        <v>90320</v>
      </c>
      <c r="K62" s="55" t="str">
        <f t="shared" si="1"/>
        <v>Venta Grande</v>
      </c>
      <c r="L62" s="58" t="str">
        <f>VLOOKUP(D62, AUXILIAR!$A$2:$B$16, 2, 0)</f>
        <v>Samsung Oficial</v>
      </c>
      <c r="M62" s="54" t="str">
        <f>IF(AND(E62="Tecnología", J62&gt;20000), "Prioridad Alta", IF(J62&gt;5000, "Prioridad Media", "Prioridad Baja"))</f>
        <v>Prioridad Media</v>
      </c>
      <c r="N62" s="54" t="str">
        <f>VLOOKUP(E62, AUXILIAR!$E$2:$F$4, 2, FALSE)</f>
        <v>ALM-03</v>
      </c>
    </row>
    <row r="63" spans="1:14" ht="15.75" thickBot="1" x14ac:dyDescent="0.3">
      <c r="A63" s="35">
        <v>491</v>
      </c>
      <c r="B63" s="36">
        <v>45782</v>
      </c>
      <c r="C63" s="35" t="s">
        <v>10</v>
      </c>
      <c r="D63" s="35" t="s">
        <v>29</v>
      </c>
      <c r="E63" s="35" t="s">
        <v>18</v>
      </c>
      <c r="F63" s="35" t="s">
        <v>34</v>
      </c>
      <c r="G63" s="35">
        <v>15</v>
      </c>
      <c r="H63" s="37">
        <v>4504</v>
      </c>
      <c r="I63" s="35">
        <v>7.0000000000000007E-2</v>
      </c>
      <c r="J63" s="38">
        <f t="shared" si="0"/>
        <v>67560</v>
      </c>
      <c r="K63" s="55" t="str">
        <f t="shared" si="1"/>
        <v>Venta Grande</v>
      </c>
      <c r="L63" s="58" t="str">
        <f>VLOOKUP(D63, AUXILIAR!$A$2:$B$16, 2, 0)</f>
        <v>LG Electronics</v>
      </c>
      <c r="M63" s="54" t="str">
        <f>IF(AND(E63="Tecnología", J63&gt;20000), "Prioridad Alta", IF(J63&gt;5000, "Prioridad Media", "Prioridad Baja"))</f>
        <v>Prioridad Media</v>
      </c>
      <c r="N63" s="54" t="str">
        <f>VLOOKUP(E63, AUXILIAR!$E$2:$F$4, 2, FALSE)</f>
        <v>ALM-03</v>
      </c>
    </row>
    <row r="64" spans="1:14" ht="15.75" hidden="1" thickBot="1" x14ac:dyDescent="0.3">
      <c r="A64" s="28">
        <v>63</v>
      </c>
      <c r="B64" s="29">
        <v>45354</v>
      </c>
      <c r="C64" s="30" t="s">
        <v>12</v>
      </c>
      <c r="D64" s="31" t="s">
        <v>30</v>
      </c>
      <c r="E64" s="31" t="s">
        <v>16</v>
      </c>
      <c r="F64" s="31" t="s">
        <v>36</v>
      </c>
      <c r="G64" s="31">
        <v>2</v>
      </c>
      <c r="H64" s="32">
        <v>469</v>
      </c>
      <c r="I64" s="31">
        <v>0.06</v>
      </c>
      <c r="J64" s="33">
        <f t="shared" si="0"/>
        <v>938</v>
      </c>
      <c r="K64" s="34" t="str">
        <f t="shared" si="1"/>
        <v>Venta Normal</v>
      </c>
      <c r="L64" s="31" t="str">
        <f>VLOOKUP(D64, AUXILIAR!$A$2:$B$16, 2, 0)</f>
        <v>Office Design</v>
      </c>
      <c r="M64"/>
    </row>
    <row r="65" spans="1:14" ht="15.75" thickBot="1" x14ac:dyDescent="0.3">
      <c r="A65" s="35">
        <v>487</v>
      </c>
      <c r="B65" s="36">
        <v>45778</v>
      </c>
      <c r="C65" s="35" t="s">
        <v>11</v>
      </c>
      <c r="D65" s="35" t="s">
        <v>25</v>
      </c>
      <c r="E65" s="35" t="s">
        <v>17</v>
      </c>
      <c r="F65" s="35" t="s">
        <v>35</v>
      </c>
      <c r="G65" s="35">
        <v>4</v>
      </c>
      <c r="H65" s="37">
        <v>4500</v>
      </c>
      <c r="I65" s="35">
        <v>7.0000000000000007E-2</v>
      </c>
      <c r="J65" s="38">
        <f t="shared" si="0"/>
        <v>18000</v>
      </c>
      <c r="K65" s="55" t="str">
        <f t="shared" si="1"/>
        <v>Venta Grande</v>
      </c>
      <c r="L65" s="58" t="str">
        <f>VLOOKUP(D65, AUXILIAR!$A$2:$B$16, 2, 0)</f>
        <v>LG Electronics</v>
      </c>
      <c r="M65" s="54" t="str">
        <f>IF(AND(E65="Tecnología", J65&gt;20000), "Prioridad Alta", IF(J65&gt;5000, "Prioridad Media", "Prioridad Baja"))</f>
        <v>Prioridad Media</v>
      </c>
      <c r="N65" s="54" t="str">
        <f>VLOOKUP(E65, AUXILIAR!$E$2:$F$4, 2, FALSE)</f>
        <v>ALM-02</v>
      </c>
    </row>
    <row r="66" spans="1:14" ht="15.75" thickBot="1" x14ac:dyDescent="0.3">
      <c r="A66" s="35">
        <v>41</v>
      </c>
      <c r="B66" s="36">
        <v>45332</v>
      </c>
      <c r="C66" s="35" t="s">
        <v>10</v>
      </c>
      <c r="D66" s="35" t="s">
        <v>30</v>
      </c>
      <c r="E66" s="35" t="s">
        <v>16</v>
      </c>
      <c r="F66" s="35" t="s">
        <v>34</v>
      </c>
      <c r="G66" s="35">
        <v>6</v>
      </c>
      <c r="H66" s="37">
        <v>4496</v>
      </c>
      <c r="I66" s="35">
        <v>0.04</v>
      </c>
      <c r="J66" s="38">
        <f t="shared" ref="J66:J129" si="5">G66*H66</f>
        <v>26976</v>
      </c>
      <c r="K66" s="55" t="str">
        <f t="shared" ref="K66:K129" si="6">IF(J66&gt;5000, "Venta Grande", "Venta Normal")</f>
        <v>Venta Grande</v>
      </c>
      <c r="L66" s="58" t="str">
        <f>VLOOKUP(D66, AUXILIAR!$A$2:$B$16, 2, 0)</f>
        <v>Office Design</v>
      </c>
      <c r="M66" s="54" t="str">
        <f>IF(AND(E66="Tecnología", J66&gt;20000), "Prioridad Alta", IF(J66&gt;5000, "Prioridad Media", "Prioridad Baja"))</f>
        <v>Prioridad Alta</v>
      </c>
      <c r="N66" s="54" t="str">
        <f>VLOOKUP(E66, AUXILIAR!$E$2:$F$4, 2, FALSE)</f>
        <v>ALM-01</v>
      </c>
    </row>
    <row r="67" spans="1:14" ht="15.75" thickBot="1" x14ac:dyDescent="0.3">
      <c r="A67" s="35">
        <v>433</v>
      </c>
      <c r="B67" s="36">
        <v>45724</v>
      </c>
      <c r="C67" s="35" t="s">
        <v>12</v>
      </c>
      <c r="D67" s="35" t="s">
        <v>26</v>
      </c>
      <c r="E67" s="35" t="s">
        <v>18</v>
      </c>
      <c r="F67" s="35" t="s">
        <v>36</v>
      </c>
      <c r="G67" s="35">
        <v>3</v>
      </c>
      <c r="H67" s="37">
        <v>4491</v>
      </c>
      <c r="I67" s="35">
        <v>7.0000000000000007E-2</v>
      </c>
      <c r="J67" s="38">
        <f t="shared" si="5"/>
        <v>13473</v>
      </c>
      <c r="K67" s="55" t="str">
        <f t="shared" si="6"/>
        <v>Venta Grande</v>
      </c>
      <c r="L67" s="58" t="str">
        <f>VLOOKUP(D67, AUXILIAR!$A$2:$B$16, 2, 0)</f>
        <v>Office Design</v>
      </c>
      <c r="M67" s="54" t="str">
        <f>IF(AND(E67="Tecnología", J67&gt;20000), "Prioridad Alta", IF(J67&gt;5000, "Prioridad Media", "Prioridad Baja"))</f>
        <v>Prioridad Media</v>
      </c>
      <c r="N67" s="54" t="str">
        <f>VLOOKUP(E67, AUXILIAR!$E$2:$F$4, 2, FALSE)</f>
        <v>ALM-03</v>
      </c>
    </row>
    <row r="68" spans="1:14" ht="15.75" thickBot="1" x14ac:dyDescent="0.3">
      <c r="A68" s="35">
        <v>43</v>
      </c>
      <c r="B68" s="36">
        <v>45334</v>
      </c>
      <c r="C68" s="35" t="s">
        <v>12</v>
      </c>
      <c r="D68" s="35" t="s">
        <v>32</v>
      </c>
      <c r="E68" s="35" t="s">
        <v>18</v>
      </c>
      <c r="F68" s="35" t="s">
        <v>36</v>
      </c>
      <c r="G68" s="35">
        <v>14</v>
      </c>
      <c r="H68" s="37">
        <v>4478</v>
      </c>
      <c r="I68" s="35">
        <v>0.14000000000000001</v>
      </c>
      <c r="J68" s="38">
        <f t="shared" si="5"/>
        <v>62692</v>
      </c>
      <c r="K68" s="55" t="str">
        <f t="shared" si="6"/>
        <v>Venta Grande</v>
      </c>
      <c r="L68" s="58" t="str">
        <f>VLOOKUP(D68, AUXILIAR!$A$2:$B$16, 2, 0)</f>
        <v>Samsung Oficial</v>
      </c>
      <c r="M68" s="54" t="str">
        <f>IF(AND(E68="Tecnología", J68&gt;20000), "Prioridad Alta", IF(J68&gt;5000, "Prioridad Media", "Prioridad Baja"))</f>
        <v>Prioridad Media</v>
      </c>
      <c r="N68" s="54" t="str">
        <f>VLOOKUP(E68, AUXILIAR!$E$2:$F$4, 2, FALSE)</f>
        <v>ALM-03</v>
      </c>
    </row>
    <row r="69" spans="1:14" ht="15.75" thickBot="1" x14ac:dyDescent="0.3">
      <c r="A69" s="35">
        <v>82</v>
      </c>
      <c r="B69" s="36">
        <v>45373</v>
      </c>
      <c r="C69" s="35" t="s">
        <v>11</v>
      </c>
      <c r="D69" s="35" t="s">
        <v>27</v>
      </c>
      <c r="E69" s="35" t="s">
        <v>16</v>
      </c>
      <c r="F69" s="35" t="s">
        <v>35</v>
      </c>
      <c r="G69" s="35">
        <v>17</v>
      </c>
      <c r="H69" s="37">
        <v>4466</v>
      </c>
      <c r="I69" s="35">
        <v>0.13</v>
      </c>
      <c r="J69" s="38">
        <f t="shared" si="5"/>
        <v>75922</v>
      </c>
      <c r="K69" s="55" t="str">
        <f t="shared" si="6"/>
        <v>Venta Grande</v>
      </c>
      <c r="L69" s="58" t="str">
        <f>VLOOKUP(D69, AUXILIAR!$A$2:$B$16, 2, 0)</f>
        <v>LG Electronics</v>
      </c>
      <c r="M69" s="54" t="str">
        <f>IF(AND(E69="Tecnología", J69&gt;20000), "Prioridad Alta", IF(J69&gt;5000, "Prioridad Media", "Prioridad Baja"))</f>
        <v>Prioridad Alta</v>
      </c>
      <c r="N69" s="54" t="str">
        <f>VLOOKUP(E69, AUXILIAR!$E$2:$F$4, 2, FALSE)</f>
        <v>ALM-01</v>
      </c>
    </row>
    <row r="70" spans="1:14" ht="15.75" hidden="1" thickBot="1" x14ac:dyDescent="0.3">
      <c r="A70" s="28">
        <v>69</v>
      </c>
      <c r="B70" s="29">
        <v>45360</v>
      </c>
      <c r="C70" s="30" t="s">
        <v>13</v>
      </c>
      <c r="D70" s="31" t="s">
        <v>25</v>
      </c>
      <c r="E70" s="31" t="s">
        <v>17</v>
      </c>
      <c r="F70" s="31" t="s">
        <v>37</v>
      </c>
      <c r="G70" s="31">
        <v>1</v>
      </c>
      <c r="H70" s="32">
        <v>266</v>
      </c>
      <c r="I70" s="31">
        <v>0.02</v>
      </c>
      <c r="J70" s="33">
        <f t="shared" si="5"/>
        <v>266</v>
      </c>
      <c r="K70" s="34" t="str">
        <f t="shared" si="6"/>
        <v>Venta Normal</v>
      </c>
      <c r="L70" s="31" t="str">
        <f>VLOOKUP(D70, AUXILIAR!$A$2:$B$16, 2, 0)</f>
        <v>LG Electronics</v>
      </c>
      <c r="M70"/>
    </row>
    <row r="71" spans="1:14" ht="15.75" thickBot="1" x14ac:dyDescent="0.3">
      <c r="A71" s="35">
        <v>360</v>
      </c>
      <c r="B71" s="36">
        <v>45651</v>
      </c>
      <c r="C71" s="35" t="s">
        <v>14</v>
      </c>
      <c r="D71" s="35" t="s">
        <v>30</v>
      </c>
      <c r="E71" s="35" t="s">
        <v>16</v>
      </c>
      <c r="F71" s="35" t="s">
        <v>38</v>
      </c>
      <c r="G71" s="35">
        <v>20</v>
      </c>
      <c r="H71" s="37">
        <v>4452</v>
      </c>
      <c r="I71" s="35">
        <v>0.06</v>
      </c>
      <c r="J71" s="38">
        <f t="shared" si="5"/>
        <v>89040</v>
      </c>
      <c r="K71" s="55" t="str">
        <f t="shared" si="6"/>
        <v>Venta Grande</v>
      </c>
      <c r="L71" s="58" t="str">
        <f>VLOOKUP(D71, AUXILIAR!$A$2:$B$16, 2, 0)</f>
        <v>Office Design</v>
      </c>
      <c r="M71" s="54" t="str">
        <f>IF(AND(E71="Tecnología", J71&gt;20000), "Prioridad Alta", IF(J71&gt;5000, "Prioridad Media", "Prioridad Baja"))</f>
        <v>Prioridad Alta</v>
      </c>
      <c r="N71" s="54" t="str">
        <f>VLOOKUP(E71, AUXILIAR!$E$2:$F$4, 2, FALSE)</f>
        <v>ALM-01</v>
      </c>
    </row>
    <row r="72" spans="1:14" ht="15.75" hidden="1" thickBot="1" x14ac:dyDescent="0.3">
      <c r="A72" s="28">
        <v>71</v>
      </c>
      <c r="B72" s="29">
        <v>45362</v>
      </c>
      <c r="C72" s="30" t="s">
        <v>10</v>
      </c>
      <c r="D72" s="31" t="s">
        <v>27</v>
      </c>
      <c r="E72" s="31" t="s">
        <v>16</v>
      </c>
      <c r="F72" s="31" t="s">
        <v>34</v>
      </c>
      <c r="G72" s="31">
        <v>6</v>
      </c>
      <c r="H72" s="32">
        <v>482</v>
      </c>
      <c r="I72" s="31">
        <v>0.15</v>
      </c>
      <c r="J72" s="33">
        <f t="shared" si="5"/>
        <v>2892</v>
      </c>
      <c r="K72" s="34" t="str">
        <f t="shared" si="6"/>
        <v>Venta Normal</v>
      </c>
      <c r="L72" s="31" t="str">
        <f>VLOOKUP(D72, AUXILIAR!$A$2:$B$16, 2, 0)</f>
        <v>LG Electronics</v>
      </c>
      <c r="M72"/>
    </row>
    <row r="73" spans="1:14" ht="15.75" thickBot="1" x14ac:dyDescent="0.3">
      <c r="A73" s="35">
        <v>409</v>
      </c>
      <c r="B73" s="36">
        <v>45700</v>
      </c>
      <c r="C73" s="35" t="s">
        <v>13</v>
      </c>
      <c r="D73" s="35" t="s">
        <v>24</v>
      </c>
      <c r="E73" s="35" t="s">
        <v>16</v>
      </c>
      <c r="F73" s="35" t="s">
        <v>37</v>
      </c>
      <c r="G73" s="35">
        <v>4</v>
      </c>
      <c r="H73" s="37">
        <v>4446</v>
      </c>
      <c r="I73" s="35">
        <v>0.05</v>
      </c>
      <c r="J73" s="38">
        <f t="shared" si="5"/>
        <v>17784</v>
      </c>
      <c r="K73" s="55" t="str">
        <f t="shared" si="6"/>
        <v>Venta Grande</v>
      </c>
      <c r="L73" s="58" t="str">
        <f>VLOOKUP(D73, AUXILIAR!$A$2:$B$16, 2, 0)</f>
        <v>Samsung Oficial</v>
      </c>
      <c r="M73" s="54" t="str">
        <f>IF(AND(E73="Tecnología", J73&gt;20000), "Prioridad Alta", IF(J73&gt;5000, "Prioridad Media", "Prioridad Baja"))</f>
        <v>Prioridad Media</v>
      </c>
      <c r="N73" s="54" t="str">
        <f>VLOOKUP(E73, AUXILIAR!$E$2:$F$4, 2, FALSE)</f>
        <v>ALM-01</v>
      </c>
    </row>
    <row r="74" spans="1:14" ht="15.75" thickBot="1" x14ac:dyDescent="0.3">
      <c r="A74" s="35">
        <v>210</v>
      </c>
      <c r="B74" s="36">
        <v>45501</v>
      </c>
      <c r="C74" s="35" t="s">
        <v>14</v>
      </c>
      <c r="D74" s="35" t="s">
        <v>33</v>
      </c>
      <c r="E74" s="35" t="s">
        <v>16</v>
      </c>
      <c r="F74" s="35" t="s">
        <v>38</v>
      </c>
      <c r="G74" s="35">
        <v>6</v>
      </c>
      <c r="H74" s="37">
        <v>4445</v>
      </c>
      <c r="I74" s="35">
        <v>0.08</v>
      </c>
      <c r="J74" s="38">
        <f t="shared" si="5"/>
        <v>26670</v>
      </c>
      <c r="K74" s="55" t="str">
        <f t="shared" si="6"/>
        <v>Venta Grande</v>
      </c>
      <c r="L74" s="58" t="str">
        <f>VLOOKUP(D74, AUXILIAR!$A$2:$B$16, 2, 0)</f>
        <v>LG Electronics</v>
      </c>
      <c r="M74" s="54" t="str">
        <f>IF(AND(E74="Tecnología", J74&gt;20000), "Prioridad Alta", IF(J74&gt;5000, "Prioridad Media", "Prioridad Baja"))</f>
        <v>Prioridad Alta</v>
      </c>
      <c r="N74" s="54" t="str">
        <f>VLOOKUP(E74, AUXILIAR!$E$2:$F$4, 2, FALSE)</f>
        <v>ALM-01</v>
      </c>
    </row>
    <row r="75" spans="1:14" ht="15.75" hidden="1" thickBot="1" x14ac:dyDescent="0.3">
      <c r="A75" s="21">
        <v>74</v>
      </c>
      <c r="B75" s="22">
        <v>45365</v>
      </c>
      <c r="C75" s="23" t="s">
        <v>13</v>
      </c>
      <c r="D75" s="24" t="s">
        <v>30</v>
      </c>
      <c r="E75" s="24" t="s">
        <v>16</v>
      </c>
      <c r="F75" s="24" t="s">
        <v>37</v>
      </c>
      <c r="G75" s="24">
        <v>8</v>
      </c>
      <c r="H75" s="25">
        <v>225</v>
      </c>
      <c r="I75" s="24">
        <v>0.11</v>
      </c>
      <c r="J75" s="26">
        <f t="shared" si="5"/>
        <v>1800</v>
      </c>
      <c r="K75" s="27" t="str">
        <f t="shared" si="6"/>
        <v>Venta Normal</v>
      </c>
      <c r="L75" s="24" t="str">
        <f>VLOOKUP(D75, AUXILIAR!$A$2:$B$16, 2, 0)</f>
        <v>Office Design</v>
      </c>
      <c r="M75"/>
    </row>
    <row r="76" spans="1:14" ht="15.75" hidden="1" thickBot="1" x14ac:dyDescent="0.3">
      <c r="A76" s="16">
        <v>75</v>
      </c>
      <c r="B76" s="17">
        <v>45366</v>
      </c>
      <c r="C76" s="15" t="s">
        <v>14</v>
      </c>
      <c r="D76" s="18" t="s">
        <v>31</v>
      </c>
      <c r="E76" s="18" t="s">
        <v>17</v>
      </c>
      <c r="F76" s="18" t="s">
        <v>38</v>
      </c>
      <c r="G76" s="18">
        <v>9</v>
      </c>
      <c r="H76" s="19">
        <v>256</v>
      </c>
      <c r="I76" s="18">
        <v>0.03</v>
      </c>
      <c r="J76" s="20">
        <f t="shared" si="5"/>
        <v>2304</v>
      </c>
      <c r="K76" s="14" t="str">
        <f t="shared" si="6"/>
        <v>Venta Normal</v>
      </c>
      <c r="L76" s="18" t="str">
        <f>VLOOKUP(D76, AUXILIAR!$A$2:$B$16, 2, 0)</f>
        <v>LG Electronics</v>
      </c>
      <c r="M76"/>
    </row>
    <row r="77" spans="1:14" ht="15.75" thickBot="1" x14ac:dyDescent="0.3">
      <c r="A77" s="35">
        <v>311</v>
      </c>
      <c r="B77" s="36">
        <v>45602</v>
      </c>
      <c r="C77" s="35" t="s">
        <v>10</v>
      </c>
      <c r="D77" s="35" t="s">
        <v>25</v>
      </c>
      <c r="E77" s="35" t="s">
        <v>17</v>
      </c>
      <c r="F77" s="35" t="s">
        <v>34</v>
      </c>
      <c r="G77" s="35">
        <v>7</v>
      </c>
      <c r="H77" s="37">
        <v>4440</v>
      </c>
      <c r="I77" s="35">
        <v>0.04</v>
      </c>
      <c r="J77" s="38">
        <f t="shared" si="5"/>
        <v>31080</v>
      </c>
      <c r="K77" s="55" t="str">
        <f t="shared" si="6"/>
        <v>Venta Grande</v>
      </c>
      <c r="L77" s="58" t="str">
        <f>VLOOKUP(D77, AUXILIAR!$A$2:$B$16, 2, 0)</f>
        <v>LG Electronics</v>
      </c>
      <c r="M77" s="54" t="str">
        <f>IF(AND(E77="Tecnología", J77&gt;20000), "Prioridad Alta", IF(J77&gt;5000, "Prioridad Media", "Prioridad Baja"))</f>
        <v>Prioridad Media</v>
      </c>
      <c r="N77" s="54" t="str">
        <f>VLOOKUP(E77, AUXILIAR!$E$2:$F$4, 2, FALSE)</f>
        <v>ALM-02</v>
      </c>
    </row>
    <row r="78" spans="1:14" ht="15.75" thickBot="1" x14ac:dyDescent="0.3">
      <c r="A78" s="35">
        <v>221</v>
      </c>
      <c r="B78" s="36">
        <v>45512</v>
      </c>
      <c r="C78" s="35" t="s">
        <v>10</v>
      </c>
      <c r="D78" s="35" t="s">
        <v>33</v>
      </c>
      <c r="E78" s="35" t="s">
        <v>16</v>
      </c>
      <c r="F78" s="35" t="s">
        <v>34</v>
      </c>
      <c r="G78" s="35">
        <v>12</v>
      </c>
      <c r="H78" s="37">
        <v>4418</v>
      </c>
      <c r="I78" s="35">
        <v>0.03</v>
      </c>
      <c r="J78" s="38">
        <f t="shared" si="5"/>
        <v>53016</v>
      </c>
      <c r="K78" s="55" t="str">
        <f t="shared" si="6"/>
        <v>Venta Grande</v>
      </c>
      <c r="L78" s="58" t="str">
        <f>VLOOKUP(D78, AUXILIAR!$A$2:$B$16, 2, 0)</f>
        <v>LG Electronics</v>
      </c>
      <c r="M78" s="54" t="str">
        <f>IF(AND(E78="Tecnología", J78&gt;20000), "Prioridad Alta", IF(J78&gt;5000, "Prioridad Media", "Prioridad Baja"))</f>
        <v>Prioridad Alta</v>
      </c>
      <c r="N78" s="54" t="str">
        <f>VLOOKUP(E78, AUXILIAR!$E$2:$F$4, 2, FALSE)</f>
        <v>ALM-01</v>
      </c>
    </row>
    <row r="79" spans="1:14" ht="15.75" thickBot="1" x14ac:dyDescent="0.3">
      <c r="A79" s="35">
        <v>4</v>
      </c>
      <c r="B79" s="36">
        <v>45295</v>
      </c>
      <c r="C79" s="35" t="s">
        <v>13</v>
      </c>
      <c r="D79" s="35" t="s">
        <v>26</v>
      </c>
      <c r="E79" s="35" t="s">
        <v>18</v>
      </c>
      <c r="F79" s="35" t="s">
        <v>37</v>
      </c>
      <c r="G79" s="35">
        <v>16</v>
      </c>
      <c r="H79" s="37">
        <v>4398</v>
      </c>
      <c r="I79" s="35">
        <v>0.05</v>
      </c>
      <c r="J79" s="38">
        <f t="shared" si="5"/>
        <v>70368</v>
      </c>
      <c r="K79" s="55" t="str">
        <f t="shared" si="6"/>
        <v>Venta Grande</v>
      </c>
      <c r="L79" s="58" t="str">
        <f>VLOOKUP(D79, AUXILIAR!$A$2:$B$16, 2, 0)</f>
        <v>Office Design</v>
      </c>
      <c r="M79" s="54" t="str">
        <f>IF(AND(E79="Tecnología", J79&gt;20000), "Prioridad Alta", IF(J79&gt;5000, "Prioridad Media", "Prioridad Baja"))</f>
        <v>Prioridad Media</v>
      </c>
      <c r="N79" s="54" t="str">
        <f>VLOOKUP(E79, AUXILIAR!$E$2:$F$4, 2, FALSE)</f>
        <v>ALM-03</v>
      </c>
    </row>
    <row r="80" spans="1:14" ht="15.75" thickBot="1" x14ac:dyDescent="0.3">
      <c r="A80" s="35">
        <v>331</v>
      </c>
      <c r="B80" s="36">
        <v>45622</v>
      </c>
      <c r="C80" s="35" t="s">
        <v>10</v>
      </c>
      <c r="D80" s="35" t="s">
        <v>33</v>
      </c>
      <c r="E80" s="35" t="s">
        <v>16</v>
      </c>
      <c r="F80" s="35" t="s">
        <v>34</v>
      </c>
      <c r="G80" s="35">
        <v>20</v>
      </c>
      <c r="H80" s="37">
        <v>4386</v>
      </c>
      <c r="I80" s="35">
        <v>7.0000000000000007E-2</v>
      </c>
      <c r="J80" s="38">
        <f t="shared" si="5"/>
        <v>87720</v>
      </c>
      <c r="K80" s="55" t="str">
        <f t="shared" si="6"/>
        <v>Venta Grande</v>
      </c>
      <c r="L80" s="58" t="str">
        <f>VLOOKUP(D80, AUXILIAR!$A$2:$B$16, 2, 0)</f>
        <v>LG Electronics</v>
      </c>
      <c r="M80" s="54" t="str">
        <f>IF(AND(E80="Tecnología", J80&gt;20000), "Prioridad Alta", IF(J80&gt;5000, "Prioridad Media", "Prioridad Baja"))</f>
        <v>Prioridad Alta</v>
      </c>
      <c r="N80" s="54" t="str">
        <f>VLOOKUP(E80, AUXILIAR!$E$2:$F$4, 2, FALSE)</f>
        <v>ALM-01</v>
      </c>
    </row>
    <row r="81" spans="1:14" ht="15.75" hidden="1" thickBot="1" x14ac:dyDescent="0.3">
      <c r="A81" s="28">
        <v>80</v>
      </c>
      <c r="B81" s="29">
        <v>45371</v>
      </c>
      <c r="C81" s="30" t="s">
        <v>14</v>
      </c>
      <c r="D81" s="31" t="s">
        <v>25</v>
      </c>
      <c r="E81" s="31" t="s">
        <v>17</v>
      </c>
      <c r="F81" s="31" t="s">
        <v>38</v>
      </c>
      <c r="G81" s="31">
        <v>10</v>
      </c>
      <c r="H81" s="32">
        <v>285</v>
      </c>
      <c r="I81" s="31">
        <v>0.08</v>
      </c>
      <c r="J81" s="33">
        <f t="shared" si="5"/>
        <v>2850</v>
      </c>
      <c r="K81" s="34" t="str">
        <f t="shared" si="6"/>
        <v>Venta Normal</v>
      </c>
      <c r="L81" s="31" t="str">
        <f>VLOOKUP(D81, AUXILIAR!$A$2:$B$16, 2, 0)</f>
        <v>LG Electronics</v>
      </c>
      <c r="M81"/>
    </row>
    <row r="82" spans="1:14" ht="15.75" thickBot="1" x14ac:dyDescent="0.3">
      <c r="A82" s="35">
        <v>167</v>
      </c>
      <c r="B82" s="36">
        <v>45458</v>
      </c>
      <c r="C82" s="35" t="s">
        <v>11</v>
      </c>
      <c r="D82" s="35" t="s">
        <v>24</v>
      </c>
      <c r="E82" s="35" t="s">
        <v>16</v>
      </c>
      <c r="F82" s="35" t="s">
        <v>35</v>
      </c>
      <c r="G82" s="35">
        <v>15</v>
      </c>
      <c r="H82" s="37">
        <v>4381</v>
      </c>
      <c r="I82" s="35">
        <v>0.12</v>
      </c>
      <c r="J82" s="38">
        <f t="shared" si="5"/>
        <v>65715</v>
      </c>
      <c r="K82" s="55" t="str">
        <f t="shared" si="6"/>
        <v>Venta Grande</v>
      </c>
      <c r="L82" s="58" t="str">
        <f>VLOOKUP(D82, AUXILIAR!$A$2:$B$16, 2, 0)</f>
        <v>Samsung Oficial</v>
      </c>
      <c r="M82" s="54" t="str">
        <f t="shared" ref="M82:M94" si="7">IF(AND(E82="Tecnología", J82&gt;20000), "Prioridad Alta", IF(J82&gt;5000, "Prioridad Media", "Prioridad Baja"))</f>
        <v>Prioridad Alta</v>
      </c>
      <c r="N82" s="54" t="str">
        <f>VLOOKUP(E82, AUXILIAR!$E$2:$F$4, 2, FALSE)</f>
        <v>ALM-01</v>
      </c>
    </row>
    <row r="83" spans="1:14" ht="15.75" thickBot="1" x14ac:dyDescent="0.3">
      <c r="A83" s="35">
        <v>20</v>
      </c>
      <c r="B83" s="36">
        <v>45311</v>
      </c>
      <c r="C83" s="35" t="s">
        <v>14</v>
      </c>
      <c r="D83" s="35" t="s">
        <v>31</v>
      </c>
      <c r="E83" s="35" t="s">
        <v>17</v>
      </c>
      <c r="F83" s="35" t="s">
        <v>38</v>
      </c>
      <c r="G83" s="35">
        <v>2</v>
      </c>
      <c r="H83" s="37">
        <v>4380</v>
      </c>
      <c r="I83" s="35">
        <v>0.04</v>
      </c>
      <c r="J83" s="38">
        <f t="shared" si="5"/>
        <v>8760</v>
      </c>
      <c r="K83" s="55" t="str">
        <f t="shared" si="6"/>
        <v>Venta Grande</v>
      </c>
      <c r="L83" s="58" t="str">
        <f>VLOOKUP(D83, AUXILIAR!$A$2:$B$16, 2, 0)</f>
        <v>LG Electronics</v>
      </c>
      <c r="M83" s="54" t="str">
        <f t="shared" si="7"/>
        <v>Prioridad Media</v>
      </c>
      <c r="N83" s="54" t="str">
        <f>VLOOKUP(E83, AUXILIAR!$E$2:$F$4, 2, FALSE)</f>
        <v>ALM-02</v>
      </c>
    </row>
    <row r="84" spans="1:14" ht="15.75" thickBot="1" x14ac:dyDescent="0.3">
      <c r="A84" s="35">
        <v>27</v>
      </c>
      <c r="B84" s="36">
        <v>45318</v>
      </c>
      <c r="C84" s="35" t="s">
        <v>11</v>
      </c>
      <c r="D84" s="35" t="s">
        <v>27</v>
      </c>
      <c r="E84" s="35" t="s">
        <v>16</v>
      </c>
      <c r="F84" s="35" t="s">
        <v>35</v>
      </c>
      <c r="G84" s="35">
        <v>9</v>
      </c>
      <c r="H84" s="37">
        <v>4358</v>
      </c>
      <c r="I84" s="35">
        <v>0.04</v>
      </c>
      <c r="J84" s="38">
        <f t="shared" si="5"/>
        <v>39222</v>
      </c>
      <c r="K84" s="55" t="str">
        <f t="shared" si="6"/>
        <v>Venta Grande</v>
      </c>
      <c r="L84" s="58" t="str">
        <f>VLOOKUP(D84, AUXILIAR!$A$2:$B$16, 2, 0)</f>
        <v>LG Electronics</v>
      </c>
      <c r="M84" s="54" t="str">
        <f t="shared" si="7"/>
        <v>Prioridad Alta</v>
      </c>
      <c r="N84" s="54" t="str">
        <f>VLOOKUP(E84, AUXILIAR!$E$2:$F$4, 2, FALSE)</f>
        <v>ALM-01</v>
      </c>
    </row>
    <row r="85" spans="1:14" ht="15.75" thickBot="1" x14ac:dyDescent="0.3">
      <c r="A85" s="35">
        <v>228</v>
      </c>
      <c r="B85" s="36">
        <v>45519</v>
      </c>
      <c r="C85" s="35" t="s">
        <v>12</v>
      </c>
      <c r="D85" s="35" t="s">
        <v>30</v>
      </c>
      <c r="E85" s="35" t="s">
        <v>16</v>
      </c>
      <c r="F85" s="35" t="s">
        <v>36</v>
      </c>
      <c r="G85" s="35">
        <v>9</v>
      </c>
      <c r="H85" s="37">
        <v>4335</v>
      </c>
      <c r="I85" s="35">
        <v>0.03</v>
      </c>
      <c r="J85" s="38">
        <f t="shared" si="5"/>
        <v>39015</v>
      </c>
      <c r="K85" s="55" t="str">
        <f t="shared" si="6"/>
        <v>Venta Grande</v>
      </c>
      <c r="L85" s="58" t="str">
        <f>VLOOKUP(D85, AUXILIAR!$A$2:$B$16, 2, 0)</f>
        <v>Office Design</v>
      </c>
      <c r="M85" s="54" t="str">
        <f t="shared" si="7"/>
        <v>Prioridad Alta</v>
      </c>
      <c r="N85" s="54" t="str">
        <f>VLOOKUP(E85, AUXILIAR!$E$2:$F$4, 2, FALSE)</f>
        <v>ALM-01</v>
      </c>
    </row>
    <row r="86" spans="1:14" ht="15.75" thickBot="1" x14ac:dyDescent="0.3">
      <c r="A86" s="35">
        <v>406</v>
      </c>
      <c r="B86" s="36">
        <v>45697</v>
      </c>
      <c r="C86" s="35" t="s">
        <v>10</v>
      </c>
      <c r="D86" s="35" t="s">
        <v>32</v>
      </c>
      <c r="E86" s="35" t="s">
        <v>18</v>
      </c>
      <c r="F86" s="35" t="s">
        <v>34</v>
      </c>
      <c r="G86" s="35">
        <v>14</v>
      </c>
      <c r="H86" s="37">
        <v>4305</v>
      </c>
      <c r="I86" s="35">
        <v>7.0000000000000007E-2</v>
      </c>
      <c r="J86" s="38">
        <f t="shared" si="5"/>
        <v>60270</v>
      </c>
      <c r="K86" s="55" t="str">
        <f t="shared" si="6"/>
        <v>Venta Grande</v>
      </c>
      <c r="L86" s="58" t="str">
        <f>VLOOKUP(D86, AUXILIAR!$A$2:$B$16, 2, 0)</f>
        <v>Samsung Oficial</v>
      </c>
      <c r="M86" s="54" t="str">
        <f t="shared" si="7"/>
        <v>Prioridad Media</v>
      </c>
      <c r="N86" s="54" t="str">
        <f>VLOOKUP(E86, AUXILIAR!$E$2:$F$4, 2, FALSE)</f>
        <v>ALM-03</v>
      </c>
    </row>
    <row r="87" spans="1:14" ht="15.75" thickBot="1" x14ac:dyDescent="0.3">
      <c r="A87" s="35">
        <v>85</v>
      </c>
      <c r="B87" s="36">
        <v>45376</v>
      </c>
      <c r="C87" s="35" t="s">
        <v>14</v>
      </c>
      <c r="D87" s="35" t="s">
        <v>30</v>
      </c>
      <c r="E87" s="35" t="s">
        <v>16</v>
      </c>
      <c r="F87" s="35" t="s">
        <v>38</v>
      </c>
      <c r="G87" s="35">
        <v>18</v>
      </c>
      <c r="H87" s="37">
        <v>4295</v>
      </c>
      <c r="I87" s="35">
        <v>0.11</v>
      </c>
      <c r="J87" s="38">
        <f t="shared" si="5"/>
        <v>77310</v>
      </c>
      <c r="K87" s="55" t="str">
        <f t="shared" si="6"/>
        <v>Venta Grande</v>
      </c>
      <c r="L87" s="58" t="str">
        <f>VLOOKUP(D87, AUXILIAR!$A$2:$B$16, 2, 0)</f>
        <v>Office Design</v>
      </c>
      <c r="M87" s="54" t="str">
        <f t="shared" si="7"/>
        <v>Prioridad Alta</v>
      </c>
      <c r="N87" s="54" t="str">
        <f>VLOOKUP(E87, AUXILIAR!$E$2:$F$4, 2, FALSE)</f>
        <v>ALM-01</v>
      </c>
    </row>
    <row r="88" spans="1:14" ht="15.75" thickBot="1" x14ac:dyDescent="0.3">
      <c r="A88" s="35">
        <v>258</v>
      </c>
      <c r="B88" s="36">
        <v>45549</v>
      </c>
      <c r="C88" s="35" t="s">
        <v>12</v>
      </c>
      <c r="D88" s="35" t="s">
        <v>27</v>
      </c>
      <c r="E88" s="35" t="s">
        <v>16</v>
      </c>
      <c r="F88" s="35" t="s">
        <v>36</v>
      </c>
      <c r="G88" s="35">
        <v>8</v>
      </c>
      <c r="H88" s="37">
        <v>4294</v>
      </c>
      <c r="I88" s="35">
        <v>0.04</v>
      </c>
      <c r="J88" s="38">
        <f t="shared" si="5"/>
        <v>34352</v>
      </c>
      <c r="K88" s="55" t="str">
        <f t="shared" si="6"/>
        <v>Venta Grande</v>
      </c>
      <c r="L88" s="58" t="str">
        <f>VLOOKUP(D88, AUXILIAR!$A$2:$B$16, 2, 0)</f>
        <v>LG Electronics</v>
      </c>
      <c r="M88" s="54" t="str">
        <f t="shared" si="7"/>
        <v>Prioridad Alta</v>
      </c>
      <c r="N88" s="54" t="str">
        <f>VLOOKUP(E88, AUXILIAR!$E$2:$F$4, 2, FALSE)</f>
        <v>ALM-01</v>
      </c>
    </row>
    <row r="89" spans="1:14" ht="15.75" thickBot="1" x14ac:dyDescent="0.3">
      <c r="A89" s="35">
        <v>379</v>
      </c>
      <c r="B89" s="36">
        <v>45670</v>
      </c>
      <c r="C89" s="35" t="s">
        <v>13</v>
      </c>
      <c r="D89" s="35" t="s">
        <v>27</v>
      </c>
      <c r="E89" s="35" t="s">
        <v>16</v>
      </c>
      <c r="F89" s="35" t="s">
        <v>37</v>
      </c>
      <c r="G89" s="35">
        <v>11</v>
      </c>
      <c r="H89" s="37">
        <v>4285</v>
      </c>
      <c r="I89" s="35">
        <v>0.15</v>
      </c>
      <c r="J89" s="38">
        <f t="shared" si="5"/>
        <v>47135</v>
      </c>
      <c r="K89" s="55" t="str">
        <f t="shared" si="6"/>
        <v>Venta Grande</v>
      </c>
      <c r="L89" s="58" t="str">
        <f>VLOOKUP(D89, AUXILIAR!$A$2:$B$16, 2, 0)</f>
        <v>LG Electronics</v>
      </c>
      <c r="M89" s="54" t="str">
        <f t="shared" si="7"/>
        <v>Prioridad Alta</v>
      </c>
      <c r="N89" s="54" t="str">
        <f>VLOOKUP(E89, AUXILIAR!$E$2:$F$4, 2, FALSE)</f>
        <v>ALM-01</v>
      </c>
    </row>
    <row r="90" spans="1:14" ht="15.75" thickBot="1" x14ac:dyDescent="0.3">
      <c r="A90" s="35">
        <v>121</v>
      </c>
      <c r="B90" s="36">
        <v>45412</v>
      </c>
      <c r="C90" s="35" t="s">
        <v>10</v>
      </c>
      <c r="D90" s="35" t="s">
        <v>33</v>
      </c>
      <c r="E90" s="35" t="s">
        <v>16</v>
      </c>
      <c r="F90" s="35" t="s">
        <v>34</v>
      </c>
      <c r="G90" s="35">
        <v>2</v>
      </c>
      <c r="H90" s="37">
        <v>4283</v>
      </c>
      <c r="I90" s="35">
        <v>0.04</v>
      </c>
      <c r="J90" s="38">
        <f t="shared" si="5"/>
        <v>8566</v>
      </c>
      <c r="K90" s="55" t="str">
        <f t="shared" si="6"/>
        <v>Venta Grande</v>
      </c>
      <c r="L90" s="58" t="str">
        <f>VLOOKUP(D90, AUXILIAR!$A$2:$B$16, 2, 0)</f>
        <v>LG Electronics</v>
      </c>
      <c r="M90" s="54" t="str">
        <f t="shared" si="7"/>
        <v>Prioridad Media</v>
      </c>
      <c r="N90" s="54" t="str">
        <f>VLOOKUP(E90, AUXILIAR!$E$2:$F$4, 2, FALSE)</f>
        <v>ALM-01</v>
      </c>
    </row>
    <row r="91" spans="1:14" ht="15.75" thickBot="1" x14ac:dyDescent="0.3">
      <c r="A91" s="35">
        <v>466</v>
      </c>
      <c r="B91" s="36">
        <v>45757</v>
      </c>
      <c r="C91" s="35" t="s">
        <v>10</v>
      </c>
      <c r="D91" s="35" t="s">
        <v>26</v>
      </c>
      <c r="E91" s="35" t="s">
        <v>18</v>
      </c>
      <c r="F91" s="35" t="s">
        <v>34</v>
      </c>
      <c r="G91" s="35">
        <v>10</v>
      </c>
      <c r="H91" s="37">
        <v>4279</v>
      </c>
      <c r="I91" s="35">
        <v>0.11</v>
      </c>
      <c r="J91" s="38">
        <f t="shared" si="5"/>
        <v>42790</v>
      </c>
      <c r="K91" s="55" t="str">
        <f t="shared" si="6"/>
        <v>Venta Grande</v>
      </c>
      <c r="L91" s="58" t="str">
        <f>VLOOKUP(D91, AUXILIAR!$A$2:$B$16, 2, 0)</f>
        <v>Office Design</v>
      </c>
      <c r="M91" s="54" t="str">
        <f t="shared" si="7"/>
        <v>Prioridad Media</v>
      </c>
      <c r="N91" s="54" t="str">
        <f>VLOOKUP(E91, AUXILIAR!$E$2:$F$4, 2, FALSE)</f>
        <v>ALM-03</v>
      </c>
    </row>
    <row r="92" spans="1:14" ht="15.75" thickBot="1" x14ac:dyDescent="0.3">
      <c r="A92" s="35">
        <v>28</v>
      </c>
      <c r="B92" s="36">
        <v>45319</v>
      </c>
      <c r="C92" s="35" t="s">
        <v>12</v>
      </c>
      <c r="D92" s="35" t="s">
        <v>28</v>
      </c>
      <c r="E92" s="35" t="s">
        <v>17</v>
      </c>
      <c r="F92" s="35" t="s">
        <v>36</v>
      </c>
      <c r="G92" s="35">
        <v>7</v>
      </c>
      <c r="H92" s="37">
        <v>4268</v>
      </c>
      <c r="I92" s="35">
        <v>7.0000000000000007E-2</v>
      </c>
      <c r="J92" s="38">
        <f t="shared" si="5"/>
        <v>29876</v>
      </c>
      <c r="K92" s="55" t="str">
        <f t="shared" si="6"/>
        <v>Venta Grande</v>
      </c>
      <c r="L92" s="58" t="str">
        <f>VLOOKUP(D92, AUXILIAR!$A$2:$B$16, 2, 0)</f>
        <v>Samsung Oficial</v>
      </c>
      <c r="M92" s="54" t="str">
        <f t="shared" si="7"/>
        <v>Prioridad Media</v>
      </c>
      <c r="N92" s="54" t="str">
        <f>VLOOKUP(E92, AUXILIAR!$E$2:$F$4, 2, FALSE)</f>
        <v>ALM-02</v>
      </c>
    </row>
    <row r="93" spans="1:14" ht="15.75" thickBot="1" x14ac:dyDescent="0.3">
      <c r="A93" s="35">
        <v>488</v>
      </c>
      <c r="B93" s="36">
        <v>45779</v>
      </c>
      <c r="C93" s="35" t="s">
        <v>12</v>
      </c>
      <c r="D93" s="35" t="s">
        <v>26</v>
      </c>
      <c r="E93" s="35" t="s">
        <v>18</v>
      </c>
      <c r="F93" s="35" t="s">
        <v>36</v>
      </c>
      <c r="G93" s="35">
        <v>3</v>
      </c>
      <c r="H93" s="37">
        <v>4242</v>
      </c>
      <c r="I93" s="35">
        <v>0.05</v>
      </c>
      <c r="J93" s="38">
        <f t="shared" si="5"/>
        <v>12726</v>
      </c>
      <c r="K93" s="55" t="str">
        <f t="shared" si="6"/>
        <v>Venta Grande</v>
      </c>
      <c r="L93" s="58" t="str">
        <f>VLOOKUP(D93, AUXILIAR!$A$2:$B$16, 2, 0)</f>
        <v>Office Design</v>
      </c>
      <c r="M93" s="54" t="str">
        <f t="shared" si="7"/>
        <v>Prioridad Media</v>
      </c>
      <c r="N93" s="54" t="str">
        <f>VLOOKUP(E93, AUXILIAR!$E$2:$F$4, 2, FALSE)</f>
        <v>ALM-03</v>
      </c>
    </row>
    <row r="94" spans="1:14" ht="15.75" thickBot="1" x14ac:dyDescent="0.3">
      <c r="A94" s="35">
        <v>467</v>
      </c>
      <c r="B94" s="36">
        <v>45758</v>
      </c>
      <c r="C94" s="35" t="s">
        <v>11</v>
      </c>
      <c r="D94" s="35" t="s">
        <v>27</v>
      </c>
      <c r="E94" s="35" t="s">
        <v>16</v>
      </c>
      <c r="F94" s="35" t="s">
        <v>35</v>
      </c>
      <c r="G94" s="35">
        <v>4</v>
      </c>
      <c r="H94" s="37">
        <v>4239</v>
      </c>
      <c r="I94" s="35">
        <v>0.05</v>
      </c>
      <c r="J94" s="38">
        <f t="shared" si="5"/>
        <v>16956</v>
      </c>
      <c r="K94" s="55" t="str">
        <f t="shared" si="6"/>
        <v>Venta Grande</v>
      </c>
      <c r="L94" s="58" t="str">
        <f>VLOOKUP(D94, AUXILIAR!$A$2:$B$16, 2, 0)</f>
        <v>LG Electronics</v>
      </c>
      <c r="M94" s="54" t="str">
        <f t="shared" si="7"/>
        <v>Prioridad Media</v>
      </c>
      <c r="N94" s="54" t="str">
        <f>VLOOKUP(E94, AUXILIAR!$E$2:$F$4, 2, FALSE)</f>
        <v>ALM-01</v>
      </c>
    </row>
    <row r="95" spans="1:14" ht="15.75" hidden="1" thickBot="1" x14ac:dyDescent="0.3">
      <c r="A95" s="28">
        <v>94</v>
      </c>
      <c r="B95" s="29">
        <v>45385</v>
      </c>
      <c r="C95" s="30" t="s">
        <v>13</v>
      </c>
      <c r="D95" s="31" t="s">
        <v>28</v>
      </c>
      <c r="E95" s="31" t="s">
        <v>17</v>
      </c>
      <c r="F95" s="31" t="s">
        <v>37</v>
      </c>
      <c r="G95" s="31">
        <v>2</v>
      </c>
      <c r="H95" s="32">
        <v>1664</v>
      </c>
      <c r="I95" s="31">
        <v>0.09</v>
      </c>
      <c r="J95" s="33">
        <f t="shared" si="5"/>
        <v>3328</v>
      </c>
      <c r="K95" s="34" t="str">
        <f t="shared" si="6"/>
        <v>Venta Normal</v>
      </c>
      <c r="L95" s="31" t="str">
        <f>VLOOKUP(D95, AUXILIAR!$A$2:$B$16, 2, 0)</f>
        <v>Samsung Oficial</v>
      </c>
      <c r="M95"/>
    </row>
    <row r="96" spans="1:14" ht="15.75" thickBot="1" x14ac:dyDescent="0.3">
      <c r="A96" s="35">
        <v>281</v>
      </c>
      <c r="B96" s="36">
        <v>45572</v>
      </c>
      <c r="C96" s="35" t="s">
        <v>10</v>
      </c>
      <c r="D96" s="35" t="s">
        <v>28</v>
      </c>
      <c r="E96" s="35" t="s">
        <v>17</v>
      </c>
      <c r="F96" s="35" t="s">
        <v>34</v>
      </c>
      <c r="G96" s="35">
        <v>7</v>
      </c>
      <c r="H96" s="37">
        <v>4226</v>
      </c>
      <c r="I96" s="35">
        <v>0.04</v>
      </c>
      <c r="J96" s="38">
        <f t="shared" si="5"/>
        <v>29582</v>
      </c>
      <c r="K96" s="55" t="str">
        <f t="shared" si="6"/>
        <v>Venta Grande</v>
      </c>
      <c r="L96" s="58" t="str">
        <f>VLOOKUP(D96, AUXILIAR!$A$2:$B$16, 2, 0)</f>
        <v>Samsung Oficial</v>
      </c>
      <c r="M96" s="54" t="str">
        <f>IF(AND(E96="Tecnología", J96&gt;20000), "Prioridad Alta", IF(J96&gt;5000, "Prioridad Media", "Prioridad Baja"))</f>
        <v>Prioridad Media</v>
      </c>
      <c r="N96" s="54" t="str">
        <f>VLOOKUP(E96, AUXILIAR!$E$2:$F$4, 2, FALSE)</f>
        <v>ALM-02</v>
      </c>
    </row>
    <row r="97" spans="1:14" ht="15.75" thickBot="1" x14ac:dyDescent="0.3">
      <c r="A97" s="35">
        <v>108</v>
      </c>
      <c r="B97" s="36">
        <v>45399</v>
      </c>
      <c r="C97" s="35" t="s">
        <v>12</v>
      </c>
      <c r="D97" s="35" t="s">
        <v>31</v>
      </c>
      <c r="E97" s="35" t="s">
        <v>17</v>
      </c>
      <c r="F97" s="35" t="s">
        <v>36</v>
      </c>
      <c r="G97" s="35">
        <v>12</v>
      </c>
      <c r="H97" s="37">
        <v>4209</v>
      </c>
      <c r="I97" s="35">
        <v>0.09</v>
      </c>
      <c r="J97" s="38">
        <f t="shared" si="5"/>
        <v>50508</v>
      </c>
      <c r="K97" s="55" t="str">
        <f t="shared" si="6"/>
        <v>Venta Grande</v>
      </c>
      <c r="L97" s="58" t="str">
        <f>VLOOKUP(D97, AUXILIAR!$A$2:$B$16, 2, 0)</f>
        <v>LG Electronics</v>
      </c>
      <c r="M97" s="54" t="str">
        <f>IF(AND(E97="Tecnología", J97&gt;20000), "Prioridad Alta", IF(J97&gt;5000, "Prioridad Media", "Prioridad Baja"))</f>
        <v>Prioridad Media</v>
      </c>
      <c r="N97" s="54" t="str">
        <f>VLOOKUP(E97, AUXILIAR!$E$2:$F$4, 2, FALSE)</f>
        <v>ALM-02</v>
      </c>
    </row>
    <row r="98" spans="1:14" ht="15.75" thickBot="1" x14ac:dyDescent="0.3">
      <c r="A98" s="35">
        <v>333</v>
      </c>
      <c r="B98" s="36">
        <v>45624</v>
      </c>
      <c r="C98" s="35" t="s">
        <v>12</v>
      </c>
      <c r="D98" s="35" t="s">
        <v>25</v>
      </c>
      <c r="E98" s="35" t="s">
        <v>17</v>
      </c>
      <c r="F98" s="35" t="s">
        <v>36</v>
      </c>
      <c r="G98" s="35">
        <v>11</v>
      </c>
      <c r="H98" s="37">
        <v>4203</v>
      </c>
      <c r="I98" s="35">
        <v>7.0000000000000007E-2</v>
      </c>
      <c r="J98" s="38">
        <f t="shared" si="5"/>
        <v>46233</v>
      </c>
      <c r="K98" s="55" t="str">
        <f t="shared" si="6"/>
        <v>Venta Grande</v>
      </c>
      <c r="L98" s="58" t="str">
        <f>VLOOKUP(D98, AUXILIAR!$A$2:$B$16, 2, 0)</f>
        <v>LG Electronics</v>
      </c>
      <c r="M98" s="54" t="str">
        <f>IF(AND(E98="Tecnología", J98&gt;20000), "Prioridad Alta", IF(J98&gt;5000, "Prioridad Media", "Prioridad Baja"))</f>
        <v>Prioridad Media</v>
      </c>
      <c r="N98" s="54" t="str">
        <f>VLOOKUP(E98, AUXILIAR!$E$2:$F$4, 2, FALSE)</f>
        <v>ALM-02</v>
      </c>
    </row>
    <row r="99" spans="1:14" ht="15.75" thickBot="1" x14ac:dyDescent="0.3">
      <c r="A99" s="35">
        <v>374</v>
      </c>
      <c r="B99" s="36">
        <v>45665</v>
      </c>
      <c r="C99" s="35" t="s">
        <v>13</v>
      </c>
      <c r="D99" s="35" t="s">
        <v>33</v>
      </c>
      <c r="E99" s="35" t="s">
        <v>16</v>
      </c>
      <c r="F99" s="35" t="s">
        <v>37</v>
      </c>
      <c r="G99" s="35">
        <v>20</v>
      </c>
      <c r="H99" s="37">
        <v>4187</v>
      </c>
      <c r="I99" s="35">
        <v>0.05</v>
      </c>
      <c r="J99" s="38">
        <f t="shared" si="5"/>
        <v>83740</v>
      </c>
      <c r="K99" s="55" t="str">
        <f t="shared" si="6"/>
        <v>Venta Grande</v>
      </c>
      <c r="L99" s="58" t="str">
        <f>VLOOKUP(D99, AUXILIAR!$A$2:$B$16, 2, 0)</f>
        <v>LG Electronics</v>
      </c>
      <c r="M99" s="54" t="str">
        <f>IF(AND(E99="Tecnología", J99&gt;20000), "Prioridad Alta", IF(J99&gt;5000, "Prioridad Media", "Prioridad Baja"))</f>
        <v>Prioridad Alta</v>
      </c>
      <c r="N99" s="54" t="str">
        <f>VLOOKUP(E99, AUXILIAR!$E$2:$F$4, 2, FALSE)</f>
        <v>ALM-01</v>
      </c>
    </row>
    <row r="100" spans="1:14" ht="15.75" thickBot="1" x14ac:dyDescent="0.3">
      <c r="A100" s="35">
        <v>24</v>
      </c>
      <c r="B100" s="36">
        <v>45315</v>
      </c>
      <c r="C100" s="35" t="s">
        <v>13</v>
      </c>
      <c r="D100" s="35" t="s">
        <v>24</v>
      </c>
      <c r="E100" s="35" t="s">
        <v>16</v>
      </c>
      <c r="F100" s="35" t="s">
        <v>37</v>
      </c>
      <c r="G100" s="35">
        <v>17</v>
      </c>
      <c r="H100" s="37">
        <v>4185</v>
      </c>
      <c r="I100" s="35">
        <v>0.11</v>
      </c>
      <c r="J100" s="38">
        <f t="shared" si="5"/>
        <v>71145</v>
      </c>
      <c r="K100" s="55" t="str">
        <f t="shared" si="6"/>
        <v>Venta Grande</v>
      </c>
      <c r="L100" s="58" t="str">
        <f>VLOOKUP(D100, AUXILIAR!$A$2:$B$16, 2, 0)</f>
        <v>Samsung Oficial</v>
      </c>
      <c r="M100" s="54" t="str">
        <f>IF(AND(E100="Tecnología", J100&gt;20000), "Prioridad Alta", IF(J100&gt;5000, "Prioridad Media", "Prioridad Baja"))</f>
        <v>Prioridad Alta</v>
      </c>
      <c r="N100" s="54" t="str">
        <f>VLOOKUP(E100, AUXILIAR!$E$2:$F$4, 2, FALSE)</f>
        <v>ALM-01</v>
      </c>
    </row>
    <row r="101" spans="1:14" ht="15.75" hidden="1" thickBot="1" x14ac:dyDescent="0.3">
      <c r="A101" s="28">
        <v>100</v>
      </c>
      <c r="B101" s="29">
        <v>45391</v>
      </c>
      <c r="C101" s="30" t="s">
        <v>14</v>
      </c>
      <c r="D101" s="31" t="s">
        <v>33</v>
      </c>
      <c r="E101" s="31" t="s">
        <v>16</v>
      </c>
      <c r="F101" s="31" t="s">
        <v>38</v>
      </c>
      <c r="G101" s="31">
        <v>16</v>
      </c>
      <c r="H101" s="32">
        <v>269</v>
      </c>
      <c r="I101" s="31">
        <v>0.12</v>
      </c>
      <c r="J101" s="33">
        <f t="shared" si="5"/>
        <v>4304</v>
      </c>
      <c r="K101" s="34" t="str">
        <f t="shared" si="6"/>
        <v>Venta Normal</v>
      </c>
      <c r="L101" s="31" t="str">
        <f>VLOOKUP(D101, AUXILIAR!$A$2:$B$16, 2, 0)</f>
        <v>LG Electronics</v>
      </c>
      <c r="M101"/>
    </row>
    <row r="102" spans="1:14" ht="15.75" thickBot="1" x14ac:dyDescent="0.3">
      <c r="A102" s="35">
        <v>92</v>
      </c>
      <c r="B102" s="36">
        <v>45383</v>
      </c>
      <c r="C102" s="35" t="s">
        <v>11</v>
      </c>
      <c r="D102" s="35" t="s">
        <v>26</v>
      </c>
      <c r="E102" s="35" t="s">
        <v>18</v>
      </c>
      <c r="F102" s="35" t="s">
        <v>35</v>
      </c>
      <c r="G102" s="35">
        <v>7</v>
      </c>
      <c r="H102" s="37">
        <v>4161</v>
      </c>
      <c r="I102" s="35">
        <v>0.04</v>
      </c>
      <c r="J102" s="38">
        <f t="shared" si="5"/>
        <v>29127</v>
      </c>
      <c r="K102" s="55" t="str">
        <f t="shared" si="6"/>
        <v>Venta Grande</v>
      </c>
      <c r="L102" s="58" t="str">
        <f>VLOOKUP(D102, AUXILIAR!$A$2:$B$16, 2, 0)</f>
        <v>Office Design</v>
      </c>
      <c r="M102" s="54" t="str">
        <f>IF(AND(E102="Tecnología", J102&gt;20000), "Prioridad Alta", IF(J102&gt;5000, "Prioridad Media", "Prioridad Baja"))</f>
        <v>Prioridad Media</v>
      </c>
      <c r="N102" s="54" t="str">
        <f>VLOOKUP(E102, AUXILIAR!$E$2:$F$4, 2, FALSE)</f>
        <v>ALM-03</v>
      </c>
    </row>
    <row r="103" spans="1:14" ht="15.75" thickBot="1" x14ac:dyDescent="0.3">
      <c r="A103" s="35">
        <v>497</v>
      </c>
      <c r="B103" s="36">
        <v>45788</v>
      </c>
      <c r="C103" s="35" t="s">
        <v>11</v>
      </c>
      <c r="D103" s="35" t="s">
        <v>24</v>
      </c>
      <c r="E103" s="35" t="s">
        <v>16</v>
      </c>
      <c r="F103" s="35" t="s">
        <v>35</v>
      </c>
      <c r="G103" s="35">
        <v>18</v>
      </c>
      <c r="H103" s="37">
        <v>4158</v>
      </c>
      <c r="I103" s="35">
        <v>0.01</v>
      </c>
      <c r="J103" s="38">
        <f t="shared" si="5"/>
        <v>74844</v>
      </c>
      <c r="K103" s="55" t="str">
        <f t="shared" si="6"/>
        <v>Venta Grande</v>
      </c>
      <c r="L103" s="58" t="str">
        <f>VLOOKUP(D103, AUXILIAR!$A$2:$B$16, 2, 0)</f>
        <v>Samsung Oficial</v>
      </c>
      <c r="M103" s="54" t="str">
        <f>IF(AND(E103="Tecnología", J103&gt;20000), "Prioridad Alta", IF(J103&gt;5000, "Prioridad Media", "Prioridad Baja"))</f>
        <v>Prioridad Alta</v>
      </c>
      <c r="N103" s="54" t="str">
        <f>VLOOKUP(E103, AUXILIAR!$E$2:$F$4, 2, FALSE)</f>
        <v>ALM-01</v>
      </c>
    </row>
    <row r="104" spans="1:14" ht="15.75" thickBot="1" x14ac:dyDescent="0.3">
      <c r="A104" s="35">
        <v>341</v>
      </c>
      <c r="B104" s="36">
        <v>45632</v>
      </c>
      <c r="C104" s="35" t="s">
        <v>10</v>
      </c>
      <c r="D104" s="35" t="s">
        <v>33</v>
      </c>
      <c r="E104" s="35" t="s">
        <v>16</v>
      </c>
      <c r="F104" s="35" t="s">
        <v>34</v>
      </c>
      <c r="G104" s="35">
        <v>2</v>
      </c>
      <c r="H104" s="37">
        <v>4155</v>
      </c>
      <c r="I104" s="35">
        <v>0.14000000000000001</v>
      </c>
      <c r="J104" s="38">
        <f t="shared" si="5"/>
        <v>8310</v>
      </c>
      <c r="K104" s="55" t="str">
        <f t="shared" si="6"/>
        <v>Venta Grande</v>
      </c>
      <c r="L104" s="58" t="str">
        <f>VLOOKUP(D104, AUXILIAR!$A$2:$B$16, 2, 0)</f>
        <v>LG Electronics</v>
      </c>
      <c r="M104" s="54" t="str">
        <f>IF(AND(E104="Tecnología", J104&gt;20000), "Prioridad Alta", IF(J104&gt;5000, "Prioridad Media", "Prioridad Baja"))</f>
        <v>Prioridad Media</v>
      </c>
      <c r="N104" s="54" t="str">
        <f>VLOOKUP(E104, AUXILIAR!$E$2:$F$4, 2, FALSE)</f>
        <v>ALM-01</v>
      </c>
    </row>
    <row r="105" spans="1:14" ht="15.75" thickBot="1" x14ac:dyDescent="0.3">
      <c r="A105" s="35">
        <v>86</v>
      </c>
      <c r="B105" s="36">
        <v>45377</v>
      </c>
      <c r="C105" s="35" t="s">
        <v>10</v>
      </c>
      <c r="D105" s="35" t="s">
        <v>31</v>
      </c>
      <c r="E105" s="35" t="s">
        <v>17</v>
      </c>
      <c r="F105" s="35" t="s">
        <v>34</v>
      </c>
      <c r="G105" s="35">
        <v>7</v>
      </c>
      <c r="H105" s="37">
        <v>4146</v>
      </c>
      <c r="I105" s="35">
        <v>7.0000000000000007E-2</v>
      </c>
      <c r="J105" s="38">
        <f t="shared" si="5"/>
        <v>29022</v>
      </c>
      <c r="K105" s="55" t="str">
        <f t="shared" si="6"/>
        <v>Venta Grande</v>
      </c>
      <c r="L105" s="58" t="str">
        <f>VLOOKUP(D105, AUXILIAR!$A$2:$B$16, 2, 0)</f>
        <v>LG Electronics</v>
      </c>
      <c r="M105" s="54" t="str">
        <f>IF(AND(E105="Tecnología", J105&gt;20000), "Prioridad Alta", IF(J105&gt;5000, "Prioridad Media", "Prioridad Baja"))</f>
        <v>Prioridad Media</v>
      </c>
      <c r="N105" s="54" t="str">
        <f>VLOOKUP(E105, AUXILIAR!$E$2:$F$4, 2, FALSE)</f>
        <v>ALM-02</v>
      </c>
    </row>
    <row r="106" spans="1:14" ht="15.75" hidden="1" thickBot="1" x14ac:dyDescent="0.3">
      <c r="A106" s="28">
        <v>105</v>
      </c>
      <c r="B106" s="29">
        <v>45396</v>
      </c>
      <c r="C106" s="30" t="s">
        <v>14</v>
      </c>
      <c r="D106" s="31" t="s">
        <v>28</v>
      </c>
      <c r="E106" s="31" t="s">
        <v>17</v>
      </c>
      <c r="F106" s="31" t="s">
        <v>38</v>
      </c>
      <c r="G106" s="31">
        <v>8</v>
      </c>
      <c r="H106" s="32">
        <v>242</v>
      </c>
      <c r="I106" s="31">
        <v>0.08</v>
      </c>
      <c r="J106" s="33">
        <f t="shared" si="5"/>
        <v>1936</v>
      </c>
      <c r="K106" s="34" t="str">
        <f t="shared" si="6"/>
        <v>Venta Normal</v>
      </c>
      <c r="L106" s="31" t="str">
        <f>VLOOKUP(D106, AUXILIAR!$A$2:$B$16, 2, 0)</f>
        <v>Samsung Oficial</v>
      </c>
      <c r="M106"/>
    </row>
    <row r="107" spans="1:14" ht="15.75" thickBot="1" x14ac:dyDescent="0.3">
      <c r="A107" s="35">
        <v>237</v>
      </c>
      <c r="B107" s="36">
        <v>45528</v>
      </c>
      <c r="C107" s="35" t="s">
        <v>11</v>
      </c>
      <c r="D107" s="35" t="s">
        <v>28</v>
      </c>
      <c r="E107" s="35" t="s">
        <v>17</v>
      </c>
      <c r="F107" s="35" t="s">
        <v>35</v>
      </c>
      <c r="G107" s="35">
        <v>5</v>
      </c>
      <c r="H107" s="37">
        <v>4145</v>
      </c>
      <c r="I107" s="35">
        <v>0.06</v>
      </c>
      <c r="J107" s="38">
        <f t="shared" si="5"/>
        <v>20725</v>
      </c>
      <c r="K107" s="55" t="str">
        <f t="shared" si="6"/>
        <v>Venta Grande</v>
      </c>
      <c r="L107" s="58" t="str">
        <f>VLOOKUP(D107, AUXILIAR!$A$2:$B$16, 2, 0)</f>
        <v>Samsung Oficial</v>
      </c>
      <c r="M107" s="54" t="str">
        <f>IF(AND(E107="Tecnología", J107&gt;20000), "Prioridad Alta", IF(J107&gt;5000, "Prioridad Media", "Prioridad Baja"))</f>
        <v>Prioridad Media</v>
      </c>
      <c r="N107" s="54" t="str">
        <f>VLOOKUP(E107, AUXILIAR!$E$2:$F$4, 2, FALSE)</f>
        <v>ALM-02</v>
      </c>
    </row>
    <row r="108" spans="1:14" ht="15.75" thickBot="1" x14ac:dyDescent="0.3">
      <c r="A108" s="35">
        <v>216</v>
      </c>
      <c r="B108" s="36">
        <v>45507</v>
      </c>
      <c r="C108" s="35" t="s">
        <v>10</v>
      </c>
      <c r="D108" s="35" t="s">
        <v>29</v>
      </c>
      <c r="E108" s="35" t="s">
        <v>18</v>
      </c>
      <c r="F108" s="35" t="s">
        <v>34</v>
      </c>
      <c r="G108" s="35">
        <v>4</v>
      </c>
      <c r="H108" s="37">
        <v>4138</v>
      </c>
      <c r="I108" s="35">
        <v>0.13</v>
      </c>
      <c r="J108" s="38">
        <f t="shared" si="5"/>
        <v>16552</v>
      </c>
      <c r="K108" s="55" t="str">
        <f t="shared" si="6"/>
        <v>Venta Grande</v>
      </c>
      <c r="L108" s="58" t="str">
        <f>VLOOKUP(D108, AUXILIAR!$A$2:$B$16, 2, 0)</f>
        <v>LG Electronics</v>
      </c>
      <c r="M108" s="54" t="str">
        <f>IF(AND(E108="Tecnología", J108&gt;20000), "Prioridad Alta", IF(J108&gt;5000, "Prioridad Media", "Prioridad Baja"))</f>
        <v>Prioridad Media</v>
      </c>
      <c r="N108" s="54" t="str">
        <f>VLOOKUP(E108, AUXILIAR!$E$2:$F$4, 2, FALSE)</f>
        <v>ALM-03</v>
      </c>
    </row>
    <row r="109" spans="1:14" ht="15.75" thickBot="1" x14ac:dyDescent="0.3">
      <c r="A109" s="35">
        <v>263</v>
      </c>
      <c r="B109" s="36">
        <v>45554</v>
      </c>
      <c r="C109" s="35" t="s">
        <v>12</v>
      </c>
      <c r="D109" s="35" t="s">
        <v>32</v>
      </c>
      <c r="E109" s="35" t="s">
        <v>18</v>
      </c>
      <c r="F109" s="35" t="s">
        <v>36</v>
      </c>
      <c r="G109" s="35">
        <v>10</v>
      </c>
      <c r="H109" s="37">
        <v>4137</v>
      </c>
      <c r="I109" s="35">
        <v>0.04</v>
      </c>
      <c r="J109" s="38">
        <f t="shared" si="5"/>
        <v>41370</v>
      </c>
      <c r="K109" s="55" t="str">
        <f t="shared" si="6"/>
        <v>Venta Grande</v>
      </c>
      <c r="L109" s="58" t="str">
        <f>VLOOKUP(D109, AUXILIAR!$A$2:$B$16, 2, 0)</f>
        <v>Samsung Oficial</v>
      </c>
      <c r="M109" s="54" t="str">
        <f>IF(AND(E109="Tecnología", J109&gt;20000), "Prioridad Alta", IF(J109&gt;5000, "Prioridad Media", "Prioridad Baja"))</f>
        <v>Prioridad Media</v>
      </c>
      <c r="N109" s="54" t="str">
        <f>VLOOKUP(E109, AUXILIAR!$E$2:$F$4, 2, FALSE)</f>
        <v>ALM-03</v>
      </c>
    </row>
    <row r="110" spans="1:14" ht="15.75" thickBot="1" x14ac:dyDescent="0.3">
      <c r="A110" s="35">
        <v>304</v>
      </c>
      <c r="B110" s="36">
        <v>45595</v>
      </c>
      <c r="C110" s="35" t="s">
        <v>13</v>
      </c>
      <c r="D110" s="35" t="s">
        <v>29</v>
      </c>
      <c r="E110" s="35" t="s">
        <v>18</v>
      </c>
      <c r="F110" s="35" t="s">
        <v>37</v>
      </c>
      <c r="G110" s="35">
        <v>3</v>
      </c>
      <c r="H110" s="37">
        <v>4123</v>
      </c>
      <c r="I110" s="35">
        <v>0.04</v>
      </c>
      <c r="J110" s="38">
        <f t="shared" si="5"/>
        <v>12369</v>
      </c>
      <c r="K110" s="55" t="str">
        <f t="shared" si="6"/>
        <v>Venta Grande</v>
      </c>
      <c r="L110" s="58" t="str">
        <f>VLOOKUP(D110, AUXILIAR!$A$2:$B$16, 2, 0)</f>
        <v>LG Electronics</v>
      </c>
      <c r="M110" s="54" t="str">
        <f>IF(AND(E110="Tecnología", J110&gt;20000), "Prioridad Alta", IF(J110&gt;5000, "Prioridad Media", "Prioridad Baja"))</f>
        <v>Prioridad Media</v>
      </c>
      <c r="N110" s="54" t="str">
        <f>VLOOKUP(E110, AUXILIAR!$E$2:$F$4, 2, FALSE)</f>
        <v>ALM-03</v>
      </c>
    </row>
    <row r="111" spans="1:14" ht="15.75" hidden="1" thickBot="1" x14ac:dyDescent="0.3">
      <c r="A111" s="28">
        <v>110</v>
      </c>
      <c r="B111" s="29">
        <v>45401</v>
      </c>
      <c r="C111" s="30" t="s">
        <v>14</v>
      </c>
      <c r="D111" s="31" t="s">
        <v>33</v>
      </c>
      <c r="E111" s="31" t="s">
        <v>16</v>
      </c>
      <c r="F111" s="31" t="s">
        <v>38</v>
      </c>
      <c r="G111" s="31">
        <v>1</v>
      </c>
      <c r="H111" s="32">
        <v>1676</v>
      </c>
      <c r="I111" s="31">
        <v>0.04</v>
      </c>
      <c r="J111" s="33">
        <f t="shared" si="5"/>
        <v>1676</v>
      </c>
      <c r="K111" s="34" t="str">
        <f t="shared" si="6"/>
        <v>Venta Normal</v>
      </c>
      <c r="L111" s="31" t="str">
        <f>VLOOKUP(D111, AUXILIAR!$A$2:$B$16, 2, 0)</f>
        <v>LG Electronics</v>
      </c>
      <c r="M111"/>
    </row>
    <row r="112" spans="1:14" ht="15.75" thickBot="1" x14ac:dyDescent="0.3">
      <c r="A112" s="35">
        <v>44</v>
      </c>
      <c r="B112" s="36">
        <v>45335</v>
      </c>
      <c r="C112" s="35" t="s">
        <v>13</v>
      </c>
      <c r="D112" s="35" t="s">
        <v>33</v>
      </c>
      <c r="E112" s="35" t="s">
        <v>16</v>
      </c>
      <c r="F112" s="35" t="s">
        <v>37</v>
      </c>
      <c r="G112" s="35">
        <v>4</v>
      </c>
      <c r="H112" s="37">
        <v>4121</v>
      </c>
      <c r="I112" s="35">
        <v>0.05</v>
      </c>
      <c r="J112" s="38">
        <f t="shared" si="5"/>
        <v>16484</v>
      </c>
      <c r="K112" s="55" t="str">
        <f t="shared" si="6"/>
        <v>Venta Grande</v>
      </c>
      <c r="L112" s="58" t="str">
        <f>VLOOKUP(D112, AUXILIAR!$A$2:$B$16, 2, 0)</f>
        <v>LG Electronics</v>
      </c>
      <c r="M112" s="54" t="str">
        <f t="shared" ref="M112:M123" si="8">IF(AND(E112="Tecnología", J112&gt;20000), "Prioridad Alta", IF(J112&gt;5000, "Prioridad Media", "Prioridad Baja"))</f>
        <v>Prioridad Media</v>
      </c>
      <c r="N112" s="54" t="str">
        <f>VLOOKUP(E112, AUXILIAR!$E$2:$F$4, 2, FALSE)</f>
        <v>ALM-01</v>
      </c>
    </row>
    <row r="113" spans="1:14" ht="15.75" thickBot="1" x14ac:dyDescent="0.3">
      <c r="A113" s="35">
        <v>425</v>
      </c>
      <c r="B113" s="36">
        <v>45716</v>
      </c>
      <c r="C113" s="35" t="s">
        <v>14</v>
      </c>
      <c r="D113" s="35" t="s">
        <v>29</v>
      </c>
      <c r="E113" s="35" t="s">
        <v>18</v>
      </c>
      <c r="F113" s="35" t="s">
        <v>38</v>
      </c>
      <c r="G113" s="35">
        <v>11</v>
      </c>
      <c r="H113" s="37">
        <v>4115</v>
      </c>
      <c r="I113" s="35">
        <v>0.01</v>
      </c>
      <c r="J113" s="38">
        <f t="shared" si="5"/>
        <v>45265</v>
      </c>
      <c r="K113" s="55" t="str">
        <f t="shared" si="6"/>
        <v>Venta Grande</v>
      </c>
      <c r="L113" s="58" t="str">
        <f>VLOOKUP(D113, AUXILIAR!$A$2:$B$16, 2, 0)</f>
        <v>LG Electronics</v>
      </c>
      <c r="M113" s="54" t="str">
        <f t="shared" si="8"/>
        <v>Prioridad Media</v>
      </c>
      <c r="N113" s="54" t="str">
        <f>VLOOKUP(E113, AUXILIAR!$E$2:$F$4, 2, FALSE)</f>
        <v>ALM-03</v>
      </c>
    </row>
    <row r="114" spans="1:14" ht="15.75" thickBot="1" x14ac:dyDescent="0.3">
      <c r="A114" s="35">
        <v>156</v>
      </c>
      <c r="B114" s="36">
        <v>45447</v>
      </c>
      <c r="C114" s="35" t="s">
        <v>10</v>
      </c>
      <c r="D114" s="35" t="s">
        <v>24</v>
      </c>
      <c r="E114" s="35" t="s">
        <v>16</v>
      </c>
      <c r="F114" s="35" t="s">
        <v>34</v>
      </c>
      <c r="G114" s="35">
        <v>7</v>
      </c>
      <c r="H114" s="37">
        <v>4111</v>
      </c>
      <c r="I114" s="35">
        <v>7.0000000000000007E-2</v>
      </c>
      <c r="J114" s="38">
        <f t="shared" si="5"/>
        <v>28777</v>
      </c>
      <c r="K114" s="55" t="str">
        <f t="shared" si="6"/>
        <v>Venta Grande</v>
      </c>
      <c r="L114" s="58" t="str">
        <f>VLOOKUP(D114, AUXILIAR!$A$2:$B$16, 2, 0)</f>
        <v>Samsung Oficial</v>
      </c>
      <c r="M114" s="54" t="str">
        <f t="shared" si="8"/>
        <v>Prioridad Alta</v>
      </c>
      <c r="N114" s="54" t="str">
        <f>VLOOKUP(E114, AUXILIAR!$E$2:$F$4, 2, FALSE)</f>
        <v>ALM-01</v>
      </c>
    </row>
    <row r="115" spans="1:14" ht="15.75" thickBot="1" x14ac:dyDescent="0.3">
      <c r="A115" s="35">
        <v>193</v>
      </c>
      <c r="B115" s="36">
        <v>45484</v>
      </c>
      <c r="C115" s="35" t="s">
        <v>12</v>
      </c>
      <c r="D115" s="35" t="s">
        <v>28</v>
      </c>
      <c r="E115" s="35" t="s">
        <v>17</v>
      </c>
      <c r="F115" s="35" t="s">
        <v>36</v>
      </c>
      <c r="G115" s="35">
        <v>16</v>
      </c>
      <c r="H115" s="37">
        <v>4107</v>
      </c>
      <c r="I115" s="35">
        <v>0.11</v>
      </c>
      <c r="J115" s="38">
        <f t="shared" si="5"/>
        <v>65712</v>
      </c>
      <c r="K115" s="55" t="str">
        <f t="shared" si="6"/>
        <v>Venta Grande</v>
      </c>
      <c r="L115" s="58" t="str">
        <f>VLOOKUP(D115, AUXILIAR!$A$2:$B$16, 2, 0)</f>
        <v>Samsung Oficial</v>
      </c>
      <c r="M115" s="54" t="str">
        <f t="shared" si="8"/>
        <v>Prioridad Media</v>
      </c>
      <c r="N115" s="54" t="str">
        <f>VLOOKUP(E115, AUXILIAR!$E$2:$F$4, 2, FALSE)</f>
        <v>ALM-02</v>
      </c>
    </row>
    <row r="116" spans="1:14" ht="15.75" thickBot="1" x14ac:dyDescent="0.3">
      <c r="A116" s="35">
        <v>161</v>
      </c>
      <c r="B116" s="36">
        <v>45452</v>
      </c>
      <c r="C116" s="35" t="s">
        <v>10</v>
      </c>
      <c r="D116" s="35" t="s">
        <v>29</v>
      </c>
      <c r="E116" s="35" t="s">
        <v>18</v>
      </c>
      <c r="F116" s="35" t="s">
        <v>34</v>
      </c>
      <c r="G116" s="35">
        <v>9</v>
      </c>
      <c r="H116" s="37">
        <v>4088</v>
      </c>
      <c r="I116" s="35">
        <v>0.06</v>
      </c>
      <c r="J116" s="38">
        <f t="shared" si="5"/>
        <v>36792</v>
      </c>
      <c r="K116" s="55" t="str">
        <f t="shared" si="6"/>
        <v>Venta Grande</v>
      </c>
      <c r="L116" s="58" t="str">
        <f>VLOOKUP(D116, AUXILIAR!$A$2:$B$16, 2, 0)</f>
        <v>LG Electronics</v>
      </c>
      <c r="M116" s="54" t="str">
        <f t="shared" si="8"/>
        <v>Prioridad Media</v>
      </c>
      <c r="N116" s="54" t="str">
        <f>VLOOKUP(E116, AUXILIAR!$E$2:$F$4, 2, FALSE)</f>
        <v>ALM-03</v>
      </c>
    </row>
    <row r="117" spans="1:14" ht="15.75" thickBot="1" x14ac:dyDescent="0.3">
      <c r="A117" s="35">
        <v>78</v>
      </c>
      <c r="B117" s="36">
        <v>45369</v>
      </c>
      <c r="C117" s="35" t="s">
        <v>12</v>
      </c>
      <c r="D117" s="35" t="s">
        <v>33</v>
      </c>
      <c r="E117" s="35" t="s">
        <v>16</v>
      </c>
      <c r="F117" s="35" t="s">
        <v>36</v>
      </c>
      <c r="G117" s="35">
        <v>6</v>
      </c>
      <c r="H117" s="37">
        <v>4085</v>
      </c>
      <c r="I117" s="35">
        <v>7.0000000000000007E-2</v>
      </c>
      <c r="J117" s="38">
        <f t="shared" si="5"/>
        <v>24510</v>
      </c>
      <c r="K117" s="55" t="str">
        <f t="shared" si="6"/>
        <v>Venta Grande</v>
      </c>
      <c r="L117" s="58" t="str">
        <f>VLOOKUP(D117, AUXILIAR!$A$2:$B$16, 2, 0)</f>
        <v>LG Electronics</v>
      </c>
      <c r="M117" s="54" t="str">
        <f t="shared" si="8"/>
        <v>Prioridad Alta</v>
      </c>
      <c r="N117" s="54" t="str">
        <f>VLOOKUP(E117, AUXILIAR!$E$2:$F$4, 2, FALSE)</f>
        <v>ALM-01</v>
      </c>
    </row>
    <row r="118" spans="1:14" ht="15.75" thickBot="1" x14ac:dyDescent="0.3">
      <c r="A118" s="35">
        <v>65</v>
      </c>
      <c r="B118" s="36">
        <v>45356</v>
      </c>
      <c r="C118" s="35" t="s">
        <v>14</v>
      </c>
      <c r="D118" s="35" t="s">
        <v>32</v>
      </c>
      <c r="E118" s="35" t="s">
        <v>18</v>
      </c>
      <c r="F118" s="35" t="s">
        <v>38</v>
      </c>
      <c r="G118" s="35">
        <v>7</v>
      </c>
      <c r="H118" s="37">
        <v>4070</v>
      </c>
      <c r="I118" s="35">
        <v>0.05</v>
      </c>
      <c r="J118" s="38">
        <f t="shared" si="5"/>
        <v>28490</v>
      </c>
      <c r="K118" s="55" t="str">
        <f t="shared" si="6"/>
        <v>Venta Grande</v>
      </c>
      <c r="L118" s="58" t="str">
        <f>VLOOKUP(D118, AUXILIAR!$A$2:$B$16, 2, 0)</f>
        <v>Samsung Oficial</v>
      </c>
      <c r="M118" s="54" t="str">
        <f t="shared" si="8"/>
        <v>Prioridad Media</v>
      </c>
      <c r="N118" s="54" t="str">
        <f>VLOOKUP(E118, AUXILIAR!$E$2:$F$4, 2, FALSE)</f>
        <v>ALM-03</v>
      </c>
    </row>
    <row r="119" spans="1:14" ht="15.75" thickBot="1" x14ac:dyDescent="0.3">
      <c r="A119" s="35">
        <v>337</v>
      </c>
      <c r="B119" s="36">
        <v>45628</v>
      </c>
      <c r="C119" s="35" t="s">
        <v>11</v>
      </c>
      <c r="D119" s="35" t="s">
        <v>29</v>
      </c>
      <c r="E119" s="35" t="s">
        <v>18</v>
      </c>
      <c r="F119" s="35" t="s">
        <v>35</v>
      </c>
      <c r="G119" s="35">
        <v>9</v>
      </c>
      <c r="H119" s="37">
        <v>4048</v>
      </c>
      <c r="I119" s="35">
        <v>0.05</v>
      </c>
      <c r="J119" s="38">
        <f t="shared" si="5"/>
        <v>36432</v>
      </c>
      <c r="K119" s="55" t="str">
        <f t="shared" si="6"/>
        <v>Venta Grande</v>
      </c>
      <c r="L119" s="58" t="str">
        <f>VLOOKUP(D119, AUXILIAR!$A$2:$B$16, 2, 0)</f>
        <v>LG Electronics</v>
      </c>
      <c r="M119" s="54" t="str">
        <f t="shared" si="8"/>
        <v>Prioridad Media</v>
      </c>
      <c r="N119" s="54" t="str">
        <f>VLOOKUP(E119, AUXILIAR!$E$2:$F$4, 2, FALSE)</f>
        <v>ALM-03</v>
      </c>
    </row>
    <row r="120" spans="1:14" ht="15.75" thickBot="1" x14ac:dyDescent="0.3">
      <c r="A120" s="35">
        <v>171</v>
      </c>
      <c r="B120" s="36">
        <v>45462</v>
      </c>
      <c r="C120" s="35" t="s">
        <v>10</v>
      </c>
      <c r="D120" s="35" t="s">
        <v>28</v>
      </c>
      <c r="E120" s="35" t="s">
        <v>17</v>
      </c>
      <c r="F120" s="35" t="s">
        <v>34</v>
      </c>
      <c r="G120" s="35">
        <v>17</v>
      </c>
      <c r="H120" s="37">
        <v>4045</v>
      </c>
      <c r="I120" s="35">
        <v>0.05</v>
      </c>
      <c r="J120" s="38">
        <f t="shared" si="5"/>
        <v>68765</v>
      </c>
      <c r="K120" s="55" t="str">
        <f t="shared" si="6"/>
        <v>Venta Grande</v>
      </c>
      <c r="L120" s="58" t="str">
        <f>VLOOKUP(D120, AUXILIAR!$A$2:$B$16, 2, 0)</f>
        <v>Samsung Oficial</v>
      </c>
      <c r="M120" s="54" t="str">
        <f t="shared" si="8"/>
        <v>Prioridad Media</v>
      </c>
      <c r="N120" s="54" t="str">
        <f>VLOOKUP(E120, AUXILIAR!$E$2:$F$4, 2, FALSE)</f>
        <v>ALM-02</v>
      </c>
    </row>
    <row r="121" spans="1:14" ht="15.75" thickBot="1" x14ac:dyDescent="0.3">
      <c r="A121" s="35">
        <v>490</v>
      </c>
      <c r="B121" s="36">
        <v>45781</v>
      </c>
      <c r="C121" s="35" t="s">
        <v>14</v>
      </c>
      <c r="D121" s="35" t="s">
        <v>28</v>
      </c>
      <c r="E121" s="35" t="s">
        <v>17</v>
      </c>
      <c r="F121" s="35" t="s">
        <v>38</v>
      </c>
      <c r="G121" s="35">
        <v>19</v>
      </c>
      <c r="H121" s="37">
        <v>4037</v>
      </c>
      <c r="I121" s="35">
        <v>0.03</v>
      </c>
      <c r="J121" s="38">
        <f t="shared" si="5"/>
        <v>76703</v>
      </c>
      <c r="K121" s="55" t="str">
        <f t="shared" si="6"/>
        <v>Venta Grande</v>
      </c>
      <c r="L121" s="58" t="str">
        <f>VLOOKUP(D121, AUXILIAR!$A$2:$B$16, 2, 0)</f>
        <v>Samsung Oficial</v>
      </c>
      <c r="M121" s="54" t="str">
        <f t="shared" si="8"/>
        <v>Prioridad Media</v>
      </c>
      <c r="N121" s="54" t="str">
        <f>VLOOKUP(E121, AUXILIAR!$E$2:$F$4, 2, FALSE)</f>
        <v>ALM-02</v>
      </c>
    </row>
    <row r="122" spans="1:14" ht="15.75" thickBot="1" x14ac:dyDescent="0.3">
      <c r="A122" s="35">
        <v>162</v>
      </c>
      <c r="B122" s="36">
        <v>45453</v>
      </c>
      <c r="C122" s="35" t="s">
        <v>11</v>
      </c>
      <c r="D122" s="35" t="s">
        <v>30</v>
      </c>
      <c r="E122" s="35" t="s">
        <v>16</v>
      </c>
      <c r="F122" s="35" t="s">
        <v>35</v>
      </c>
      <c r="G122" s="35">
        <v>4</v>
      </c>
      <c r="H122" s="37">
        <v>4005</v>
      </c>
      <c r="I122" s="35">
        <v>0.15</v>
      </c>
      <c r="J122" s="38">
        <f t="shared" si="5"/>
        <v>16020</v>
      </c>
      <c r="K122" s="55" t="str">
        <f t="shared" si="6"/>
        <v>Venta Grande</v>
      </c>
      <c r="L122" s="58" t="str">
        <f>VLOOKUP(D122, AUXILIAR!$A$2:$B$16, 2, 0)</f>
        <v>Office Design</v>
      </c>
      <c r="M122" s="54" t="str">
        <f t="shared" si="8"/>
        <v>Prioridad Media</v>
      </c>
      <c r="N122" s="54" t="str">
        <f>VLOOKUP(E122, AUXILIAR!$E$2:$F$4, 2, FALSE)</f>
        <v>ALM-01</v>
      </c>
    </row>
    <row r="123" spans="1:14" ht="15.75" thickBot="1" x14ac:dyDescent="0.3">
      <c r="A123" s="35">
        <v>109</v>
      </c>
      <c r="B123" s="36">
        <v>45400</v>
      </c>
      <c r="C123" s="35" t="s">
        <v>13</v>
      </c>
      <c r="D123" s="35" t="s">
        <v>32</v>
      </c>
      <c r="E123" s="35" t="s">
        <v>18</v>
      </c>
      <c r="F123" s="35" t="s">
        <v>37</v>
      </c>
      <c r="G123" s="35">
        <v>3</v>
      </c>
      <c r="H123" s="37">
        <v>3993</v>
      </c>
      <c r="I123" s="35">
        <v>0.12</v>
      </c>
      <c r="J123" s="38">
        <f t="shared" si="5"/>
        <v>11979</v>
      </c>
      <c r="K123" s="55" t="str">
        <f t="shared" si="6"/>
        <v>Venta Grande</v>
      </c>
      <c r="L123" s="58" t="str">
        <f>VLOOKUP(D123, AUXILIAR!$A$2:$B$16, 2, 0)</f>
        <v>Samsung Oficial</v>
      </c>
      <c r="M123" s="54" t="str">
        <f t="shared" si="8"/>
        <v>Prioridad Media</v>
      </c>
      <c r="N123" s="54" t="str">
        <f>VLOOKUP(E123, AUXILIAR!$E$2:$F$4, 2, FALSE)</f>
        <v>ALM-03</v>
      </c>
    </row>
    <row r="124" spans="1:14" ht="15.75" hidden="1" thickBot="1" x14ac:dyDescent="0.3">
      <c r="A124" s="28">
        <v>123</v>
      </c>
      <c r="B124" s="29">
        <v>45414</v>
      </c>
      <c r="C124" s="30" t="s">
        <v>12</v>
      </c>
      <c r="D124" s="31" t="s">
        <v>24</v>
      </c>
      <c r="E124" s="31" t="s">
        <v>16</v>
      </c>
      <c r="F124" s="31" t="s">
        <v>36</v>
      </c>
      <c r="G124" s="31">
        <v>8</v>
      </c>
      <c r="H124" s="32">
        <v>249</v>
      </c>
      <c r="I124" s="31">
        <v>0.04</v>
      </c>
      <c r="J124" s="33">
        <f t="shared" si="5"/>
        <v>1992</v>
      </c>
      <c r="K124" s="34" t="str">
        <f t="shared" si="6"/>
        <v>Venta Normal</v>
      </c>
      <c r="L124" s="31" t="str">
        <f>VLOOKUP(D124, AUXILIAR!$A$2:$B$16, 2, 0)</f>
        <v>Samsung Oficial</v>
      </c>
      <c r="M124"/>
    </row>
    <row r="125" spans="1:14" ht="15.75" thickBot="1" x14ac:dyDescent="0.3">
      <c r="A125" s="35">
        <v>107</v>
      </c>
      <c r="B125" s="36">
        <v>45398</v>
      </c>
      <c r="C125" s="35" t="s">
        <v>11</v>
      </c>
      <c r="D125" s="35" t="s">
        <v>30</v>
      </c>
      <c r="E125" s="35" t="s">
        <v>16</v>
      </c>
      <c r="F125" s="35" t="s">
        <v>35</v>
      </c>
      <c r="G125" s="35">
        <v>17</v>
      </c>
      <c r="H125" s="37">
        <v>3955</v>
      </c>
      <c r="I125" s="35">
        <v>0.04</v>
      </c>
      <c r="J125" s="38">
        <f t="shared" si="5"/>
        <v>67235</v>
      </c>
      <c r="K125" s="55" t="str">
        <f t="shared" si="6"/>
        <v>Venta Grande</v>
      </c>
      <c r="L125" s="58" t="str">
        <f>VLOOKUP(D125, AUXILIAR!$A$2:$B$16, 2, 0)</f>
        <v>Office Design</v>
      </c>
      <c r="M125" s="54" t="str">
        <f>IF(AND(E125="Tecnología", J125&gt;20000), "Prioridad Alta", IF(J125&gt;5000, "Prioridad Media", "Prioridad Baja"))</f>
        <v>Prioridad Alta</v>
      </c>
      <c r="N125" s="54" t="str">
        <f>VLOOKUP(E125, AUXILIAR!$E$2:$F$4, 2, FALSE)</f>
        <v>ALM-01</v>
      </c>
    </row>
    <row r="126" spans="1:14" ht="15.75" thickBot="1" x14ac:dyDescent="0.3">
      <c r="A126" s="35">
        <v>83</v>
      </c>
      <c r="B126" s="36">
        <v>45374</v>
      </c>
      <c r="C126" s="35" t="s">
        <v>12</v>
      </c>
      <c r="D126" s="35" t="s">
        <v>28</v>
      </c>
      <c r="E126" s="35" t="s">
        <v>17</v>
      </c>
      <c r="F126" s="35" t="s">
        <v>36</v>
      </c>
      <c r="G126" s="35">
        <v>15</v>
      </c>
      <c r="H126" s="37">
        <v>3942</v>
      </c>
      <c r="I126" s="35">
        <v>0.14000000000000001</v>
      </c>
      <c r="J126" s="38">
        <f t="shared" si="5"/>
        <v>59130</v>
      </c>
      <c r="K126" s="55" t="str">
        <f t="shared" si="6"/>
        <v>Venta Grande</v>
      </c>
      <c r="L126" s="58" t="str">
        <f>VLOOKUP(D126, AUXILIAR!$A$2:$B$16, 2, 0)</f>
        <v>Samsung Oficial</v>
      </c>
      <c r="M126" s="54" t="str">
        <f>IF(AND(E126="Tecnología", J126&gt;20000), "Prioridad Alta", IF(J126&gt;5000, "Prioridad Media", "Prioridad Baja"))</f>
        <v>Prioridad Media</v>
      </c>
      <c r="N126" s="54" t="str">
        <f>VLOOKUP(E126, AUXILIAR!$E$2:$F$4, 2, FALSE)</f>
        <v>ALM-02</v>
      </c>
    </row>
    <row r="127" spans="1:14" ht="15.75" hidden="1" thickBot="1" x14ac:dyDescent="0.3">
      <c r="A127" s="28">
        <v>126</v>
      </c>
      <c r="B127" s="29">
        <v>45417</v>
      </c>
      <c r="C127" s="30" t="s">
        <v>10</v>
      </c>
      <c r="D127" s="31" t="s">
        <v>27</v>
      </c>
      <c r="E127" s="31" t="s">
        <v>16</v>
      </c>
      <c r="F127" s="31" t="s">
        <v>34</v>
      </c>
      <c r="G127" s="31">
        <v>8</v>
      </c>
      <c r="H127" s="32">
        <v>261</v>
      </c>
      <c r="I127" s="31">
        <v>0.15</v>
      </c>
      <c r="J127" s="33">
        <f t="shared" si="5"/>
        <v>2088</v>
      </c>
      <c r="K127" s="34" t="str">
        <f t="shared" si="6"/>
        <v>Venta Normal</v>
      </c>
      <c r="L127" s="31" t="str">
        <f>VLOOKUP(D127, AUXILIAR!$A$2:$B$16, 2, 0)</f>
        <v>LG Electronics</v>
      </c>
      <c r="M127"/>
    </row>
    <row r="128" spans="1:14" ht="15.75" thickBot="1" x14ac:dyDescent="0.3">
      <c r="A128" s="35">
        <v>32</v>
      </c>
      <c r="B128" s="36">
        <v>45323</v>
      </c>
      <c r="C128" s="35" t="s">
        <v>11</v>
      </c>
      <c r="D128" s="35" t="s">
        <v>32</v>
      </c>
      <c r="E128" s="35" t="s">
        <v>18</v>
      </c>
      <c r="F128" s="35" t="s">
        <v>35</v>
      </c>
      <c r="G128" s="35">
        <v>14</v>
      </c>
      <c r="H128" s="37">
        <v>3937</v>
      </c>
      <c r="I128" s="35">
        <v>0.1</v>
      </c>
      <c r="J128" s="38">
        <f t="shared" si="5"/>
        <v>55118</v>
      </c>
      <c r="K128" s="55" t="str">
        <f t="shared" si="6"/>
        <v>Venta Grande</v>
      </c>
      <c r="L128" s="58" t="str">
        <f>VLOOKUP(D128, AUXILIAR!$A$2:$B$16, 2, 0)</f>
        <v>Samsung Oficial</v>
      </c>
      <c r="M128" s="54" t="str">
        <f>IF(AND(E128="Tecnología", J128&gt;20000), "Prioridad Alta", IF(J128&gt;5000, "Prioridad Media", "Prioridad Baja"))</f>
        <v>Prioridad Media</v>
      </c>
      <c r="N128" s="54" t="str">
        <f>VLOOKUP(E128, AUXILIAR!$E$2:$F$4, 2, FALSE)</f>
        <v>ALM-03</v>
      </c>
    </row>
    <row r="129" spans="1:14" ht="15.75" thickBot="1" x14ac:dyDescent="0.3">
      <c r="A129" s="35">
        <v>57</v>
      </c>
      <c r="B129" s="36">
        <v>45348</v>
      </c>
      <c r="C129" s="35" t="s">
        <v>11</v>
      </c>
      <c r="D129" s="35" t="s">
        <v>24</v>
      </c>
      <c r="E129" s="35" t="s">
        <v>16</v>
      </c>
      <c r="F129" s="35" t="s">
        <v>35</v>
      </c>
      <c r="G129" s="35">
        <v>19</v>
      </c>
      <c r="H129" s="37">
        <v>3936</v>
      </c>
      <c r="I129" s="35">
        <v>7.0000000000000007E-2</v>
      </c>
      <c r="J129" s="38">
        <f t="shared" si="5"/>
        <v>74784</v>
      </c>
      <c r="K129" s="55" t="str">
        <f t="shared" si="6"/>
        <v>Venta Grande</v>
      </c>
      <c r="L129" s="58" t="str">
        <f>VLOOKUP(D129, AUXILIAR!$A$2:$B$16, 2, 0)</f>
        <v>Samsung Oficial</v>
      </c>
      <c r="M129" s="54" t="str">
        <f>IF(AND(E129="Tecnología", J129&gt;20000), "Prioridad Alta", IF(J129&gt;5000, "Prioridad Media", "Prioridad Baja"))</f>
        <v>Prioridad Alta</v>
      </c>
      <c r="N129" s="54" t="str">
        <f>VLOOKUP(E129, AUXILIAR!$E$2:$F$4, 2, FALSE)</f>
        <v>ALM-01</v>
      </c>
    </row>
    <row r="130" spans="1:14" ht="15.75" hidden="1" thickBot="1" x14ac:dyDescent="0.3">
      <c r="A130" s="28">
        <v>129</v>
      </c>
      <c r="B130" s="29">
        <v>45420</v>
      </c>
      <c r="C130" s="30" t="s">
        <v>13</v>
      </c>
      <c r="D130" s="31" t="s">
        <v>30</v>
      </c>
      <c r="E130" s="31" t="s">
        <v>16</v>
      </c>
      <c r="F130" s="31" t="s">
        <v>37</v>
      </c>
      <c r="G130" s="31">
        <v>6</v>
      </c>
      <c r="H130" s="32">
        <v>527</v>
      </c>
      <c r="I130" s="31">
        <v>0.13</v>
      </c>
      <c r="J130" s="33">
        <f t="shared" ref="J130:J193" si="9">G130*H130</f>
        <v>3162</v>
      </c>
      <c r="K130" s="34" t="str">
        <f t="shared" ref="K130:K193" si="10">IF(J130&gt;5000, "Venta Grande", "Venta Normal")</f>
        <v>Venta Normal</v>
      </c>
      <c r="L130" s="31" t="str">
        <f>VLOOKUP(D130, AUXILIAR!$A$2:$B$16, 2, 0)</f>
        <v>Office Design</v>
      </c>
      <c r="M130"/>
    </row>
    <row r="131" spans="1:14" ht="15.75" thickBot="1" x14ac:dyDescent="0.3">
      <c r="A131" s="35">
        <v>446</v>
      </c>
      <c r="B131" s="36">
        <v>45737</v>
      </c>
      <c r="C131" s="35" t="s">
        <v>10</v>
      </c>
      <c r="D131" s="35" t="s">
        <v>28</v>
      </c>
      <c r="E131" s="35" t="s">
        <v>17</v>
      </c>
      <c r="F131" s="35" t="s">
        <v>34</v>
      </c>
      <c r="G131" s="35">
        <v>16</v>
      </c>
      <c r="H131" s="37">
        <v>3934</v>
      </c>
      <c r="I131" s="35">
        <v>0.01</v>
      </c>
      <c r="J131" s="38">
        <f t="shared" si="9"/>
        <v>62944</v>
      </c>
      <c r="K131" s="55" t="str">
        <f t="shared" si="10"/>
        <v>Venta Grande</v>
      </c>
      <c r="L131" s="58" t="str">
        <f>VLOOKUP(D131, AUXILIAR!$A$2:$B$16, 2, 0)</f>
        <v>Samsung Oficial</v>
      </c>
      <c r="M131" s="54" t="str">
        <f>IF(AND(E131="Tecnología", J131&gt;20000), "Prioridad Alta", IF(J131&gt;5000, "Prioridad Media", "Prioridad Baja"))</f>
        <v>Prioridad Media</v>
      </c>
      <c r="N131" s="54" t="str">
        <f>VLOOKUP(E131, AUXILIAR!$E$2:$F$4, 2, FALSE)</f>
        <v>ALM-02</v>
      </c>
    </row>
    <row r="132" spans="1:14" ht="15.75" hidden="1" thickBot="1" x14ac:dyDescent="0.3">
      <c r="A132" s="28">
        <v>131</v>
      </c>
      <c r="B132" s="29">
        <v>45422</v>
      </c>
      <c r="C132" s="30" t="s">
        <v>10</v>
      </c>
      <c r="D132" s="31" t="s">
        <v>32</v>
      </c>
      <c r="E132" s="31" t="s">
        <v>18</v>
      </c>
      <c r="F132" s="31" t="s">
        <v>34</v>
      </c>
      <c r="G132" s="31">
        <v>2</v>
      </c>
      <c r="H132" s="32">
        <v>1657</v>
      </c>
      <c r="I132" s="31">
        <v>0.03</v>
      </c>
      <c r="J132" s="33">
        <f t="shared" si="9"/>
        <v>3314</v>
      </c>
      <c r="K132" s="34" t="str">
        <f t="shared" si="10"/>
        <v>Venta Normal</v>
      </c>
      <c r="L132" s="31" t="str">
        <f>VLOOKUP(D132, AUXILIAR!$A$2:$B$16, 2, 0)</f>
        <v>Samsung Oficial</v>
      </c>
      <c r="M132"/>
    </row>
    <row r="133" spans="1:14" ht="15.75" thickBot="1" x14ac:dyDescent="0.3">
      <c r="A133" s="35">
        <v>493</v>
      </c>
      <c r="B133" s="36">
        <v>45784</v>
      </c>
      <c r="C133" s="35" t="s">
        <v>12</v>
      </c>
      <c r="D133" s="35" t="s">
        <v>31</v>
      </c>
      <c r="E133" s="35" t="s">
        <v>17</v>
      </c>
      <c r="F133" s="35" t="s">
        <v>36</v>
      </c>
      <c r="G133" s="35">
        <v>17</v>
      </c>
      <c r="H133" s="37">
        <v>3933</v>
      </c>
      <c r="I133" s="35">
        <v>0.12</v>
      </c>
      <c r="J133" s="38">
        <f t="shared" si="9"/>
        <v>66861</v>
      </c>
      <c r="K133" s="55" t="str">
        <f t="shared" si="10"/>
        <v>Venta Grande</v>
      </c>
      <c r="L133" s="58" t="str">
        <f>VLOOKUP(D133, AUXILIAR!$A$2:$B$16, 2, 0)</f>
        <v>LG Electronics</v>
      </c>
      <c r="M133" s="54" t="str">
        <f>IF(AND(E133="Tecnología", J133&gt;20000), "Prioridad Alta", IF(J133&gt;5000, "Prioridad Media", "Prioridad Baja"))</f>
        <v>Prioridad Media</v>
      </c>
      <c r="N133" s="54" t="str">
        <f>VLOOKUP(E133, AUXILIAR!$E$2:$F$4, 2, FALSE)</f>
        <v>ALM-02</v>
      </c>
    </row>
    <row r="134" spans="1:14" ht="15.75" thickBot="1" x14ac:dyDescent="0.3">
      <c r="A134" s="35">
        <v>14</v>
      </c>
      <c r="B134" s="36">
        <v>45305</v>
      </c>
      <c r="C134" s="35" t="s">
        <v>13</v>
      </c>
      <c r="D134" s="35" t="s">
        <v>25</v>
      </c>
      <c r="E134" s="35" t="s">
        <v>17</v>
      </c>
      <c r="F134" s="35" t="s">
        <v>37</v>
      </c>
      <c r="G134" s="35">
        <v>6</v>
      </c>
      <c r="H134" s="37">
        <v>3906</v>
      </c>
      <c r="I134" s="35">
        <v>0.05</v>
      </c>
      <c r="J134" s="38">
        <f t="shared" si="9"/>
        <v>23436</v>
      </c>
      <c r="K134" s="55" t="str">
        <f t="shared" si="10"/>
        <v>Venta Grande</v>
      </c>
      <c r="L134" s="58" t="str">
        <f>VLOOKUP(D134, AUXILIAR!$A$2:$B$16, 2, 0)</f>
        <v>LG Electronics</v>
      </c>
      <c r="M134" s="54" t="str">
        <f>IF(AND(E134="Tecnología", J134&gt;20000), "Prioridad Alta", IF(J134&gt;5000, "Prioridad Media", "Prioridad Baja"))</f>
        <v>Prioridad Media</v>
      </c>
      <c r="N134" s="54" t="str">
        <f>VLOOKUP(E134, AUXILIAR!$E$2:$F$4, 2, FALSE)</f>
        <v>ALM-02</v>
      </c>
    </row>
    <row r="135" spans="1:14" ht="15.75" hidden="1" thickBot="1" x14ac:dyDescent="0.3">
      <c r="A135" s="28">
        <v>134</v>
      </c>
      <c r="B135" s="29">
        <v>45425</v>
      </c>
      <c r="C135" s="30" t="s">
        <v>13</v>
      </c>
      <c r="D135" s="31" t="s">
        <v>24</v>
      </c>
      <c r="E135" s="31" t="s">
        <v>16</v>
      </c>
      <c r="F135" s="31" t="s">
        <v>37</v>
      </c>
      <c r="G135" s="31">
        <v>2</v>
      </c>
      <c r="H135" s="32">
        <v>1012</v>
      </c>
      <c r="I135" s="31">
        <v>0.08</v>
      </c>
      <c r="J135" s="33">
        <f t="shared" si="9"/>
        <v>2024</v>
      </c>
      <c r="K135" s="34" t="str">
        <f t="shared" si="10"/>
        <v>Venta Normal</v>
      </c>
      <c r="L135" s="31" t="str">
        <f>VLOOKUP(D135, AUXILIAR!$A$2:$B$16, 2, 0)</f>
        <v>Samsung Oficial</v>
      </c>
      <c r="M135"/>
    </row>
    <row r="136" spans="1:14" ht="15.75" thickBot="1" x14ac:dyDescent="0.3">
      <c r="A136" s="35">
        <v>315</v>
      </c>
      <c r="B136" s="36">
        <v>45606</v>
      </c>
      <c r="C136" s="35" t="s">
        <v>14</v>
      </c>
      <c r="D136" s="35" t="s">
        <v>29</v>
      </c>
      <c r="E136" s="35" t="s">
        <v>18</v>
      </c>
      <c r="F136" s="35" t="s">
        <v>38</v>
      </c>
      <c r="G136" s="35">
        <v>10</v>
      </c>
      <c r="H136" s="37">
        <v>3900</v>
      </c>
      <c r="I136" s="35">
        <v>0</v>
      </c>
      <c r="J136" s="38">
        <f t="shared" si="9"/>
        <v>39000</v>
      </c>
      <c r="K136" s="55" t="str">
        <f t="shared" si="10"/>
        <v>Venta Grande</v>
      </c>
      <c r="L136" s="58" t="str">
        <f>VLOOKUP(D136, AUXILIAR!$A$2:$B$16, 2, 0)</f>
        <v>LG Electronics</v>
      </c>
      <c r="M136" s="54" t="str">
        <f>IF(AND(E136="Tecnología", J136&gt;20000), "Prioridad Alta", IF(J136&gt;5000, "Prioridad Media", "Prioridad Baja"))</f>
        <v>Prioridad Media</v>
      </c>
      <c r="N136" s="54" t="str">
        <f>VLOOKUP(E136, AUXILIAR!$E$2:$F$4, 2, FALSE)</f>
        <v>ALM-03</v>
      </c>
    </row>
    <row r="137" spans="1:14" ht="15.75" thickBot="1" x14ac:dyDescent="0.3">
      <c r="A137" s="35">
        <v>403</v>
      </c>
      <c r="B137" s="36">
        <v>45694</v>
      </c>
      <c r="C137" s="35" t="s">
        <v>12</v>
      </c>
      <c r="D137" s="35" t="s">
        <v>29</v>
      </c>
      <c r="E137" s="35" t="s">
        <v>18</v>
      </c>
      <c r="F137" s="35" t="s">
        <v>36</v>
      </c>
      <c r="G137" s="35">
        <v>6</v>
      </c>
      <c r="H137" s="37">
        <v>3900</v>
      </c>
      <c r="I137" s="35">
        <v>0.02</v>
      </c>
      <c r="J137" s="38">
        <f t="shared" si="9"/>
        <v>23400</v>
      </c>
      <c r="K137" s="55" t="str">
        <f t="shared" si="10"/>
        <v>Venta Grande</v>
      </c>
      <c r="L137" s="58" t="str">
        <f>VLOOKUP(D137, AUXILIAR!$A$2:$B$16, 2, 0)</f>
        <v>LG Electronics</v>
      </c>
      <c r="M137" s="54" t="str">
        <f>IF(AND(E137="Tecnología", J137&gt;20000), "Prioridad Alta", IF(J137&gt;5000, "Prioridad Media", "Prioridad Baja"))</f>
        <v>Prioridad Media</v>
      </c>
      <c r="N137" s="54" t="str">
        <f>VLOOKUP(E137, AUXILIAR!$E$2:$F$4, 2, FALSE)</f>
        <v>ALM-03</v>
      </c>
    </row>
    <row r="138" spans="1:14" ht="15.75" thickBot="1" x14ac:dyDescent="0.3">
      <c r="A138" s="35">
        <v>296</v>
      </c>
      <c r="B138" s="36">
        <v>45587</v>
      </c>
      <c r="C138" s="35" t="s">
        <v>10</v>
      </c>
      <c r="D138" s="35" t="s">
        <v>32</v>
      </c>
      <c r="E138" s="35" t="s">
        <v>18</v>
      </c>
      <c r="F138" s="35" t="s">
        <v>34</v>
      </c>
      <c r="G138" s="35">
        <v>12</v>
      </c>
      <c r="H138" s="37">
        <v>3886</v>
      </c>
      <c r="I138" s="35">
        <v>0.04</v>
      </c>
      <c r="J138" s="38">
        <f t="shared" si="9"/>
        <v>46632</v>
      </c>
      <c r="K138" s="55" t="str">
        <f t="shared" si="10"/>
        <v>Venta Grande</v>
      </c>
      <c r="L138" s="58" t="str">
        <f>VLOOKUP(D138, AUXILIAR!$A$2:$B$16, 2, 0)</f>
        <v>Samsung Oficial</v>
      </c>
      <c r="M138" s="54" t="str">
        <f>IF(AND(E138="Tecnología", J138&gt;20000), "Prioridad Alta", IF(J138&gt;5000, "Prioridad Media", "Prioridad Baja"))</f>
        <v>Prioridad Media</v>
      </c>
      <c r="N138" s="54" t="str">
        <f>VLOOKUP(E138, AUXILIAR!$E$2:$F$4, 2, FALSE)</f>
        <v>ALM-03</v>
      </c>
    </row>
    <row r="139" spans="1:14" ht="15.75" hidden="1" thickBot="1" x14ac:dyDescent="0.3">
      <c r="A139" s="28">
        <v>138</v>
      </c>
      <c r="B139" s="29">
        <v>45429</v>
      </c>
      <c r="C139" s="30" t="s">
        <v>12</v>
      </c>
      <c r="D139" s="31" t="s">
        <v>28</v>
      </c>
      <c r="E139" s="31" t="s">
        <v>17</v>
      </c>
      <c r="F139" s="31" t="s">
        <v>36</v>
      </c>
      <c r="G139" s="31">
        <v>11</v>
      </c>
      <c r="H139" s="32">
        <v>186</v>
      </c>
      <c r="I139" s="31">
        <v>7.0000000000000007E-2</v>
      </c>
      <c r="J139" s="33">
        <f t="shared" si="9"/>
        <v>2046</v>
      </c>
      <c r="K139" s="34" t="str">
        <f t="shared" si="10"/>
        <v>Venta Normal</v>
      </c>
      <c r="L139" s="31" t="str">
        <f>VLOOKUP(D139, AUXILIAR!$A$2:$B$16, 2, 0)</f>
        <v>Samsung Oficial</v>
      </c>
      <c r="M139"/>
    </row>
    <row r="140" spans="1:14" ht="15.75" thickBot="1" x14ac:dyDescent="0.3">
      <c r="A140" s="35">
        <v>454</v>
      </c>
      <c r="B140" s="36">
        <v>45745</v>
      </c>
      <c r="C140" s="35" t="s">
        <v>13</v>
      </c>
      <c r="D140" s="35" t="s">
        <v>25</v>
      </c>
      <c r="E140" s="35" t="s">
        <v>17</v>
      </c>
      <c r="F140" s="35" t="s">
        <v>37</v>
      </c>
      <c r="G140" s="35">
        <v>8</v>
      </c>
      <c r="H140" s="37">
        <v>3886</v>
      </c>
      <c r="I140" s="35">
        <v>0.04</v>
      </c>
      <c r="J140" s="38">
        <f t="shared" si="9"/>
        <v>31088</v>
      </c>
      <c r="K140" s="55" t="str">
        <f t="shared" si="10"/>
        <v>Venta Grande</v>
      </c>
      <c r="L140" s="58" t="str">
        <f>VLOOKUP(D140, AUXILIAR!$A$2:$B$16, 2, 0)</f>
        <v>LG Electronics</v>
      </c>
      <c r="M140" s="54" t="str">
        <f>IF(AND(E140="Tecnología", J140&gt;20000), "Prioridad Alta", IF(J140&gt;5000, "Prioridad Media", "Prioridad Baja"))</f>
        <v>Prioridad Media</v>
      </c>
      <c r="N140" s="54" t="str">
        <f>VLOOKUP(E140, AUXILIAR!$E$2:$F$4, 2, FALSE)</f>
        <v>ALM-02</v>
      </c>
    </row>
    <row r="141" spans="1:14" ht="15.75" thickBot="1" x14ac:dyDescent="0.3">
      <c r="A141" s="35">
        <v>267</v>
      </c>
      <c r="B141" s="36">
        <v>45558</v>
      </c>
      <c r="C141" s="35" t="s">
        <v>11</v>
      </c>
      <c r="D141" s="35" t="s">
        <v>25</v>
      </c>
      <c r="E141" s="35" t="s">
        <v>17</v>
      </c>
      <c r="F141" s="35" t="s">
        <v>35</v>
      </c>
      <c r="G141" s="35">
        <v>10</v>
      </c>
      <c r="H141" s="37">
        <v>3875</v>
      </c>
      <c r="I141" s="35">
        <v>0.05</v>
      </c>
      <c r="J141" s="38">
        <f t="shared" si="9"/>
        <v>38750</v>
      </c>
      <c r="K141" s="55" t="str">
        <f t="shared" si="10"/>
        <v>Venta Grande</v>
      </c>
      <c r="L141" s="58" t="str">
        <f>VLOOKUP(D141, AUXILIAR!$A$2:$B$16, 2, 0)</f>
        <v>LG Electronics</v>
      </c>
      <c r="M141" s="54" t="str">
        <f>IF(AND(E141="Tecnología", J141&gt;20000), "Prioridad Alta", IF(J141&gt;5000, "Prioridad Media", "Prioridad Baja"))</f>
        <v>Prioridad Media</v>
      </c>
      <c r="N141" s="54" t="str">
        <f>VLOOKUP(E141, AUXILIAR!$E$2:$F$4, 2, FALSE)</f>
        <v>ALM-02</v>
      </c>
    </row>
    <row r="142" spans="1:14" ht="15.75" hidden="1" thickBot="1" x14ac:dyDescent="0.3">
      <c r="A142" s="21">
        <v>141</v>
      </c>
      <c r="B142" s="22">
        <v>45432</v>
      </c>
      <c r="C142" s="23" t="s">
        <v>10</v>
      </c>
      <c r="D142" s="24" t="s">
        <v>31</v>
      </c>
      <c r="E142" s="24" t="s">
        <v>17</v>
      </c>
      <c r="F142" s="24" t="s">
        <v>34</v>
      </c>
      <c r="G142" s="24">
        <v>1</v>
      </c>
      <c r="H142" s="25">
        <v>4474</v>
      </c>
      <c r="I142" s="24">
        <v>0.1</v>
      </c>
      <c r="J142" s="26">
        <f t="shared" si="9"/>
        <v>4474</v>
      </c>
      <c r="K142" s="27" t="str">
        <f t="shared" si="10"/>
        <v>Venta Normal</v>
      </c>
      <c r="L142" s="24" t="str">
        <f>VLOOKUP(D142, AUXILIAR!$A$2:$B$16, 2, 0)</f>
        <v>LG Electronics</v>
      </c>
      <c r="M142"/>
    </row>
    <row r="143" spans="1:14" ht="15.75" hidden="1" thickBot="1" x14ac:dyDescent="0.3">
      <c r="A143" s="16">
        <v>142</v>
      </c>
      <c r="B143" s="17">
        <v>45433</v>
      </c>
      <c r="C143" s="15" t="s">
        <v>11</v>
      </c>
      <c r="D143" s="18" t="s">
        <v>32</v>
      </c>
      <c r="E143" s="18" t="s">
        <v>18</v>
      </c>
      <c r="F143" s="18" t="s">
        <v>35</v>
      </c>
      <c r="G143" s="18">
        <v>1</v>
      </c>
      <c r="H143" s="19">
        <v>4667</v>
      </c>
      <c r="I143" s="18">
        <v>0.13</v>
      </c>
      <c r="J143" s="20">
        <f t="shared" si="9"/>
        <v>4667</v>
      </c>
      <c r="K143" s="14" t="str">
        <f t="shared" si="10"/>
        <v>Venta Normal</v>
      </c>
      <c r="L143" s="18" t="str">
        <f>VLOOKUP(D143, AUXILIAR!$A$2:$B$16, 2, 0)</f>
        <v>Samsung Oficial</v>
      </c>
      <c r="M143"/>
    </row>
    <row r="144" spans="1:14" ht="15.75" thickBot="1" x14ac:dyDescent="0.3">
      <c r="A144" s="35">
        <v>449</v>
      </c>
      <c r="B144" s="36">
        <v>45740</v>
      </c>
      <c r="C144" s="35" t="s">
        <v>13</v>
      </c>
      <c r="D144" s="35" t="s">
        <v>31</v>
      </c>
      <c r="E144" s="35" t="s">
        <v>17</v>
      </c>
      <c r="F144" s="35" t="s">
        <v>37</v>
      </c>
      <c r="G144" s="35">
        <v>15</v>
      </c>
      <c r="H144" s="37">
        <v>3875</v>
      </c>
      <c r="I144" s="35">
        <v>0.11</v>
      </c>
      <c r="J144" s="38">
        <f t="shared" si="9"/>
        <v>58125</v>
      </c>
      <c r="K144" s="55" t="str">
        <f t="shared" si="10"/>
        <v>Venta Grande</v>
      </c>
      <c r="L144" s="58" t="str">
        <f>VLOOKUP(D144, AUXILIAR!$A$2:$B$16, 2, 0)</f>
        <v>LG Electronics</v>
      </c>
      <c r="M144" s="54" t="str">
        <f>IF(AND(E144="Tecnología", J144&gt;20000), "Prioridad Alta", IF(J144&gt;5000, "Prioridad Media", "Prioridad Baja"))</f>
        <v>Prioridad Media</v>
      </c>
      <c r="N144" s="54" t="str">
        <f>VLOOKUP(E144, AUXILIAR!$E$2:$F$4, 2, FALSE)</f>
        <v>ALM-02</v>
      </c>
    </row>
    <row r="145" spans="1:14" ht="15.75" thickBot="1" x14ac:dyDescent="0.3">
      <c r="A145" s="35">
        <v>324</v>
      </c>
      <c r="B145" s="36">
        <v>45615</v>
      </c>
      <c r="C145" s="35" t="s">
        <v>13</v>
      </c>
      <c r="D145" s="35" t="s">
        <v>27</v>
      </c>
      <c r="E145" s="35" t="s">
        <v>16</v>
      </c>
      <c r="F145" s="35" t="s">
        <v>37</v>
      </c>
      <c r="G145" s="35">
        <v>11</v>
      </c>
      <c r="H145" s="37">
        <v>3853</v>
      </c>
      <c r="I145" s="35">
        <v>0.02</v>
      </c>
      <c r="J145" s="38">
        <f t="shared" si="9"/>
        <v>42383</v>
      </c>
      <c r="K145" s="55" t="str">
        <f t="shared" si="10"/>
        <v>Venta Grande</v>
      </c>
      <c r="L145" s="58" t="str">
        <f>VLOOKUP(D145, AUXILIAR!$A$2:$B$16, 2, 0)</f>
        <v>LG Electronics</v>
      </c>
      <c r="M145" s="54" t="str">
        <f>IF(AND(E145="Tecnología", J145&gt;20000), "Prioridad Alta", IF(J145&gt;5000, "Prioridad Media", "Prioridad Baja"))</f>
        <v>Prioridad Alta</v>
      </c>
      <c r="N145" s="54" t="str">
        <f>VLOOKUP(E145, AUXILIAR!$E$2:$F$4, 2, FALSE)</f>
        <v>ALM-01</v>
      </c>
    </row>
    <row r="146" spans="1:14" ht="15.75" thickBot="1" x14ac:dyDescent="0.3">
      <c r="A146" s="35">
        <v>139</v>
      </c>
      <c r="B146" s="36">
        <v>45430</v>
      </c>
      <c r="C146" s="35" t="s">
        <v>13</v>
      </c>
      <c r="D146" s="35" t="s">
        <v>29</v>
      </c>
      <c r="E146" s="35" t="s">
        <v>18</v>
      </c>
      <c r="F146" s="35" t="s">
        <v>37</v>
      </c>
      <c r="G146" s="35">
        <v>14</v>
      </c>
      <c r="H146" s="37">
        <v>3844</v>
      </c>
      <c r="I146" s="35">
        <v>0.02</v>
      </c>
      <c r="J146" s="38">
        <f t="shared" si="9"/>
        <v>53816</v>
      </c>
      <c r="K146" s="55" t="str">
        <f t="shared" si="10"/>
        <v>Venta Grande</v>
      </c>
      <c r="L146" s="58" t="str">
        <f>VLOOKUP(D146, AUXILIAR!$A$2:$B$16, 2, 0)</f>
        <v>LG Electronics</v>
      </c>
      <c r="M146" s="54" t="str">
        <f>IF(AND(E146="Tecnología", J146&gt;20000), "Prioridad Alta", IF(J146&gt;5000, "Prioridad Media", "Prioridad Baja"))</f>
        <v>Prioridad Media</v>
      </c>
      <c r="N146" s="54" t="str">
        <f>VLOOKUP(E146, AUXILIAR!$E$2:$F$4, 2, FALSE)</f>
        <v>ALM-03</v>
      </c>
    </row>
    <row r="147" spans="1:14" ht="15.75" thickBot="1" x14ac:dyDescent="0.3">
      <c r="A147" s="35">
        <v>436</v>
      </c>
      <c r="B147" s="36">
        <v>45727</v>
      </c>
      <c r="C147" s="35" t="s">
        <v>10</v>
      </c>
      <c r="D147" s="35" t="s">
        <v>29</v>
      </c>
      <c r="E147" s="35" t="s">
        <v>18</v>
      </c>
      <c r="F147" s="35" t="s">
        <v>34</v>
      </c>
      <c r="G147" s="35">
        <v>8</v>
      </c>
      <c r="H147" s="37">
        <v>3841</v>
      </c>
      <c r="I147" s="35">
        <v>0.13</v>
      </c>
      <c r="J147" s="38">
        <f t="shared" si="9"/>
        <v>30728</v>
      </c>
      <c r="K147" s="55" t="str">
        <f t="shared" si="10"/>
        <v>Venta Grande</v>
      </c>
      <c r="L147" s="58" t="str">
        <f>VLOOKUP(D147, AUXILIAR!$A$2:$B$16, 2, 0)</f>
        <v>LG Electronics</v>
      </c>
      <c r="M147" s="54" t="str">
        <f>IF(AND(E147="Tecnología", J147&gt;20000), "Prioridad Alta", IF(J147&gt;5000, "Prioridad Media", "Prioridad Baja"))</f>
        <v>Prioridad Media</v>
      </c>
      <c r="N147" s="54" t="str">
        <f>VLOOKUP(E147, AUXILIAR!$E$2:$F$4, 2, FALSE)</f>
        <v>ALM-03</v>
      </c>
    </row>
    <row r="148" spans="1:14" ht="15.75" hidden="1" thickBot="1" x14ac:dyDescent="0.3">
      <c r="A148" s="28">
        <v>147</v>
      </c>
      <c r="B148" s="29">
        <v>45438</v>
      </c>
      <c r="C148" s="30" t="s">
        <v>11</v>
      </c>
      <c r="D148" s="31" t="s">
        <v>26</v>
      </c>
      <c r="E148" s="31" t="s">
        <v>18</v>
      </c>
      <c r="F148" s="31" t="s">
        <v>35</v>
      </c>
      <c r="G148" s="31">
        <v>1</v>
      </c>
      <c r="H148" s="32">
        <v>606</v>
      </c>
      <c r="I148" s="31">
        <v>0.11</v>
      </c>
      <c r="J148" s="33">
        <f t="shared" si="9"/>
        <v>606</v>
      </c>
      <c r="K148" s="34" t="str">
        <f t="shared" si="10"/>
        <v>Venta Normal</v>
      </c>
      <c r="L148" s="31" t="str">
        <f>VLOOKUP(D148, AUXILIAR!$A$2:$B$16, 2, 0)</f>
        <v>Office Design</v>
      </c>
      <c r="M148"/>
    </row>
    <row r="149" spans="1:14" ht="15.75" thickBot="1" x14ac:dyDescent="0.3">
      <c r="A149" s="35">
        <v>461</v>
      </c>
      <c r="B149" s="36">
        <v>45752</v>
      </c>
      <c r="C149" s="35" t="s">
        <v>10</v>
      </c>
      <c r="D149" s="35" t="s">
        <v>32</v>
      </c>
      <c r="E149" s="35" t="s">
        <v>18</v>
      </c>
      <c r="F149" s="35" t="s">
        <v>34</v>
      </c>
      <c r="G149" s="35">
        <v>9</v>
      </c>
      <c r="H149" s="37">
        <v>3827</v>
      </c>
      <c r="I149" s="35">
        <v>0.06</v>
      </c>
      <c r="J149" s="38">
        <f t="shared" si="9"/>
        <v>34443</v>
      </c>
      <c r="K149" s="55" t="str">
        <f t="shared" si="10"/>
        <v>Venta Grande</v>
      </c>
      <c r="L149" s="58" t="str">
        <f>VLOOKUP(D149, AUXILIAR!$A$2:$B$16, 2, 0)</f>
        <v>Samsung Oficial</v>
      </c>
      <c r="M149" s="54" t="str">
        <f t="shared" ref="M149:M159" si="11">IF(AND(E149="Tecnología", J149&gt;20000), "Prioridad Alta", IF(J149&gt;5000, "Prioridad Media", "Prioridad Baja"))</f>
        <v>Prioridad Media</v>
      </c>
      <c r="N149" s="54" t="str">
        <f>VLOOKUP(E149, AUXILIAR!$E$2:$F$4, 2, FALSE)</f>
        <v>ALM-03</v>
      </c>
    </row>
    <row r="150" spans="1:14" ht="15.75" thickBot="1" x14ac:dyDescent="0.3">
      <c r="A150" s="35">
        <v>415</v>
      </c>
      <c r="B150" s="36">
        <v>45706</v>
      </c>
      <c r="C150" s="35" t="s">
        <v>14</v>
      </c>
      <c r="D150" s="35" t="s">
        <v>30</v>
      </c>
      <c r="E150" s="35" t="s">
        <v>16</v>
      </c>
      <c r="F150" s="35" t="s">
        <v>38</v>
      </c>
      <c r="G150" s="35">
        <v>4</v>
      </c>
      <c r="H150" s="37">
        <v>3822</v>
      </c>
      <c r="I150" s="35">
        <v>0.03</v>
      </c>
      <c r="J150" s="38">
        <f t="shared" si="9"/>
        <v>15288</v>
      </c>
      <c r="K150" s="55" t="str">
        <f t="shared" si="10"/>
        <v>Venta Grande</v>
      </c>
      <c r="L150" s="58" t="str">
        <f>VLOOKUP(D150, AUXILIAR!$A$2:$B$16, 2, 0)</f>
        <v>Office Design</v>
      </c>
      <c r="M150" s="54" t="str">
        <f t="shared" si="11"/>
        <v>Prioridad Media</v>
      </c>
      <c r="N150" s="54" t="str">
        <f>VLOOKUP(E150, AUXILIAR!$E$2:$F$4, 2, FALSE)</f>
        <v>ALM-01</v>
      </c>
    </row>
    <row r="151" spans="1:14" ht="15.75" thickBot="1" x14ac:dyDescent="0.3">
      <c r="A151" s="35">
        <v>362</v>
      </c>
      <c r="B151" s="36">
        <v>45653</v>
      </c>
      <c r="C151" s="35" t="s">
        <v>11</v>
      </c>
      <c r="D151" s="35" t="s">
        <v>32</v>
      </c>
      <c r="E151" s="35" t="s">
        <v>18</v>
      </c>
      <c r="F151" s="35" t="s">
        <v>35</v>
      </c>
      <c r="G151" s="35">
        <v>9</v>
      </c>
      <c r="H151" s="37">
        <v>3819</v>
      </c>
      <c r="I151" s="35">
        <v>0.13</v>
      </c>
      <c r="J151" s="38">
        <f t="shared" si="9"/>
        <v>34371</v>
      </c>
      <c r="K151" s="55" t="str">
        <f t="shared" si="10"/>
        <v>Venta Grande</v>
      </c>
      <c r="L151" s="58" t="str">
        <f>VLOOKUP(D151, AUXILIAR!$A$2:$B$16, 2, 0)</f>
        <v>Samsung Oficial</v>
      </c>
      <c r="M151" s="54" t="str">
        <f t="shared" si="11"/>
        <v>Prioridad Media</v>
      </c>
      <c r="N151" s="54" t="str">
        <f>VLOOKUP(E151, AUXILIAR!$E$2:$F$4, 2, FALSE)</f>
        <v>ALM-03</v>
      </c>
    </row>
    <row r="152" spans="1:14" ht="15.75" thickBot="1" x14ac:dyDescent="0.3">
      <c r="A152" s="35">
        <v>318</v>
      </c>
      <c r="B152" s="36">
        <v>45609</v>
      </c>
      <c r="C152" s="35" t="s">
        <v>12</v>
      </c>
      <c r="D152" s="35" t="s">
        <v>32</v>
      </c>
      <c r="E152" s="35" t="s">
        <v>18</v>
      </c>
      <c r="F152" s="35" t="s">
        <v>36</v>
      </c>
      <c r="G152" s="35">
        <v>16</v>
      </c>
      <c r="H152" s="37">
        <v>3805</v>
      </c>
      <c r="I152" s="35">
        <v>0.11</v>
      </c>
      <c r="J152" s="38">
        <f t="shared" si="9"/>
        <v>60880</v>
      </c>
      <c r="K152" s="55" t="str">
        <f t="shared" si="10"/>
        <v>Venta Grande</v>
      </c>
      <c r="L152" s="58" t="str">
        <f>VLOOKUP(D152, AUXILIAR!$A$2:$B$16, 2, 0)</f>
        <v>Samsung Oficial</v>
      </c>
      <c r="M152" s="54" t="str">
        <f t="shared" si="11"/>
        <v>Prioridad Media</v>
      </c>
      <c r="N152" s="54" t="str">
        <f>VLOOKUP(E152, AUXILIAR!$E$2:$F$4, 2, FALSE)</f>
        <v>ALM-03</v>
      </c>
    </row>
    <row r="153" spans="1:14" ht="15.75" thickBot="1" x14ac:dyDescent="0.3">
      <c r="A153" s="35">
        <v>465</v>
      </c>
      <c r="B153" s="36">
        <v>45756</v>
      </c>
      <c r="C153" s="35" t="s">
        <v>14</v>
      </c>
      <c r="D153" s="35" t="s">
        <v>25</v>
      </c>
      <c r="E153" s="35" t="s">
        <v>17</v>
      </c>
      <c r="F153" s="35" t="s">
        <v>38</v>
      </c>
      <c r="G153" s="35">
        <v>12</v>
      </c>
      <c r="H153" s="37">
        <v>3798</v>
      </c>
      <c r="I153" s="35">
        <v>0.01</v>
      </c>
      <c r="J153" s="38">
        <f t="shared" si="9"/>
        <v>45576</v>
      </c>
      <c r="K153" s="55" t="str">
        <f t="shared" si="10"/>
        <v>Venta Grande</v>
      </c>
      <c r="L153" s="58" t="str">
        <f>VLOOKUP(D153, AUXILIAR!$A$2:$B$16, 2, 0)</f>
        <v>LG Electronics</v>
      </c>
      <c r="M153" s="54" t="str">
        <f t="shared" si="11"/>
        <v>Prioridad Media</v>
      </c>
      <c r="N153" s="54" t="str">
        <f>VLOOKUP(E153, AUXILIAR!$E$2:$F$4, 2, FALSE)</f>
        <v>ALM-02</v>
      </c>
    </row>
    <row r="154" spans="1:14" ht="15.75" thickBot="1" x14ac:dyDescent="0.3">
      <c r="A154" s="35">
        <v>260</v>
      </c>
      <c r="B154" s="36">
        <v>45551</v>
      </c>
      <c r="C154" s="35" t="s">
        <v>14</v>
      </c>
      <c r="D154" s="35" t="s">
        <v>29</v>
      </c>
      <c r="E154" s="35" t="s">
        <v>18</v>
      </c>
      <c r="F154" s="35" t="s">
        <v>38</v>
      </c>
      <c r="G154" s="35">
        <v>13</v>
      </c>
      <c r="H154" s="37">
        <v>3796</v>
      </c>
      <c r="I154" s="35">
        <v>0.09</v>
      </c>
      <c r="J154" s="38">
        <f t="shared" si="9"/>
        <v>49348</v>
      </c>
      <c r="K154" s="55" t="str">
        <f t="shared" si="10"/>
        <v>Venta Grande</v>
      </c>
      <c r="L154" s="58" t="str">
        <f>VLOOKUP(D154, AUXILIAR!$A$2:$B$16, 2, 0)</f>
        <v>LG Electronics</v>
      </c>
      <c r="M154" s="54" t="str">
        <f t="shared" si="11"/>
        <v>Prioridad Media</v>
      </c>
      <c r="N154" s="54" t="str">
        <f>VLOOKUP(E154, AUXILIAR!$E$2:$F$4, 2, FALSE)</f>
        <v>ALM-03</v>
      </c>
    </row>
    <row r="155" spans="1:14" ht="15.75" thickBot="1" x14ac:dyDescent="0.3">
      <c r="A155" s="35">
        <v>378</v>
      </c>
      <c r="B155" s="36">
        <v>45669</v>
      </c>
      <c r="C155" s="35" t="s">
        <v>12</v>
      </c>
      <c r="D155" s="35" t="s">
        <v>26</v>
      </c>
      <c r="E155" s="35" t="s">
        <v>18</v>
      </c>
      <c r="F155" s="35" t="s">
        <v>36</v>
      </c>
      <c r="G155" s="35">
        <v>11</v>
      </c>
      <c r="H155" s="37">
        <v>3790</v>
      </c>
      <c r="I155" s="35">
        <v>0.13</v>
      </c>
      <c r="J155" s="38">
        <f t="shared" si="9"/>
        <v>41690</v>
      </c>
      <c r="K155" s="55" t="str">
        <f t="shared" si="10"/>
        <v>Venta Grande</v>
      </c>
      <c r="L155" s="58" t="str">
        <f>VLOOKUP(D155, AUXILIAR!$A$2:$B$16, 2, 0)</f>
        <v>Office Design</v>
      </c>
      <c r="M155" s="54" t="str">
        <f t="shared" si="11"/>
        <v>Prioridad Media</v>
      </c>
      <c r="N155" s="54" t="str">
        <f>VLOOKUP(E155, AUXILIAR!$E$2:$F$4, 2, FALSE)</f>
        <v>ALM-03</v>
      </c>
    </row>
    <row r="156" spans="1:14" ht="15.75" thickBot="1" x14ac:dyDescent="0.3">
      <c r="A156" s="35">
        <v>9</v>
      </c>
      <c r="B156" s="36">
        <v>45300</v>
      </c>
      <c r="C156" s="35" t="s">
        <v>13</v>
      </c>
      <c r="D156" s="35" t="s">
        <v>31</v>
      </c>
      <c r="E156" s="35" t="s">
        <v>17</v>
      </c>
      <c r="F156" s="35" t="s">
        <v>37</v>
      </c>
      <c r="G156" s="35">
        <v>19</v>
      </c>
      <c r="H156" s="37">
        <v>3782</v>
      </c>
      <c r="I156" s="35">
        <v>0.08</v>
      </c>
      <c r="J156" s="38">
        <f t="shared" si="9"/>
        <v>71858</v>
      </c>
      <c r="K156" s="55" t="str">
        <f t="shared" si="10"/>
        <v>Venta Grande</v>
      </c>
      <c r="L156" s="58" t="str">
        <f>VLOOKUP(D156, AUXILIAR!$A$2:$B$16, 2, 0)</f>
        <v>LG Electronics</v>
      </c>
      <c r="M156" s="54" t="str">
        <f t="shared" si="11"/>
        <v>Prioridad Media</v>
      </c>
      <c r="N156" s="54" t="str">
        <f>VLOOKUP(E156, AUXILIAR!$E$2:$F$4, 2, FALSE)</f>
        <v>ALM-02</v>
      </c>
    </row>
    <row r="157" spans="1:14" ht="15.75" thickBot="1" x14ac:dyDescent="0.3">
      <c r="A157" s="35">
        <v>191</v>
      </c>
      <c r="B157" s="36">
        <v>45482</v>
      </c>
      <c r="C157" s="35" t="s">
        <v>10</v>
      </c>
      <c r="D157" s="35" t="s">
        <v>26</v>
      </c>
      <c r="E157" s="35" t="s">
        <v>18</v>
      </c>
      <c r="F157" s="35" t="s">
        <v>34</v>
      </c>
      <c r="G157" s="35">
        <v>4</v>
      </c>
      <c r="H157" s="37">
        <v>3765</v>
      </c>
      <c r="I157" s="35">
        <v>0.06</v>
      </c>
      <c r="J157" s="38">
        <f t="shared" si="9"/>
        <v>15060</v>
      </c>
      <c r="K157" s="55" t="str">
        <f t="shared" si="10"/>
        <v>Venta Grande</v>
      </c>
      <c r="L157" s="58" t="str">
        <f>VLOOKUP(D157, AUXILIAR!$A$2:$B$16, 2, 0)</f>
        <v>Office Design</v>
      </c>
      <c r="M157" s="54" t="str">
        <f t="shared" si="11"/>
        <v>Prioridad Media</v>
      </c>
      <c r="N157" s="54" t="str">
        <f>VLOOKUP(E157, AUXILIAR!$E$2:$F$4, 2, FALSE)</f>
        <v>ALM-03</v>
      </c>
    </row>
    <row r="158" spans="1:14" ht="15.75" thickBot="1" x14ac:dyDescent="0.3">
      <c r="A158" s="35">
        <v>146</v>
      </c>
      <c r="B158" s="36">
        <v>45437</v>
      </c>
      <c r="C158" s="35" t="s">
        <v>10</v>
      </c>
      <c r="D158" s="35" t="s">
        <v>25</v>
      </c>
      <c r="E158" s="35" t="s">
        <v>17</v>
      </c>
      <c r="F158" s="35" t="s">
        <v>34</v>
      </c>
      <c r="G158" s="35">
        <v>15</v>
      </c>
      <c r="H158" s="37">
        <v>3747</v>
      </c>
      <c r="I158" s="35">
        <v>0.14000000000000001</v>
      </c>
      <c r="J158" s="38">
        <f t="shared" si="9"/>
        <v>56205</v>
      </c>
      <c r="K158" s="55" t="str">
        <f t="shared" si="10"/>
        <v>Venta Grande</v>
      </c>
      <c r="L158" s="58" t="str">
        <f>VLOOKUP(D158, AUXILIAR!$A$2:$B$16, 2, 0)</f>
        <v>LG Electronics</v>
      </c>
      <c r="M158" s="54" t="str">
        <f t="shared" si="11"/>
        <v>Prioridad Media</v>
      </c>
      <c r="N158" s="54" t="str">
        <f>VLOOKUP(E158, AUXILIAR!$E$2:$F$4, 2, FALSE)</f>
        <v>ALM-02</v>
      </c>
    </row>
    <row r="159" spans="1:14" ht="15.75" thickBot="1" x14ac:dyDescent="0.3">
      <c r="A159" s="35">
        <v>22</v>
      </c>
      <c r="B159" s="36">
        <v>45313</v>
      </c>
      <c r="C159" s="35" t="s">
        <v>11</v>
      </c>
      <c r="D159" s="35" t="s">
        <v>33</v>
      </c>
      <c r="E159" s="35" t="s">
        <v>16</v>
      </c>
      <c r="F159" s="35" t="s">
        <v>35</v>
      </c>
      <c r="G159" s="35">
        <v>14</v>
      </c>
      <c r="H159" s="37">
        <v>3744</v>
      </c>
      <c r="I159" s="35">
        <v>0.01</v>
      </c>
      <c r="J159" s="38">
        <f t="shared" si="9"/>
        <v>52416</v>
      </c>
      <c r="K159" s="55" t="str">
        <f t="shared" si="10"/>
        <v>Venta Grande</v>
      </c>
      <c r="L159" s="58" t="str">
        <f>VLOOKUP(D159, AUXILIAR!$A$2:$B$16, 2, 0)</f>
        <v>LG Electronics</v>
      </c>
      <c r="M159" s="54" t="str">
        <f t="shared" si="11"/>
        <v>Prioridad Alta</v>
      </c>
      <c r="N159" s="54" t="str">
        <f>VLOOKUP(E159, AUXILIAR!$E$2:$F$4, 2, FALSE)</f>
        <v>ALM-01</v>
      </c>
    </row>
    <row r="160" spans="1:14" ht="15.75" hidden="1" thickBot="1" x14ac:dyDescent="0.3">
      <c r="A160" s="28">
        <v>159</v>
      </c>
      <c r="B160" s="29">
        <v>45450</v>
      </c>
      <c r="C160" s="30" t="s">
        <v>13</v>
      </c>
      <c r="D160" s="31" t="s">
        <v>27</v>
      </c>
      <c r="E160" s="31" t="s">
        <v>16</v>
      </c>
      <c r="F160" s="31" t="s">
        <v>37</v>
      </c>
      <c r="G160" s="31">
        <v>1</v>
      </c>
      <c r="H160" s="32">
        <v>120</v>
      </c>
      <c r="I160" s="31">
        <v>0.08</v>
      </c>
      <c r="J160" s="33">
        <f t="shared" si="9"/>
        <v>120</v>
      </c>
      <c r="K160" s="34" t="str">
        <f t="shared" si="10"/>
        <v>Venta Normal</v>
      </c>
      <c r="L160" s="31" t="str">
        <f>VLOOKUP(D160, AUXILIAR!$A$2:$B$16, 2, 0)</f>
        <v>LG Electronics</v>
      </c>
      <c r="M160"/>
    </row>
    <row r="161" spans="1:14" ht="15.75" thickBot="1" x14ac:dyDescent="0.3">
      <c r="A161" s="35">
        <v>46</v>
      </c>
      <c r="B161" s="36">
        <v>45337</v>
      </c>
      <c r="C161" s="35" t="s">
        <v>10</v>
      </c>
      <c r="D161" s="35" t="s">
        <v>24</v>
      </c>
      <c r="E161" s="35" t="s">
        <v>16</v>
      </c>
      <c r="F161" s="35" t="s">
        <v>34</v>
      </c>
      <c r="G161" s="35">
        <v>9</v>
      </c>
      <c r="H161" s="37">
        <v>3733</v>
      </c>
      <c r="I161" s="35">
        <v>0.04</v>
      </c>
      <c r="J161" s="38">
        <f t="shared" si="9"/>
        <v>33597</v>
      </c>
      <c r="K161" s="55" t="str">
        <f t="shared" si="10"/>
        <v>Venta Grande</v>
      </c>
      <c r="L161" s="58" t="str">
        <f>VLOOKUP(D161, AUXILIAR!$A$2:$B$16, 2, 0)</f>
        <v>Samsung Oficial</v>
      </c>
      <c r="M161" s="54" t="str">
        <f>IF(AND(E161="Tecnología", J161&gt;20000), "Prioridad Alta", IF(J161&gt;5000, "Prioridad Media", "Prioridad Baja"))</f>
        <v>Prioridad Alta</v>
      </c>
      <c r="N161" s="54" t="str">
        <f>VLOOKUP(E161, AUXILIAR!$E$2:$F$4, 2, FALSE)</f>
        <v>ALM-01</v>
      </c>
    </row>
    <row r="162" spans="1:14" ht="15.75" thickBot="1" x14ac:dyDescent="0.3">
      <c r="A162" s="35">
        <v>180</v>
      </c>
      <c r="B162" s="36">
        <v>45471</v>
      </c>
      <c r="C162" s="35" t="s">
        <v>14</v>
      </c>
      <c r="D162" s="35" t="s">
        <v>26</v>
      </c>
      <c r="E162" s="35" t="s">
        <v>18</v>
      </c>
      <c r="F162" s="35" t="s">
        <v>38</v>
      </c>
      <c r="G162" s="35">
        <v>10</v>
      </c>
      <c r="H162" s="37">
        <v>3711</v>
      </c>
      <c r="I162" s="35">
        <v>7.0000000000000007E-2</v>
      </c>
      <c r="J162" s="38">
        <f t="shared" si="9"/>
        <v>37110</v>
      </c>
      <c r="K162" s="55" t="str">
        <f t="shared" si="10"/>
        <v>Venta Grande</v>
      </c>
      <c r="L162" s="58" t="str">
        <f>VLOOKUP(D162, AUXILIAR!$A$2:$B$16, 2, 0)</f>
        <v>Office Design</v>
      </c>
      <c r="M162" s="54" t="str">
        <f>IF(AND(E162="Tecnología", J162&gt;20000), "Prioridad Alta", IF(J162&gt;5000, "Prioridad Media", "Prioridad Baja"))</f>
        <v>Prioridad Media</v>
      </c>
      <c r="N162" s="54" t="str">
        <f>VLOOKUP(E162, AUXILIAR!$E$2:$F$4, 2, FALSE)</f>
        <v>ALM-03</v>
      </c>
    </row>
    <row r="163" spans="1:14" ht="15.75" thickBot="1" x14ac:dyDescent="0.3">
      <c r="A163" s="35">
        <v>345</v>
      </c>
      <c r="B163" s="36">
        <v>45636</v>
      </c>
      <c r="C163" s="35" t="s">
        <v>14</v>
      </c>
      <c r="D163" s="35" t="s">
        <v>26</v>
      </c>
      <c r="E163" s="35" t="s">
        <v>18</v>
      </c>
      <c r="F163" s="35" t="s">
        <v>38</v>
      </c>
      <c r="G163" s="35">
        <v>4</v>
      </c>
      <c r="H163" s="37">
        <v>3707</v>
      </c>
      <c r="I163" s="35">
        <v>0.01</v>
      </c>
      <c r="J163" s="38">
        <f t="shared" si="9"/>
        <v>14828</v>
      </c>
      <c r="K163" s="55" t="str">
        <f t="shared" si="10"/>
        <v>Venta Grande</v>
      </c>
      <c r="L163" s="58" t="str">
        <f>VLOOKUP(D163, AUXILIAR!$A$2:$B$16, 2, 0)</f>
        <v>Office Design</v>
      </c>
      <c r="M163" s="54" t="str">
        <f>IF(AND(E163="Tecnología", J163&gt;20000), "Prioridad Alta", IF(J163&gt;5000, "Prioridad Media", "Prioridad Baja"))</f>
        <v>Prioridad Media</v>
      </c>
      <c r="N163" s="54" t="str">
        <f>VLOOKUP(E163, AUXILIAR!$E$2:$F$4, 2, FALSE)</f>
        <v>ALM-03</v>
      </c>
    </row>
    <row r="164" spans="1:14" ht="15.75" hidden="1" thickBot="1" x14ac:dyDescent="0.3">
      <c r="A164" s="21">
        <v>163</v>
      </c>
      <c r="B164" s="22">
        <v>45454</v>
      </c>
      <c r="C164" s="23" t="s">
        <v>12</v>
      </c>
      <c r="D164" s="24" t="s">
        <v>31</v>
      </c>
      <c r="E164" s="24" t="s">
        <v>17</v>
      </c>
      <c r="F164" s="24" t="s">
        <v>36</v>
      </c>
      <c r="G164" s="24">
        <v>1</v>
      </c>
      <c r="H164" s="25">
        <v>751</v>
      </c>
      <c r="I164" s="24">
        <v>0.1</v>
      </c>
      <c r="J164" s="26">
        <f t="shared" si="9"/>
        <v>751</v>
      </c>
      <c r="K164" s="27" t="str">
        <f t="shared" si="10"/>
        <v>Venta Normal</v>
      </c>
      <c r="L164" s="24" t="str">
        <f>VLOOKUP(D164, AUXILIAR!$A$2:$B$16, 2, 0)</f>
        <v>LG Electronics</v>
      </c>
      <c r="M164"/>
    </row>
    <row r="165" spans="1:14" ht="15.75" hidden="1" thickBot="1" x14ac:dyDescent="0.3">
      <c r="A165" s="16">
        <v>164</v>
      </c>
      <c r="B165" s="17">
        <v>45455</v>
      </c>
      <c r="C165" s="15" t="s">
        <v>13</v>
      </c>
      <c r="D165" s="18" t="s">
        <v>32</v>
      </c>
      <c r="E165" s="18" t="s">
        <v>18</v>
      </c>
      <c r="F165" s="18" t="s">
        <v>37</v>
      </c>
      <c r="G165" s="18">
        <v>12</v>
      </c>
      <c r="H165" s="19">
        <v>323</v>
      </c>
      <c r="I165" s="18">
        <v>0.06</v>
      </c>
      <c r="J165" s="20">
        <f t="shared" si="9"/>
        <v>3876</v>
      </c>
      <c r="K165" s="14" t="str">
        <f t="shared" si="10"/>
        <v>Venta Normal</v>
      </c>
      <c r="L165" s="18" t="str">
        <f>VLOOKUP(D165, AUXILIAR!$A$2:$B$16, 2, 0)</f>
        <v>Samsung Oficial</v>
      </c>
      <c r="M165"/>
    </row>
    <row r="166" spans="1:14" ht="15.75" thickBot="1" x14ac:dyDescent="0.3">
      <c r="A166" s="35">
        <v>501</v>
      </c>
      <c r="B166" s="36">
        <v>45792</v>
      </c>
      <c r="C166" s="35" t="s">
        <v>10</v>
      </c>
      <c r="D166" s="35" t="s">
        <v>28</v>
      </c>
      <c r="E166" s="35" t="s">
        <v>17</v>
      </c>
      <c r="F166" s="35" t="s">
        <v>34</v>
      </c>
      <c r="G166" s="35">
        <v>12</v>
      </c>
      <c r="H166" s="37">
        <v>3691</v>
      </c>
      <c r="I166" s="35">
        <v>0</v>
      </c>
      <c r="J166" s="38">
        <f t="shared" si="9"/>
        <v>44292</v>
      </c>
      <c r="K166" s="55" t="str">
        <f t="shared" si="10"/>
        <v>Venta Grande</v>
      </c>
      <c r="L166" s="58" t="str">
        <f>VLOOKUP(D166, AUXILIAR!$A$2:$B$16, 2, 0)</f>
        <v>Samsung Oficial</v>
      </c>
      <c r="M166" s="54" t="str">
        <f>IF(AND(E166="Tecnología", J166&gt;20000), "Prioridad Alta", IF(J166&gt;5000, "Prioridad Media", "Prioridad Baja"))</f>
        <v>Prioridad Media</v>
      </c>
      <c r="N166" s="54" t="str">
        <f>VLOOKUP(E166, AUXILIAR!$E$2:$F$4, 2, FALSE)</f>
        <v>ALM-02</v>
      </c>
    </row>
    <row r="167" spans="1:14" ht="15.75" thickBot="1" x14ac:dyDescent="0.3">
      <c r="A167" s="35">
        <v>76</v>
      </c>
      <c r="B167" s="36">
        <v>45367</v>
      </c>
      <c r="C167" s="35" t="s">
        <v>10</v>
      </c>
      <c r="D167" s="35" t="s">
        <v>32</v>
      </c>
      <c r="E167" s="35" t="s">
        <v>18</v>
      </c>
      <c r="F167" s="35" t="s">
        <v>34</v>
      </c>
      <c r="G167" s="35">
        <v>11</v>
      </c>
      <c r="H167" s="37">
        <v>3690</v>
      </c>
      <c r="I167" s="35">
        <v>0.04</v>
      </c>
      <c r="J167" s="38">
        <f t="shared" si="9"/>
        <v>40590</v>
      </c>
      <c r="K167" s="55" t="str">
        <f t="shared" si="10"/>
        <v>Venta Grande</v>
      </c>
      <c r="L167" s="58" t="str">
        <f>VLOOKUP(D167, AUXILIAR!$A$2:$B$16, 2, 0)</f>
        <v>Samsung Oficial</v>
      </c>
      <c r="M167" s="54" t="str">
        <f>IF(AND(E167="Tecnología", J167&gt;20000), "Prioridad Alta", IF(J167&gt;5000, "Prioridad Media", "Prioridad Baja"))</f>
        <v>Prioridad Media</v>
      </c>
      <c r="N167" s="54" t="str">
        <f>VLOOKUP(E167, AUXILIAR!$E$2:$F$4, 2, FALSE)</f>
        <v>ALM-03</v>
      </c>
    </row>
    <row r="168" spans="1:14" ht="15.75" thickBot="1" x14ac:dyDescent="0.3">
      <c r="A168" s="35">
        <v>160</v>
      </c>
      <c r="B168" s="36">
        <v>45451</v>
      </c>
      <c r="C168" s="35" t="s">
        <v>14</v>
      </c>
      <c r="D168" s="35" t="s">
        <v>28</v>
      </c>
      <c r="E168" s="35" t="s">
        <v>17</v>
      </c>
      <c r="F168" s="35" t="s">
        <v>38</v>
      </c>
      <c r="G168" s="35">
        <v>11</v>
      </c>
      <c r="H168" s="37">
        <v>3679</v>
      </c>
      <c r="I168" s="35">
        <v>0.13</v>
      </c>
      <c r="J168" s="38">
        <f t="shared" si="9"/>
        <v>40469</v>
      </c>
      <c r="K168" s="55" t="str">
        <f t="shared" si="10"/>
        <v>Venta Grande</v>
      </c>
      <c r="L168" s="58" t="str">
        <f>VLOOKUP(D168, AUXILIAR!$A$2:$B$16, 2, 0)</f>
        <v>Samsung Oficial</v>
      </c>
      <c r="M168" s="54" t="str">
        <f>IF(AND(E168="Tecnología", J168&gt;20000), "Prioridad Alta", IF(J168&gt;5000, "Prioridad Media", "Prioridad Baja"))</f>
        <v>Prioridad Media</v>
      </c>
      <c r="N168" s="54" t="str">
        <f>VLOOKUP(E168, AUXILIAR!$E$2:$F$4, 2, FALSE)</f>
        <v>ALM-02</v>
      </c>
    </row>
    <row r="169" spans="1:14" ht="15.75" hidden="1" thickBot="1" x14ac:dyDescent="0.3">
      <c r="A169" s="28">
        <v>168</v>
      </c>
      <c r="B169" s="29">
        <v>45459</v>
      </c>
      <c r="C169" s="30" t="s">
        <v>12</v>
      </c>
      <c r="D169" s="31" t="s">
        <v>25</v>
      </c>
      <c r="E169" s="31" t="s">
        <v>17</v>
      </c>
      <c r="F169" s="31" t="s">
        <v>36</v>
      </c>
      <c r="G169" s="31">
        <v>3</v>
      </c>
      <c r="H169" s="32">
        <v>547</v>
      </c>
      <c r="I169" s="31">
        <v>0.02</v>
      </c>
      <c r="J169" s="33">
        <f t="shared" si="9"/>
        <v>1641</v>
      </c>
      <c r="K169" s="34" t="str">
        <f t="shared" si="10"/>
        <v>Venta Normal</v>
      </c>
      <c r="L169" s="31" t="str">
        <f>VLOOKUP(D169, AUXILIAR!$A$2:$B$16, 2, 0)</f>
        <v>LG Electronics</v>
      </c>
      <c r="M169"/>
    </row>
    <row r="170" spans="1:14" ht="15.75" thickBot="1" x14ac:dyDescent="0.3">
      <c r="A170" s="35">
        <v>67</v>
      </c>
      <c r="B170" s="36">
        <v>45358</v>
      </c>
      <c r="C170" s="35" t="s">
        <v>11</v>
      </c>
      <c r="D170" s="35" t="s">
        <v>33</v>
      </c>
      <c r="E170" s="35" t="s">
        <v>16</v>
      </c>
      <c r="F170" s="35" t="s">
        <v>35</v>
      </c>
      <c r="G170" s="35">
        <v>9</v>
      </c>
      <c r="H170" s="37">
        <v>3660</v>
      </c>
      <c r="I170" s="35">
        <v>0.06</v>
      </c>
      <c r="J170" s="38">
        <f t="shared" si="9"/>
        <v>32940</v>
      </c>
      <c r="K170" s="55" t="str">
        <f t="shared" si="10"/>
        <v>Venta Grande</v>
      </c>
      <c r="L170" s="58" t="str">
        <f>VLOOKUP(D170, AUXILIAR!$A$2:$B$16, 2, 0)</f>
        <v>LG Electronics</v>
      </c>
      <c r="M170" s="54" t="str">
        <f t="shared" ref="M170:M183" si="12">IF(AND(E170="Tecnología", J170&gt;20000), "Prioridad Alta", IF(J170&gt;5000, "Prioridad Media", "Prioridad Baja"))</f>
        <v>Prioridad Alta</v>
      </c>
      <c r="N170" s="54" t="str">
        <f>VLOOKUP(E170, AUXILIAR!$E$2:$F$4, 2, FALSE)</f>
        <v>ALM-01</v>
      </c>
    </row>
    <row r="171" spans="1:14" ht="15.75" thickBot="1" x14ac:dyDescent="0.3">
      <c r="A171" s="35">
        <v>243</v>
      </c>
      <c r="B171" s="36">
        <v>45534</v>
      </c>
      <c r="C171" s="35" t="s">
        <v>12</v>
      </c>
      <c r="D171" s="35" t="s">
        <v>33</v>
      </c>
      <c r="E171" s="35" t="s">
        <v>16</v>
      </c>
      <c r="F171" s="35" t="s">
        <v>36</v>
      </c>
      <c r="G171" s="35">
        <v>12</v>
      </c>
      <c r="H171" s="37">
        <v>3653</v>
      </c>
      <c r="I171" s="35">
        <v>0.02</v>
      </c>
      <c r="J171" s="38">
        <f t="shared" si="9"/>
        <v>43836</v>
      </c>
      <c r="K171" s="55" t="str">
        <f t="shared" si="10"/>
        <v>Venta Grande</v>
      </c>
      <c r="L171" s="58" t="str">
        <f>VLOOKUP(D171, AUXILIAR!$A$2:$B$16, 2, 0)</f>
        <v>LG Electronics</v>
      </c>
      <c r="M171" s="54" t="str">
        <f t="shared" si="12"/>
        <v>Prioridad Alta</v>
      </c>
      <c r="N171" s="54" t="str">
        <f>VLOOKUP(E171, AUXILIAR!$E$2:$F$4, 2, FALSE)</f>
        <v>ALM-01</v>
      </c>
    </row>
    <row r="172" spans="1:14" ht="15.75" thickBot="1" x14ac:dyDescent="0.3">
      <c r="A172" s="35">
        <v>485</v>
      </c>
      <c r="B172" s="36">
        <v>45776</v>
      </c>
      <c r="C172" s="35" t="s">
        <v>14</v>
      </c>
      <c r="D172" s="35" t="s">
        <v>33</v>
      </c>
      <c r="E172" s="35" t="s">
        <v>16</v>
      </c>
      <c r="F172" s="35" t="s">
        <v>38</v>
      </c>
      <c r="G172" s="35">
        <v>16</v>
      </c>
      <c r="H172" s="37">
        <v>3643</v>
      </c>
      <c r="I172" s="35">
        <v>0.09</v>
      </c>
      <c r="J172" s="38">
        <f t="shared" si="9"/>
        <v>58288</v>
      </c>
      <c r="K172" s="55" t="str">
        <f t="shared" si="10"/>
        <v>Venta Grande</v>
      </c>
      <c r="L172" s="58" t="str">
        <f>VLOOKUP(D172, AUXILIAR!$A$2:$B$16, 2, 0)</f>
        <v>LG Electronics</v>
      </c>
      <c r="M172" s="54" t="str">
        <f t="shared" si="12"/>
        <v>Prioridad Alta</v>
      </c>
      <c r="N172" s="54" t="str">
        <f>VLOOKUP(E172, AUXILIAR!$E$2:$F$4, 2, FALSE)</f>
        <v>ALM-01</v>
      </c>
    </row>
    <row r="173" spans="1:14" ht="15.75" thickBot="1" x14ac:dyDescent="0.3">
      <c r="A173" s="35">
        <v>199</v>
      </c>
      <c r="B173" s="36">
        <v>45490</v>
      </c>
      <c r="C173" s="35" t="s">
        <v>13</v>
      </c>
      <c r="D173" s="35" t="s">
        <v>33</v>
      </c>
      <c r="E173" s="35" t="s">
        <v>16</v>
      </c>
      <c r="F173" s="35" t="s">
        <v>37</v>
      </c>
      <c r="G173" s="35">
        <v>7</v>
      </c>
      <c r="H173" s="37">
        <v>3634</v>
      </c>
      <c r="I173" s="35">
        <v>0.04</v>
      </c>
      <c r="J173" s="38">
        <f t="shared" si="9"/>
        <v>25438</v>
      </c>
      <c r="K173" s="55" t="str">
        <f t="shared" si="10"/>
        <v>Venta Grande</v>
      </c>
      <c r="L173" s="58" t="str">
        <f>VLOOKUP(D173, AUXILIAR!$A$2:$B$16, 2, 0)</f>
        <v>LG Electronics</v>
      </c>
      <c r="M173" s="54" t="str">
        <f t="shared" si="12"/>
        <v>Prioridad Alta</v>
      </c>
      <c r="N173" s="54" t="str">
        <f>VLOOKUP(E173, AUXILIAR!$E$2:$F$4, 2, FALSE)</f>
        <v>ALM-01</v>
      </c>
    </row>
    <row r="174" spans="1:14" ht="15.75" thickBot="1" x14ac:dyDescent="0.3">
      <c r="A174" s="35">
        <v>53</v>
      </c>
      <c r="B174" s="36">
        <v>45344</v>
      </c>
      <c r="C174" s="35" t="s">
        <v>12</v>
      </c>
      <c r="D174" s="35" t="s">
        <v>31</v>
      </c>
      <c r="E174" s="35" t="s">
        <v>17</v>
      </c>
      <c r="F174" s="35" t="s">
        <v>36</v>
      </c>
      <c r="G174" s="35">
        <v>9</v>
      </c>
      <c r="H174" s="37">
        <v>3621</v>
      </c>
      <c r="I174" s="35">
        <v>0.04</v>
      </c>
      <c r="J174" s="38">
        <f t="shared" si="9"/>
        <v>32589</v>
      </c>
      <c r="K174" s="55" t="str">
        <f t="shared" si="10"/>
        <v>Venta Grande</v>
      </c>
      <c r="L174" s="58" t="str">
        <f>VLOOKUP(D174, AUXILIAR!$A$2:$B$16, 2, 0)</f>
        <v>LG Electronics</v>
      </c>
      <c r="M174" s="54" t="str">
        <f t="shared" si="12"/>
        <v>Prioridad Media</v>
      </c>
      <c r="N174" s="54" t="str">
        <f>VLOOKUP(E174, AUXILIAR!$E$2:$F$4, 2, FALSE)</f>
        <v>ALM-02</v>
      </c>
    </row>
    <row r="175" spans="1:14" ht="15.75" thickBot="1" x14ac:dyDescent="0.3">
      <c r="A175" s="35">
        <v>116</v>
      </c>
      <c r="B175" s="36">
        <v>45407</v>
      </c>
      <c r="C175" s="35" t="s">
        <v>10</v>
      </c>
      <c r="D175" s="35" t="s">
        <v>28</v>
      </c>
      <c r="E175" s="35" t="s">
        <v>17</v>
      </c>
      <c r="F175" s="35" t="s">
        <v>34</v>
      </c>
      <c r="G175" s="35">
        <v>14</v>
      </c>
      <c r="H175" s="37">
        <v>3614</v>
      </c>
      <c r="I175" s="35">
        <v>0.03</v>
      </c>
      <c r="J175" s="38">
        <f t="shared" si="9"/>
        <v>50596</v>
      </c>
      <c r="K175" s="55" t="str">
        <f t="shared" si="10"/>
        <v>Venta Grande</v>
      </c>
      <c r="L175" s="58" t="str">
        <f>VLOOKUP(D175, AUXILIAR!$A$2:$B$16, 2, 0)</f>
        <v>Samsung Oficial</v>
      </c>
      <c r="M175" s="54" t="str">
        <f t="shared" si="12"/>
        <v>Prioridad Media</v>
      </c>
      <c r="N175" s="54" t="str">
        <f>VLOOKUP(E175, AUXILIAR!$E$2:$F$4, 2, FALSE)</f>
        <v>ALM-02</v>
      </c>
    </row>
    <row r="176" spans="1:14" ht="15.75" thickBot="1" x14ac:dyDescent="0.3">
      <c r="A176" s="35">
        <v>122</v>
      </c>
      <c r="B176" s="36">
        <v>45413</v>
      </c>
      <c r="C176" s="35" t="s">
        <v>11</v>
      </c>
      <c r="D176" s="35" t="s">
        <v>33</v>
      </c>
      <c r="E176" s="35" t="s">
        <v>16</v>
      </c>
      <c r="F176" s="35" t="s">
        <v>35</v>
      </c>
      <c r="G176" s="35">
        <v>15</v>
      </c>
      <c r="H176" s="37">
        <v>3613</v>
      </c>
      <c r="I176" s="35">
        <v>0.06</v>
      </c>
      <c r="J176" s="38">
        <f t="shared" si="9"/>
        <v>54195</v>
      </c>
      <c r="K176" s="55" t="str">
        <f t="shared" si="10"/>
        <v>Venta Grande</v>
      </c>
      <c r="L176" s="58" t="str">
        <f>VLOOKUP(D176, AUXILIAR!$A$2:$B$16, 2, 0)</f>
        <v>LG Electronics</v>
      </c>
      <c r="M176" s="54" t="str">
        <f t="shared" si="12"/>
        <v>Prioridad Alta</v>
      </c>
      <c r="N176" s="54" t="str">
        <f>VLOOKUP(E176, AUXILIAR!$E$2:$F$4, 2, FALSE)</f>
        <v>ALM-01</v>
      </c>
    </row>
    <row r="177" spans="1:14" ht="15.75" thickBot="1" x14ac:dyDescent="0.3">
      <c r="A177" s="35">
        <v>21</v>
      </c>
      <c r="B177" s="36">
        <v>45312</v>
      </c>
      <c r="C177" s="35" t="s">
        <v>10</v>
      </c>
      <c r="D177" s="35" t="s">
        <v>32</v>
      </c>
      <c r="E177" s="35" t="s">
        <v>18</v>
      </c>
      <c r="F177" s="35" t="s">
        <v>34</v>
      </c>
      <c r="G177" s="35">
        <v>11</v>
      </c>
      <c r="H177" s="37">
        <v>3586</v>
      </c>
      <c r="I177" s="35">
        <v>0.05</v>
      </c>
      <c r="J177" s="38">
        <f t="shared" si="9"/>
        <v>39446</v>
      </c>
      <c r="K177" s="55" t="str">
        <f t="shared" si="10"/>
        <v>Venta Grande</v>
      </c>
      <c r="L177" s="58" t="str">
        <f>VLOOKUP(D177, AUXILIAR!$A$2:$B$16, 2, 0)</f>
        <v>Samsung Oficial</v>
      </c>
      <c r="M177" s="54" t="str">
        <f t="shared" si="12"/>
        <v>Prioridad Media</v>
      </c>
      <c r="N177" s="54" t="str">
        <f>VLOOKUP(E177, AUXILIAR!$E$2:$F$4, 2, FALSE)</f>
        <v>ALM-03</v>
      </c>
    </row>
    <row r="178" spans="1:14" ht="15.75" thickBot="1" x14ac:dyDescent="0.3">
      <c r="A178" s="35">
        <v>143</v>
      </c>
      <c r="B178" s="36">
        <v>45434</v>
      </c>
      <c r="C178" s="35" t="s">
        <v>12</v>
      </c>
      <c r="D178" s="35" t="s">
        <v>33</v>
      </c>
      <c r="E178" s="35" t="s">
        <v>16</v>
      </c>
      <c r="F178" s="35" t="s">
        <v>36</v>
      </c>
      <c r="G178" s="35">
        <v>12</v>
      </c>
      <c r="H178" s="37">
        <v>3574</v>
      </c>
      <c r="I178" s="35">
        <v>0.08</v>
      </c>
      <c r="J178" s="38">
        <f t="shared" si="9"/>
        <v>42888</v>
      </c>
      <c r="K178" s="55" t="str">
        <f t="shared" si="10"/>
        <v>Venta Grande</v>
      </c>
      <c r="L178" s="58" t="str">
        <f>VLOOKUP(D178, AUXILIAR!$A$2:$B$16, 2, 0)</f>
        <v>LG Electronics</v>
      </c>
      <c r="M178" s="54" t="str">
        <f t="shared" si="12"/>
        <v>Prioridad Alta</v>
      </c>
      <c r="N178" s="54" t="str">
        <f>VLOOKUP(E178, AUXILIAR!$E$2:$F$4, 2, FALSE)</f>
        <v>ALM-01</v>
      </c>
    </row>
    <row r="179" spans="1:14" ht="15.75" thickBot="1" x14ac:dyDescent="0.3">
      <c r="A179" s="35">
        <v>450</v>
      </c>
      <c r="B179" s="36">
        <v>45741</v>
      </c>
      <c r="C179" s="35" t="s">
        <v>14</v>
      </c>
      <c r="D179" s="35" t="s">
        <v>32</v>
      </c>
      <c r="E179" s="35" t="s">
        <v>18</v>
      </c>
      <c r="F179" s="35" t="s">
        <v>38</v>
      </c>
      <c r="G179" s="35">
        <v>6</v>
      </c>
      <c r="H179" s="37">
        <v>3555</v>
      </c>
      <c r="I179" s="35">
        <v>0.05</v>
      </c>
      <c r="J179" s="38">
        <f t="shared" si="9"/>
        <v>21330</v>
      </c>
      <c r="K179" s="55" t="str">
        <f t="shared" si="10"/>
        <v>Venta Grande</v>
      </c>
      <c r="L179" s="58" t="str">
        <f>VLOOKUP(D179, AUXILIAR!$A$2:$B$16, 2, 0)</f>
        <v>Samsung Oficial</v>
      </c>
      <c r="M179" s="54" t="str">
        <f t="shared" si="12"/>
        <v>Prioridad Media</v>
      </c>
      <c r="N179" s="54" t="str">
        <f>VLOOKUP(E179, AUXILIAR!$E$2:$F$4, 2, FALSE)</f>
        <v>ALM-03</v>
      </c>
    </row>
    <row r="180" spans="1:14" ht="15.75" thickBot="1" x14ac:dyDescent="0.3">
      <c r="A180" s="35">
        <v>13</v>
      </c>
      <c r="B180" s="36">
        <v>45304</v>
      </c>
      <c r="C180" s="35" t="s">
        <v>12</v>
      </c>
      <c r="D180" s="35" t="s">
        <v>24</v>
      </c>
      <c r="E180" s="35" t="s">
        <v>16</v>
      </c>
      <c r="F180" s="35" t="s">
        <v>36</v>
      </c>
      <c r="G180" s="35">
        <v>12</v>
      </c>
      <c r="H180" s="37">
        <v>3477</v>
      </c>
      <c r="I180" s="35">
        <v>0.04</v>
      </c>
      <c r="J180" s="38">
        <f t="shared" si="9"/>
        <v>41724</v>
      </c>
      <c r="K180" s="55" t="str">
        <f t="shared" si="10"/>
        <v>Venta Grande</v>
      </c>
      <c r="L180" s="58" t="str">
        <f>VLOOKUP(D180, AUXILIAR!$A$2:$B$16, 2, 0)</f>
        <v>Samsung Oficial</v>
      </c>
      <c r="M180" s="54" t="str">
        <f t="shared" si="12"/>
        <v>Prioridad Alta</v>
      </c>
      <c r="N180" s="54" t="str">
        <f>VLOOKUP(E180, AUXILIAR!$E$2:$F$4, 2, FALSE)</f>
        <v>ALM-01</v>
      </c>
    </row>
    <row r="181" spans="1:14" ht="15.75" thickBot="1" x14ac:dyDescent="0.3">
      <c r="A181" s="35">
        <v>35</v>
      </c>
      <c r="B181" s="36">
        <v>45326</v>
      </c>
      <c r="C181" s="35" t="s">
        <v>14</v>
      </c>
      <c r="D181" s="35" t="s">
        <v>24</v>
      </c>
      <c r="E181" s="35" t="s">
        <v>16</v>
      </c>
      <c r="F181" s="35" t="s">
        <v>38</v>
      </c>
      <c r="G181" s="35">
        <v>4</v>
      </c>
      <c r="H181" s="37">
        <v>3476</v>
      </c>
      <c r="I181" s="35">
        <v>0.04</v>
      </c>
      <c r="J181" s="38">
        <f t="shared" si="9"/>
        <v>13904</v>
      </c>
      <c r="K181" s="55" t="str">
        <f t="shared" si="10"/>
        <v>Venta Grande</v>
      </c>
      <c r="L181" s="58" t="str">
        <f>VLOOKUP(D181, AUXILIAR!$A$2:$B$16, 2, 0)</f>
        <v>Samsung Oficial</v>
      </c>
      <c r="M181" s="54" t="str">
        <f t="shared" si="12"/>
        <v>Prioridad Media</v>
      </c>
      <c r="N181" s="54" t="str">
        <f>VLOOKUP(E181, AUXILIAR!$E$2:$F$4, 2, FALSE)</f>
        <v>ALM-01</v>
      </c>
    </row>
    <row r="182" spans="1:14" ht="15.75" thickBot="1" x14ac:dyDescent="0.3">
      <c r="A182" s="35">
        <v>471</v>
      </c>
      <c r="B182" s="36">
        <v>45762</v>
      </c>
      <c r="C182" s="35" t="s">
        <v>10</v>
      </c>
      <c r="D182" s="35" t="s">
        <v>31</v>
      </c>
      <c r="E182" s="35" t="s">
        <v>17</v>
      </c>
      <c r="F182" s="35" t="s">
        <v>34</v>
      </c>
      <c r="G182" s="35">
        <v>5</v>
      </c>
      <c r="H182" s="37">
        <v>3475</v>
      </c>
      <c r="I182" s="35">
        <v>0.12</v>
      </c>
      <c r="J182" s="38">
        <f t="shared" si="9"/>
        <v>17375</v>
      </c>
      <c r="K182" s="55" t="str">
        <f t="shared" si="10"/>
        <v>Venta Grande</v>
      </c>
      <c r="L182" s="58" t="str">
        <f>VLOOKUP(D182, AUXILIAR!$A$2:$B$16, 2, 0)</f>
        <v>LG Electronics</v>
      </c>
      <c r="M182" s="54" t="str">
        <f t="shared" si="12"/>
        <v>Prioridad Media</v>
      </c>
      <c r="N182" s="54" t="str">
        <f>VLOOKUP(E182, AUXILIAR!$E$2:$F$4, 2, FALSE)</f>
        <v>ALM-02</v>
      </c>
    </row>
    <row r="183" spans="1:14" ht="15.75" thickBot="1" x14ac:dyDescent="0.3">
      <c r="A183" s="35">
        <v>492</v>
      </c>
      <c r="B183" s="36">
        <v>45783</v>
      </c>
      <c r="C183" s="35" t="s">
        <v>11</v>
      </c>
      <c r="D183" s="35" t="s">
        <v>30</v>
      </c>
      <c r="E183" s="35" t="s">
        <v>16</v>
      </c>
      <c r="F183" s="35" t="s">
        <v>35</v>
      </c>
      <c r="G183" s="35">
        <v>12</v>
      </c>
      <c r="H183" s="37">
        <v>3475</v>
      </c>
      <c r="I183" s="35">
        <v>0.04</v>
      </c>
      <c r="J183" s="38">
        <f t="shared" si="9"/>
        <v>41700</v>
      </c>
      <c r="K183" s="55" t="str">
        <f t="shared" si="10"/>
        <v>Venta Grande</v>
      </c>
      <c r="L183" s="58" t="str">
        <f>VLOOKUP(D183, AUXILIAR!$A$2:$B$16, 2, 0)</f>
        <v>Office Design</v>
      </c>
      <c r="M183" s="54" t="str">
        <f t="shared" si="12"/>
        <v>Prioridad Alta</v>
      </c>
      <c r="N183" s="54" t="str">
        <f>VLOOKUP(E183, AUXILIAR!$E$2:$F$4, 2, FALSE)</f>
        <v>ALM-01</v>
      </c>
    </row>
    <row r="184" spans="1:14" ht="15.75" hidden="1" thickBot="1" x14ac:dyDescent="0.3">
      <c r="A184" s="21">
        <v>183</v>
      </c>
      <c r="B184" s="22">
        <v>45474</v>
      </c>
      <c r="C184" s="23" t="s">
        <v>12</v>
      </c>
      <c r="D184" s="24" t="s">
        <v>29</v>
      </c>
      <c r="E184" s="24" t="s">
        <v>18</v>
      </c>
      <c r="F184" s="24" t="s">
        <v>36</v>
      </c>
      <c r="G184" s="24">
        <v>1</v>
      </c>
      <c r="H184" s="25">
        <v>1912</v>
      </c>
      <c r="I184" s="24">
        <v>0.03</v>
      </c>
      <c r="J184" s="26">
        <f t="shared" si="9"/>
        <v>1912</v>
      </c>
      <c r="K184" s="27" t="str">
        <f t="shared" si="10"/>
        <v>Venta Normal</v>
      </c>
      <c r="L184" s="24" t="str">
        <f>VLOOKUP(D184, AUXILIAR!$A$2:$B$16, 2, 0)</f>
        <v>LG Electronics</v>
      </c>
      <c r="M184"/>
    </row>
    <row r="185" spans="1:14" ht="15.75" hidden="1" thickBot="1" x14ac:dyDescent="0.3">
      <c r="A185" s="16">
        <v>184</v>
      </c>
      <c r="B185" s="17">
        <v>45475</v>
      </c>
      <c r="C185" s="15" t="s">
        <v>13</v>
      </c>
      <c r="D185" s="18" t="s">
        <v>30</v>
      </c>
      <c r="E185" s="18" t="s">
        <v>16</v>
      </c>
      <c r="F185" s="18" t="s">
        <v>37</v>
      </c>
      <c r="G185" s="18">
        <v>3</v>
      </c>
      <c r="H185" s="19">
        <v>669</v>
      </c>
      <c r="I185" s="18">
        <v>0.14000000000000001</v>
      </c>
      <c r="J185" s="20">
        <f t="shared" si="9"/>
        <v>2007</v>
      </c>
      <c r="K185" s="14" t="str">
        <f t="shared" si="10"/>
        <v>Venta Normal</v>
      </c>
      <c r="L185" s="18" t="str">
        <f>VLOOKUP(D185, AUXILIAR!$A$2:$B$16, 2, 0)</f>
        <v>Office Design</v>
      </c>
      <c r="M185"/>
    </row>
    <row r="186" spans="1:14" ht="15.75" thickBot="1" x14ac:dyDescent="0.3">
      <c r="A186" s="35">
        <v>211</v>
      </c>
      <c r="B186" s="36">
        <v>45502</v>
      </c>
      <c r="C186" s="35" t="s">
        <v>10</v>
      </c>
      <c r="D186" s="35" t="s">
        <v>24</v>
      </c>
      <c r="E186" s="35" t="s">
        <v>16</v>
      </c>
      <c r="F186" s="35" t="s">
        <v>34</v>
      </c>
      <c r="G186" s="35">
        <v>3</v>
      </c>
      <c r="H186" s="37">
        <v>3456</v>
      </c>
      <c r="I186" s="35">
        <v>0.04</v>
      </c>
      <c r="J186" s="38">
        <f t="shared" si="9"/>
        <v>10368</v>
      </c>
      <c r="K186" s="55" t="str">
        <f t="shared" si="10"/>
        <v>Venta Grande</v>
      </c>
      <c r="L186" s="58" t="str">
        <f>VLOOKUP(D186, AUXILIAR!$A$2:$B$16, 2, 0)</f>
        <v>Samsung Oficial</v>
      </c>
      <c r="M186" s="54" t="str">
        <f t="shared" ref="M186:M195" si="13">IF(AND(E186="Tecnología", J186&gt;20000), "Prioridad Alta", IF(J186&gt;5000, "Prioridad Media", "Prioridad Baja"))</f>
        <v>Prioridad Media</v>
      </c>
      <c r="N186" s="54" t="str">
        <f>VLOOKUP(E186, AUXILIAR!$E$2:$F$4, 2, FALSE)</f>
        <v>ALM-01</v>
      </c>
    </row>
    <row r="187" spans="1:14" ht="15.75" thickBot="1" x14ac:dyDescent="0.3">
      <c r="A187" s="35">
        <v>429</v>
      </c>
      <c r="B187" s="36">
        <v>45720</v>
      </c>
      <c r="C187" s="35" t="s">
        <v>13</v>
      </c>
      <c r="D187" s="35" t="s">
        <v>33</v>
      </c>
      <c r="E187" s="35" t="s">
        <v>16</v>
      </c>
      <c r="F187" s="35" t="s">
        <v>37</v>
      </c>
      <c r="G187" s="35">
        <v>18</v>
      </c>
      <c r="H187" s="37">
        <v>3454</v>
      </c>
      <c r="I187" s="35">
        <v>0.11</v>
      </c>
      <c r="J187" s="38">
        <f t="shared" si="9"/>
        <v>62172</v>
      </c>
      <c r="K187" s="55" t="str">
        <f t="shared" si="10"/>
        <v>Venta Grande</v>
      </c>
      <c r="L187" s="58" t="str">
        <f>VLOOKUP(D187, AUXILIAR!$A$2:$B$16, 2, 0)</f>
        <v>LG Electronics</v>
      </c>
      <c r="M187" s="54" t="str">
        <f t="shared" si="13"/>
        <v>Prioridad Alta</v>
      </c>
      <c r="N187" s="54" t="str">
        <f>VLOOKUP(E187, AUXILIAR!$E$2:$F$4, 2, FALSE)</f>
        <v>ALM-01</v>
      </c>
    </row>
    <row r="188" spans="1:14" ht="15.75" thickBot="1" x14ac:dyDescent="0.3">
      <c r="A188" s="35">
        <v>426</v>
      </c>
      <c r="B188" s="36">
        <v>45717</v>
      </c>
      <c r="C188" s="35" t="s">
        <v>10</v>
      </c>
      <c r="D188" s="35" t="s">
        <v>30</v>
      </c>
      <c r="E188" s="35" t="s">
        <v>16</v>
      </c>
      <c r="F188" s="35" t="s">
        <v>34</v>
      </c>
      <c r="G188" s="35">
        <v>18</v>
      </c>
      <c r="H188" s="37">
        <v>3426</v>
      </c>
      <c r="I188" s="35">
        <v>0.04</v>
      </c>
      <c r="J188" s="38">
        <f t="shared" si="9"/>
        <v>61668</v>
      </c>
      <c r="K188" s="55" t="str">
        <f t="shared" si="10"/>
        <v>Venta Grande</v>
      </c>
      <c r="L188" s="58" t="str">
        <f>VLOOKUP(D188, AUXILIAR!$A$2:$B$16, 2, 0)</f>
        <v>Office Design</v>
      </c>
      <c r="M188" s="54" t="str">
        <f t="shared" si="13"/>
        <v>Prioridad Alta</v>
      </c>
      <c r="N188" s="54" t="str">
        <f>VLOOKUP(E188, AUXILIAR!$E$2:$F$4, 2, FALSE)</f>
        <v>ALM-01</v>
      </c>
    </row>
    <row r="189" spans="1:14" ht="15.75" thickBot="1" x14ac:dyDescent="0.3">
      <c r="A189" s="35">
        <v>128</v>
      </c>
      <c r="B189" s="36">
        <v>45419</v>
      </c>
      <c r="C189" s="35" t="s">
        <v>12</v>
      </c>
      <c r="D189" s="35" t="s">
        <v>29</v>
      </c>
      <c r="E189" s="35" t="s">
        <v>18</v>
      </c>
      <c r="F189" s="35" t="s">
        <v>36</v>
      </c>
      <c r="G189" s="35">
        <v>9</v>
      </c>
      <c r="H189" s="37">
        <v>3403</v>
      </c>
      <c r="I189" s="35">
        <v>0.06</v>
      </c>
      <c r="J189" s="38">
        <f t="shared" si="9"/>
        <v>30627</v>
      </c>
      <c r="K189" s="55" t="str">
        <f t="shared" si="10"/>
        <v>Venta Grande</v>
      </c>
      <c r="L189" s="58" t="str">
        <f>VLOOKUP(D189, AUXILIAR!$A$2:$B$16, 2, 0)</f>
        <v>LG Electronics</v>
      </c>
      <c r="M189" s="54" t="str">
        <f t="shared" si="13"/>
        <v>Prioridad Media</v>
      </c>
      <c r="N189" s="54" t="str">
        <f>VLOOKUP(E189, AUXILIAR!$E$2:$F$4, 2, FALSE)</f>
        <v>ALM-03</v>
      </c>
    </row>
    <row r="190" spans="1:14" ht="15.75" thickBot="1" x14ac:dyDescent="0.3">
      <c r="A190" s="35">
        <v>103</v>
      </c>
      <c r="B190" s="36">
        <v>45394</v>
      </c>
      <c r="C190" s="35" t="s">
        <v>12</v>
      </c>
      <c r="D190" s="35" t="s">
        <v>26</v>
      </c>
      <c r="E190" s="35" t="s">
        <v>18</v>
      </c>
      <c r="F190" s="35" t="s">
        <v>36</v>
      </c>
      <c r="G190" s="35">
        <v>13</v>
      </c>
      <c r="H190" s="37">
        <v>3391</v>
      </c>
      <c r="I190" s="35">
        <v>0.13</v>
      </c>
      <c r="J190" s="38">
        <f t="shared" si="9"/>
        <v>44083</v>
      </c>
      <c r="K190" s="55" t="str">
        <f t="shared" si="10"/>
        <v>Venta Grande</v>
      </c>
      <c r="L190" s="58" t="str">
        <f>VLOOKUP(D190, AUXILIAR!$A$2:$B$16, 2, 0)</f>
        <v>Office Design</v>
      </c>
      <c r="M190" s="54" t="str">
        <f t="shared" si="13"/>
        <v>Prioridad Media</v>
      </c>
      <c r="N190" s="54" t="str">
        <f>VLOOKUP(E190, AUXILIAR!$E$2:$F$4, 2, FALSE)</f>
        <v>ALM-03</v>
      </c>
    </row>
    <row r="191" spans="1:14" ht="15.75" thickBot="1" x14ac:dyDescent="0.3">
      <c r="A191" s="35">
        <v>266</v>
      </c>
      <c r="B191" s="36">
        <v>45557</v>
      </c>
      <c r="C191" s="35" t="s">
        <v>10</v>
      </c>
      <c r="D191" s="35" t="s">
        <v>24</v>
      </c>
      <c r="E191" s="35" t="s">
        <v>16</v>
      </c>
      <c r="F191" s="35" t="s">
        <v>34</v>
      </c>
      <c r="G191" s="35">
        <v>16</v>
      </c>
      <c r="H191" s="37">
        <v>3386</v>
      </c>
      <c r="I191" s="35">
        <v>0.06</v>
      </c>
      <c r="J191" s="38">
        <f t="shared" si="9"/>
        <v>54176</v>
      </c>
      <c r="K191" s="55" t="str">
        <f t="shared" si="10"/>
        <v>Venta Grande</v>
      </c>
      <c r="L191" s="58" t="str">
        <f>VLOOKUP(D191, AUXILIAR!$A$2:$B$16, 2, 0)</f>
        <v>Samsung Oficial</v>
      </c>
      <c r="M191" s="54" t="str">
        <f t="shared" si="13"/>
        <v>Prioridad Alta</v>
      </c>
      <c r="N191" s="54" t="str">
        <f>VLOOKUP(E191, AUXILIAR!$E$2:$F$4, 2, FALSE)</f>
        <v>ALM-01</v>
      </c>
    </row>
    <row r="192" spans="1:14" ht="15.75" thickBot="1" x14ac:dyDescent="0.3">
      <c r="A192" s="35">
        <v>124</v>
      </c>
      <c r="B192" s="36">
        <v>45415</v>
      </c>
      <c r="C192" s="35" t="s">
        <v>13</v>
      </c>
      <c r="D192" s="35" t="s">
        <v>25</v>
      </c>
      <c r="E192" s="35" t="s">
        <v>17</v>
      </c>
      <c r="F192" s="35" t="s">
        <v>37</v>
      </c>
      <c r="G192" s="35">
        <v>19</v>
      </c>
      <c r="H192" s="37">
        <v>3379</v>
      </c>
      <c r="I192" s="35">
        <v>0.05</v>
      </c>
      <c r="J192" s="38">
        <f t="shared" si="9"/>
        <v>64201</v>
      </c>
      <c r="K192" s="55" t="str">
        <f t="shared" si="10"/>
        <v>Venta Grande</v>
      </c>
      <c r="L192" s="58" t="str">
        <f>VLOOKUP(D192, AUXILIAR!$A$2:$B$16, 2, 0)</f>
        <v>LG Electronics</v>
      </c>
      <c r="M192" s="54" t="str">
        <f t="shared" si="13"/>
        <v>Prioridad Media</v>
      </c>
      <c r="N192" s="54" t="str">
        <f>VLOOKUP(E192, AUXILIAR!$E$2:$F$4, 2, FALSE)</f>
        <v>ALM-02</v>
      </c>
    </row>
    <row r="193" spans="1:14" ht="15.75" thickBot="1" x14ac:dyDescent="0.3">
      <c r="A193" s="35">
        <v>332</v>
      </c>
      <c r="B193" s="36">
        <v>45623</v>
      </c>
      <c r="C193" s="35" t="s">
        <v>11</v>
      </c>
      <c r="D193" s="35" t="s">
        <v>24</v>
      </c>
      <c r="E193" s="35" t="s">
        <v>16</v>
      </c>
      <c r="F193" s="35" t="s">
        <v>35</v>
      </c>
      <c r="G193" s="35">
        <v>7</v>
      </c>
      <c r="H193" s="37">
        <v>3365</v>
      </c>
      <c r="I193" s="35">
        <v>0.04</v>
      </c>
      <c r="J193" s="38">
        <f t="shared" si="9"/>
        <v>23555</v>
      </c>
      <c r="K193" s="55" t="str">
        <f t="shared" si="10"/>
        <v>Venta Grande</v>
      </c>
      <c r="L193" s="58" t="str">
        <f>VLOOKUP(D193, AUXILIAR!$A$2:$B$16, 2, 0)</f>
        <v>Samsung Oficial</v>
      </c>
      <c r="M193" s="54" t="str">
        <f t="shared" si="13"/>
        <v>Prioridad Alta</v>
      </c>
      <c r="N193" s="54" t="str">
        <f>VLOOKUP(E193, AUXILIAR!$E$2:$F$4, 2, FALSE)</f>
        <v>ALM-01</v>
      </c>
    </row>
    <row r="194" spans="1:14" ht="15.75" thickBot="1" x14ac:dyDescent="0.3">
      <c r="A194" s="35">
        <v>489</v>
      </c>
      <c r="B194" s="36">
        <v>45780</v>
      </c>
      <c r="C194" s="35" t="s">
        <v>13</v>
      </c>
      <c r="D194" s="35" t="s">
        <v>27</v>
      </c>
      <c r="E194" s="35" t="s">
        <v>16</v>
      </c>
      <c r="F194" s="35" t="s">
        <v>37</v>
      </c>
      <c r="G194" s="35">
        <v>15</v>
      </c>
      <c r="H194" s="37">
        <v>3356</v>
      </c>
      <c r="I194" s="35">
        <v>0.04</v>
      </c>
      <c r="J194" s="38">
        <f t="shared" ref="J194:J257" si="14">G194*H194</f>
        <v>50340</v>
      </c>
      <c r="K194" s="55" t="str">
        <f t="shared" ref="K194:K257" si="15">IF(J194&gt;5000, "Venta Grande", "Venta Normal")</f>
        <v>Venta Grande</v>
      </c>
      <c r="L194" s="58" t="str">
        <f>VLOOKUP(D194, AUXILIAR!$A$2:$B$16, 2, 0)</f>
        <v>LG Electronics</v>
      </c>
      <c r="M194" s="54" t="str">
        <f t="shared" si="13"/>
        <v>Prioridad Alta</v>
      </c>
      <c r="N194" s="54" t="str">
        <f>VLOOKUP(E194, AUXILIAR!$E$2:$F$4, 2, FALSE)</f>
        <v>ALM-01</v>
      </c>
    </row>
    <row r="195" spans="1:14" ht="15.75" thickBot="1" x14ac:dyDescent="0.3">
      <c r="A195" s="35">
        <v>84</v>
      </c>
      <c r="B195" s="36">
        <v>45375</v>
      </c>
      <c r="C195" s="35" t="s">
        <v>13</v>
      </c>
      <c r="D195" s="35" t="s">
        <v>29</v>
      </c>
      <c r="E195" s="35" t="s">
        <v>18</v>
      </c>
      <c r="F195" s="35" t="s">
        <v>37</v>
      </c>
      <c r="G195" s="35">
        <v>5</v>
      </c>
      <c r="H195" s="37">
        <v>3338</v>
      </c>
      <c r="I195" s="35">
        <v>0.04</v>
      </c>
      <c r="J195" s="38">
        <f t="shared" si="14"/>
        <v>16690</v>
      </c>
      <c r="K195" s="55" t="str">
        <f t="shared" si="15"/>
        <v>Venta Grande</v>
      </c>
      <c r="L195" s="58" t="str">
        <f>VLOOKUP(D195, AUXILIAR!$A$2:$B$16, 2, 0)</f>
        <v>LG Electronics</v>
      </c>
      <c r="M195" s="54" t="str">
        <f t="shared" si="13"/>
        <v>Prioridad Media</v>
      </c>
      <c r="N195" s="54" t="str">
        <f>VLOOKUP(E195, AUXILIAR!$E$2:$F$4, 2, FALSE)</f>
        <v>ALM-03</v>
      </c>
    </row>
    <row r="196" spans="1:14" ht="15.75" hidden="1" thickBot="1" x14ac:dyDescent="0.3">
      <c r="A196" s="28">
        <v>195</v>
      </c>
      <c r="B196" s="29">
        <v>45486</v>
      </c>
      <c r="C196" s="30" t="s">
        <v>14</v>
      </c>
      <c r="D196" s="31" t="s">
        <v>30</v>
      </c>
      <c r="E196" s="31" t="s">
        <v>16</v>
      </c>
      <c r="F196" s="31" t="s">
        <v>38</v>
      </c>
      <c r="G196" s="31">
        <v>4</v>
      </c>
      <c r="H196" s="32">
        <v>883</v>
      </c>
      <c r="I196" s="31">
        <v>0.13</v>
      </c>
      <c r="J196" s="33">
        <f t="shared" si="14"/>
        <v>3532</v>
      </c>
      <c r="K196" s="34" t="str">
        <f t="shared" si="15"/>
        <v>Venta Normal</v>
      </c>
      <c r="L196" s="31" t="str">
        <f>VLOOKUP(D196, AUXILIAR!$A$2:$B$16, 2, 0)</f>
        <v>Office Design</v>
      </c>
      <c r="M196"/>
    </row>
    <row r="197" spans="1:14" ht="15.75" thickBot="1" x14ac:dyDescent="0.3">
      <c r="A197" s="35">
        <v>437</v>
      </c>
      <c r="B197" s="36">
        <v>45728</v>
      </c>
      <c r="C197" s="35" t="s">
        <v>11</v>
      </c>
      <c r="D197" s="35" t="s">
        <v>30</v>
      </c>
      <c r="E197" s="35" t="s">
        <v>16</v>
      </c>
      <c r="F197" s="35" t="s">
        <v>35</v>
      </c>
      <c r="G197" s="35">
        <v>17</v>
      </c>
      <c r="H197" s="37">
        <v>3333</v>
      </c>
      <c r="I197" s="35">
        <v>0.09</v>
      </c>
      <c r="J197" s="38">
        <f t="shared" si="14"/>
        <v>56661</v>
      </c>
      <c r="K197" s="55" t="str">
        <f t="shared" si="15"/>
        <v>Venta Grande</v>
      </c>
      <c r="L197" s="58" t="str">
        <f>VLOOKUP(D197, AUXILIAR!$A$2:$B$16, 2, 0)</f>
        <v>Office Design</v>
      </c>
      <c r="M197" s="54" t="str">
        <f t="shared" ref="M197:M202" si="16">IF(AND(E197="Tecnología", J197&gt;20000), "Prioridad Alta", IF(J197&gt;5000, "Prioridad Media", "Prioridad Baja"))</f>
        <v>Prioridad Alta</v>
      </c>
      <c r="N197" s="54" t="str">
        <f>VLOOKUP(E197, AUXILIAR!$E$2:$F$4, 2, FALSE)</f>
        <v>ALM-01</v>
      </c>
    </row>
    <row r="198" spans="1:14" ht="15.75" thickBot="1" x14ac:dyDescent="0.3">
      <c r="A198" s="35">
        <v>149</v>
      </c>
      <c r="B198" s="36">
        <v>45440</v>
      </c>
      <c r="C198" s="35" t="s">
        <v>13</v>
      </c>
      <c r="D198" s="35" t="s">
        <v>28</v>
      </c>
      <c r="E198" s="35" t="s">
        <v>17</v>
      </c>
      <c r="F198" s="35" t="s">
        <v>37</v>
      </c>
      <c r="G198" s="35">
        <v>19</v>
      </c>
      <c r="H198" s="37">
        <v>3330</v>
      </c>
      <c r="I198" s="35">
        <v>0.13</v>
      </c>
      <c r="J198" s="38">
        <f t="shared" si="14"/>
        <v>63270</v>
      </c>
      <c r="K198" s="55" t="str">
        <f t="shared" si="15"/>
        <v>Venta Grande</v>
      </c>
      <c r="L198" s="58" t="str">
        <f>VLOOKUP(D198, AUXILIAR!$A$2:$B$16, 2, 0)</f>
        <v>Samsung Oficial</v>
      </c>
      <c r="M198" s="54" t="str">
        <f t="shared" si="16"/>
        <v>Prioridad Media</v>
      </c>
      <c r="N198" s="54" t="str">
        <f>VLOOKUP(E198, AUXILIAR!$E$2:$F$4, 2, FALSE)</f>
        <v>ALM-02</v>
      </c>
    </row>
    <row r="199" spans="1:14" ht="15.75" thickBot="1" x14ac:dyDescent="0.3">
      <c r="A199" s="35">
        <v>289</v>
      </c>
      <c r="B199" s="36">
        <v>45580</v>
      </c>
      <c r="C199" s="35" t="s">
        <v>13</v>
      </c>
      <c r="D199" s="35" t="s">
        <v>25</v>
      </c>
      <c r="E199" s="35" t="s">
        <v>17</v>
      </c>
      <c r="F199" s="35" t="s">
        <v>37</v>
      </c>
      <c r="G199" s="35">
        <v>11</v>
      </c>
      <c r="H199" s="37">
        <v>3329</v>
      </c>
      <c r="I199" s="35">
        <v>0.12</v>
      </c>
      <c r="J199" s="38">
        <f t="shared" si="14"/>
        <v>36619</v>
      </c>
      <c r="K199" s="55" t="str">
        <f t="shared" si="15"/>
        <v>Venta Grande</v>
      </c>
      <c r="L199" s="58" t="str">
        <f>VLOOKUP(D199, AUXILIAR!$A$2:$B$16, 2, 0)</f>
        <v>LG Electronics</v>
      </c>
      <c r="M199" s="54" t="str">
        <f t="shared" si="16"/>
        <v>Prioridad Media</v>
      </c>
      <c r="N199" s="54" t="str">
        <f>VLOOKUP(E199, AUXILIAR!$E$2:$F$4, 2, FALSE)</f>
        <v>ALM-02</v>
      </c>
    </row>
    <row r="200" spans="1:14" ht="15.75" thickBot="1" x14ac:dyDescent="0.3">
      <c r="A200" s="35">
        <v>245</v>
      </c>
      <c r="B200" s="36">
        <v>45536</v>
      </c>
      <c r="C200" s="35" t="s">
        <v>14</v>
      </c>
      <c r="D200" s="35" t="s">
        <v>25</v>
      </c>
      <c r="E200" s="35" t="s">
        <v>17</v>
      </c>
      <c r="F200" s="35" t="s">
        <v>38</v>
      </c>
      <c r="G200" s="35">
        <v>19</v>
      </c>
      <c r="H200" s="37">
        <v>3326</v>
      </c>
      <c r="I200" s="35">
        <v>0.05</v>
      </c>
      <c r="J200" s="38">
        <f t="shared" si="14"/>
        <v>63194</v>
      </c>
      <c r="K200" s="55" t="str">
        <f t="shared" si="15"/>
        <v>Venta Grande</v>
      </c>
      <c r="L200" s="58" t="str">
        <f>VLOOKUP(D200, AUXILIAR!$A$2:$B$16, 2, 0)</f>
        <v>LG Electronics</v>
      </c>
      <c r="M200" s="54" t="str">
        <f t="shared" si="16"/>
        <v>Prioridad Media</v>
      </c>
      <c r="N200" s="54" t="str">
        <f>VLOOKUP(E200, AUXILIAR!$E$2:$F$4, 2, FALSE)</f>
        <v>ALM-02</v>
      </c>
    </row>
    <row r="201" spans="1:14" ht="15.75" thickBot="1" x14ac:dyDescent="0.3">
      <c r="A201" s="35">
        <v>112</v>
      </c>
      <c r="B201" s="36">
        <v>45403</v>
      </c>
      <c r="C201" s="35" t="s">
        <v>11</v>
      </c>
      <c r="D201" s="35" t="s">
        <v>24</v>
      </c>
      <c r="E201" s="35" t="s">
        <v>16</v>
      </c>
      <c r="F201" s="35" t="s">
        <v>35</v>
      </c>
      <c r="G201" s="35">
        <v>4</v>
      </c>
      <c r="H201" s="37">
        <v>3317</v>
      </c>
      <c r="I201" s="35">
        <v>0.09</v>
      </c>
      <c r="J201" s="38">
        <f t="shared" si="14"/>
        <v>13268</v>
      </c>
      <c r="K201" s="55" t="str">
        <f t="shared" si="15"/>
        <v>Venta Grande</v>
      </c>
      <c r="L201" s="58" t="str">
        <f>VLOOKUP(D201, AUXILIAR!$A$2:$B$16, 2, 0)</f>
        <v>Samsung Oficial</v>
      </c>
      <c r="M201" s="54" t="str">
        <f t="shared" si="16"/>
        <v>Prioridad Media</v>
      </c>
      <c r="N201" s="54" t="str">
        <f>VLOOKUP(E201, AUXILIAR!$E$2:$F$4, 2, FALSE)</f>
        <v>ALM-01</v>
      </c>
    </row>
    <row r="202" spans="1:14" ht="15.75" thickBot="1" x14ac:dyDescent="0.3">
      <c r="A202" s="35">
        <v>119</v>
      </c>
      <c r="B202" s="36">
        <v>45410</v>
      </c>
      <c r="C202" s="35" t="s">
        <v>13</v>
      </c>
      <c r="D202" s="35" t="s">
        <v>31</v>
      </c>
      <c r="E202" s="35" t="s">
        <v>17</v>
      </c>
      <c r="F202" s="35" t="s">
        <v>37</v>
      </c>
      <c r="G202" s="35">
        <v>17</v>
      </c>
      <c r="H202" s="37">
        <v>3317</v>
      </c>
      <c r="I202" s="35">
        <v>0.08</v>
      </c>
      <c r="J202" s="38">
        <f t="shared" si="14"/>
        <v>56389</v>
      </c>
      <c r="K202" s="55" t="str">
        <f t="shared" si="15"/>
        <v>Venta Grande</v>
      </c>
      <c r="L202" s="58" t="str">
        <f>VLOOKUP(D202, AUXILIAR!$A$2:$B$16, 2, 0)</f>
        <v>LG Electronics</v>
      </c>
      <c r="M202" s="54" t="str">
        <f t="shared" si="16"/>
        <v>Prioridad Media</v>
      </c>
      <c r="N202" s="54" t="str">
        <f>VLOOKUP(E202, AUXILIAR!$E$2:$F$4, 2, FALSE)</f>
        <v>ALM-02</v>
      </c>
    </row>
    <row r="203" spans="1:14" ht="15.75" hidden="1" thickBot="1" x14ac:dyDescent="0.3">
      <c r="A203" s="21">
        <v>202</v>
      </c>
      <c r="B203" s="22">
        <v>45493</v>
      </c>
      <c r="C203" s="23" t="s">
        <v>11</v>
      </c>
      <c r="D203" s="24" t="s">
        <v>26</v>
      </c>
      <c r="E203" s="24" t="s">
        <v>18</v>
      </c>
      <c r="F203" s="24" t="s">
        <v>35</v>
      </c>
      <c r="G203" s="24">
        <v>1</v>
      </c>
      <c r="H203" s="25">
        <v>4167</v>
      </c>
      <c r="I203" s="24">
        <v>0.01</v>
      </c>
      <c r="J203" s="26">
        <f t="shared" si="14"/>
        <v>4167</v>
      </c>
      <c r="K203" s="27" t="str">
        <f t="shared" si="15"/>
        <v>Venta Normal</v>
      </c>
      <c r="L203" s="24" t="str">
        <f>VLOOKUP(D203, AUXILIAR!$A$2:$B$16, 2, 0)</f>
        <v>Office Design</v>
      </c>
      <c r="M203"/>
    </row>
    <row r="204" spans="1:14" ht="15.75" hidden="1" thickBot="1" x14ac:dyDescent="0.3">
      <c r="A204" s="16">
        <v>203</v>
      </c>
      <c r="B204" s="17">
        <v>45494</v>
      </c>
      <c r="C204" s="15" t="s">
        <v>12</v>
      </c>
      <c r="D204" s="18" t="s">
        <v>27</v>
      </c>
      <c r="E204" s="18" t="s">
        <v>16</v>
      </c>
      <c r="F204" s="18" t="s">
        <v>36</v>
      </c>
      <c r="G204" s="18">
        <v>2</v>
      </c>
      <c r="H204" s="19">
        <v>2190</v>
      </c>
      <c r="I204" s="18">
        <v>0.1</v>
      </c>
      <c r="J204" s="20">
        <f t="shared" si="14"/>
        <v>4380</v>
      </c>
      <c r="K204" s="14" t="str">
        <f t="shared" si="15"/>
        <v>Venta Normal</v>
      </c>
      <c r="L204" s="18" t="str">
        <f>VLOOKUP(D204, AUXILIAR!$A$2:$B$16, 2, 0)</f>
        <v>LG Electronics</v>
      </c>
      <c r="M204"/>
    </row>
    <row r="205" spans="1:14" ht="15.75" thickBot="1" x14ac:dyDescent="0.3">
      <c r="A205" s="35">
        <v>26</v>
      </c>
      <c r="B205" s="36">
        <v>45317</v>
      </c>
      <c r="C205" s="35" t="s">
        <v>10</v>
      </c>
      <c r="D205" s="35" t="s">
        <v>26</v>
      </c>
      <c r="E205" s="35" t="s">
        <v>18</v>
      </c>
      <c r="F205" s="35" t="s">
        <v>34</v>
      </c>
      <c r="G205" s="35">
        <v>14</v>
      </c>
      <c r="H205" s="37">
        <v>3300</v>
      </c>
      <c r="I205" s="35">
        <v>0.08</v>
      </c>
      <c r="J205" s="38">
        <f t="shared" si="14"/>
        <v>46200</v>
      </c>
      <c r="K205" s="55" t="str">
        <f t="shared" si="15"/>
        <v>Venta Grande</v>
      </c>
      <c r="L205" s="58" t="str">
        <f>VLOOKUP(D205, AUXILIAR!$A$2:$B$16, 2, 0)</f>
        <v>Office Design</v>
      </c>
      <c r="M205" s="54" t="str">
        <f>IF(AND(E205="Tecnología", J205&gt;20000), "Prioridad Alta", IF(J205&gt;5000, "Prioridad Media", "Prioridad Baja"))</f>
        <v>Prioridad Media</v>
      </c>
      <c r="N205" s="54" t="str">
        <f>VLOOKUP(E205, AUXILIAR!$E$2:$F$4, 2, FALSE)</f>
        <v>ALM-03</v>
      </c>
    </row>
    <row r="206" spans="1:14" ht="15.75" thickBot="1" x14ac:dyDescent="0.3">
      <c r="A206" s="35">
        <v>194</v>
      </c>
      <c r="B206" s="36">
        <v>45485</v>
      </c>
      <c r="C206" s="35" t="s">
        <v>13</v>
      </c>
      <c r="D206" s="35" t="s">
        <v>29</v>
      </c>
      <c r="E206" s="35" t="s">
        <v>18</v>
      </c>
      <c r="F206" s="35" t="s">
        <v>37</v>
      </c>
      <c r="G206" s="35">
        <v>8</v>
      </c>
      <c r="H206" s="37">
        <v>3298</v>
      </c>
      <c r="I206" s="35">
        <v>0.04</v>
      </c>
      <c r="J206" s="38">
        <f t="shared" si="14"/>
        <v>26384</v>
      </c>
      <c r="K206" s="55" t="str">
        <f t="shared" si="15"/>
        <v>Venta Grande</v>
      </c>
      <c r="L206" s="58" t="str">
        <f>VLOOKUP(D206, AUXILIAR!$A$2:$B$16, 2, 0)</f>
        <v>LG Electronics</v>
      </c>
      <c r="M206" s="54" t="str">
        <f>IF(AND(E206="Tecnología", J206&gt;20000), "Prioridad Alta", IF(J206&gt;5000, "Prioridad Media", "Prioridad Baja"))</f>
        <v>Prioridad Media</v>
      </c>
      <c r="N206" s="54" t="str">
        <f>VLOOKUP(E206, AUXILIAR!$E$2:$F$4, 2, FALSE)</f>
        <v>ALM-03</v>
      </c>
    </row>
    <row r="207" spans="1:14" ht="15.75" hidden="1" thickBot="1" x14ac:dyDescent="0.3">
      <c r="A207" s="28">
        <v>206</v>
      </c>
      <c r="B207" s="29">
        <v>45497</v>
      </c>
      <c r="C207" s="30" t="s">
        <v>10</v>
      </c>
      <c r="D207" s="31" t="s">
        <v>30</v>
      </c>
      <c r="E207" s="31" t="s">
        <v>16</v>
      </c>
      <c r="F207" s="31" t="s">
        <v>34</v>
      </c>
      <c r="G207" s="31">
        <v>6</v>
      </c>
      <c r="H207" s="32">
        <v>543</v>
      </c>
      <c r="I207" s="31">
        <v>0.04</v>
      </c>
      <c r="J207" s="33">
        <f t="shared" si="14"/>
        <v>3258</v>
      </c>
      <c r="K207" s="34" t="str">
        <f t="shared" si="15"/>
        <v>Venta Normal</v>
      </c>
      <c r="L207" s="31" t="str">
        <f>VLOOKUP(D207, AUXILIAR!$A$2:$B$16, 2, 0)</f>
        <v>Office Design</v>
      </c>
      <c r="M207"/>
    </row>
    <row r="208" spans="1:14" ht="15.75" thickBot="1" x14ac:dyDescent="0.3">
      <c r="A208" s="35">
        <v>348</v>
      </c>
      <c r="B208" s="36">
        <v>45639</v>
      </c>
      <c r="C208" s="35" t="s">
        <v>12</v>
      </c>
      <c r="D208" s="35" t="s">
        <v>29</v>
      </c>
      <c r="E208" s="35" t="s">
        <v>18</v>
      </c>
      <c r="F208" s="35" t="s">
        <v>36</v>
      </c>
      <c r="G208" s="35">
        <v>19</v>
      </c>
      <c r="H208" s="37">
        <v>3296</v>
      </c>
      <c r="I208" s="35">
        <v>0.11</v>
      </c>
      <c r="J208" s="38">
        <f t="shared" si="14"/>
        <v>62624</v>
      </c>
      <c r="K208" s="55" t="str">
        <f t="shared" si="15"/>
        <v>Venta Grande</v>
      </c>
      <c r="L208" s="58" t="str">
        <f>VLOOKUP(D208, AUXILIAR!$A$2:$B$16, 2, 0)</f>
        <v>LG Electronics</v>
      </c>
      <c r="M208" s="54" t="str">
        <f t="shared" ref="M208:M218" si="17">IF(AND(E208="Tecnología", J208&gt;20000), "Prioridad Alta", IF(J208&gt;5000, "Prioridad Media", "Prioridad Baja"))</f>
        <v>Prioridad Media</v>
      </c>
      <c r="N208" s="54" t="str">
        <f>VLOOKUP(E208, AUXILIAR!$E$2:$F$4, 2, FALSE)</f>
        <v>ALM-03</v>
      </c>
    </row>
    <row r="209" spans="1:14" ht="15.75" thickBot="1" x14ac:dyDescent="0.3">
      <c r="A209" s="35">
        <v>447</v>
      </c>
      <c r="B209" s="36">
        <v>45738</v>
      </c>
      <c r="C209" s="35" t="s">
        <v>11</v>
      </c>
      <c r="D209" s="35" t="s">
        <v>29</v>
      </c>
      <c r="E209" s="35" t="s">
        <v>18</v>
      </c>
      <c r="F209" s="35" t="s">
        <v>35</v>
      </c>
      <c r="G209" s="35">
        <v>6</v>
      </c>
      <c r="H209" s="37">
        <v>3292</v>
      </c>
      <c r="I209" s="35">
        <v>7.0000000000000007E-2</v>
      </c>
      <c r="J209" s="38">
        <f t="shared" si="14"/>
        <v>19752</v>
      </c>
      <c r="K209" s="55" t="str">
        <f t="shared" si="15"/>
        <v>Venta Grande</v>
      </c>
      <c r="L209" s="58" t="str">
        <f>VLOOKUP(D209, AUXILIAR!$A$2:$B$16, 2, 0)</f>
        <v>LG Electronics</v>
      </c>
      <c r="M209" s="54" t="str">
        <f t="shared" si="17"/>
        <v>Prioridad Media</v>
      </c>
      <c r="N209" s="54" t="str">
        <f>VLOOKUP(E209, AUXILIAR!$E$2:$F$4, 2, FALSE)</f>
        <v>ALM-03</v>
      </c>
    </row>
    <row r="210" spans="1:14" ht="15.75" thickBot="1" x14ac:dyDescent="0.3">
      <c r="A210" s="35">
        <v>400</v>
      </c>
      <c r="B210" s="36">
        <v>45691</v>
      </c>
      <c r="C210" s="35" t="s">
        <v>14</v>
      </c>
      <c r="D210" s="35" t="s">
        <v>26</v>
      </c>
      <c r="E210" s="35" t="s">
        <v>18</v>
      </c>
      <c r="F210" s="35" t="s">
        <v>38</v>
      </c>
      <c r="G210" s="35">
        <v>4</v>
      </c>
      <c r="H210" s="37">
        <v>3276</v>
      </c>
      <c r="I210" s="35">
        <v>0.02</v>
      </c>
      <c r="J210" s="38">
        <f t="shared" si="14"/>
        <v>13104</v>
      </c>
      <c r="K210" s="55" t="str">
        <f t="shared" si="15"/>
        <v>Venta Grande</v>
      </c>
      <c r="L210" s="58" t="str">
        <f>VLOOKUP(D210, AUXILIAR!$A$2:$B$16, 2, 0)</f>
        <v>Office Design</v>
      </c>
      <c r="M210" s="54" t="str">
        <f t="shared" si="17"/>
        <v>Prioridad Media</v>
      </c>
      <c r="N210" s="54" t="str">
        <f>VLOOKUP(E210, AUXILIAR!$E$2:$F$4, 2, FALSE)</f>
        <v>ALM-03</v>
      </c>
    </row>
    <row r="211" spans="1:14" ht="15.75" thickBot="1" x14ac:dyDescent="0.3">
      <c r="A211" s="35">
        <v>114</v>
      </c>
      <c r="B211" s="36">
        <v>45405</v>
      </c>
      <c r="C211" s="35" t="s">
        <v>13</v>
      </c>
      <c r="D211" s="35" t="s">
        <v>26</v>
      </c>
      <c r="E211" s="35" t="s">
        <v>18</v>
      </c>
      <c r="F211" s="35" t="s">
        <v>37</v>
      </c>
      <c r="G211" s="35">
        <v>13</v>
      </c>
      <c r="H211" s="37">
        <v>3273</v>
      </c>
      <c r="I211" s="35">
        <v>0.06</v>
      </c>
      <c r="J211" s="38">
        <f t="shared" si="14"/>
        <v>42549</v>
      </c>
      <c r="K211" s="55" t="str">
        <f t="shared" si="15"/>
        <v>Venta Grande</v>
      </c>
      <c r="L211" s="58" t="str">
        <f>VLOOKUP(D211, AUXILIAR!$A$2:$B$16, 2, 0)</f>
        <v>Office Design</v>
      </c>
      <c r="M211" s="54" t="str">
        <f t="shared" si="17"/>
        <v>Prioridad Media</v>
      </c>
      <c r="N211" s="54" t="str">
        <f>VLOOKUP(E211, AUXILIAR!$E$2:$F$4, 2, FALSE)</f>
        <v>ALM-03</v>
      </c>
    </row>
    <row r="212" spans="1:14" ht="15.75" thickBot="1" x14ac:dyDescent="0.3">
      <c r="A212" s="35">
        <v>254</v>
      </c>
      <c r="B212" s="36">
        <v>45545</v>
      </c>
      <c r="C212" s="35" t="s">
        <v>13</v>
      </c>
      <c r="D212" s="35" t="s">
        <v>33</v>
      </c>
      <c r="E212" s="35" t="s">
        <v>16</v>
      </c>
      <c r="F212" s="35" t="s">
        <v>37</v>
      </c>
      <c r="G212" s="35">
        <v>3</v>
      </c>
      <c r="H212" s="37">
        <v>3263</v>
      </c>
      <c r="I212" s="35">
        <v>0.11</v>
      </c>
      <c r="J212" s="38">
        <f t="shared" si="14"/>
        <v>9789</v>
      </c>
      <c r="K212" s="55" t="str">
        <f t="shared" si="15"/>
        <v>Venta Grande</v>
      </c>
      <c r="L212" s="58" t="str">
        <f>VLOOKUP(D212, AUXILIAR!$A$2:$B$16, 2, 0)</f>
        <v>LG Electronics</v>
      </c>
      <c r="M212" s="54" t="str">
        <f t="shared" si="17"/>
        <v>Prioridad Media</v>
      </c>
      <c r="N212" s="54" t="str">
        <f>VLOOKUP(E212, AUXILIAR!$E$2:$F$4, 2, FALSE)</f>
        <v>ALM-01</v>
      </c>
    </row>
    <row r="213" spans="1:14" ht="15.75" thickBot="1" x14ac:dyDescent="0.3">
      <c r="A213" s="35">
        <v>72</v>
      </c>
      <c r="B213" s="36">
        <v>45363</v>
      </c>
      <c r="C213" s="35" t="s">
        <v>11</v>
      </c>
      <c r="D213" s="35" t="s">
        <v>28</v>
      </c>
      <c r="E213" s="35" t="s">
        <v>17</v>
      </c>
      <c r="F213" s="35" t="s">
        <v>35</v>
      </c>
      <c r="G213" s="35">
        <v>8</v>
      </c>
      <c r="H213" s="37">
        <v>3259</v>
      </c>
      <c r="I213" s="35">
        <v>0.04</v>
      </c>
      <c r="J213" s="38">
        <f t="shared" si="14"/>
        <v>26072</v>
      </c>
      <c r="K213" s="55" t="str">
        <f t="shared" si="15"/>
        <v>Venta Grande</v>
      </c>
      <c r="L213" s="58" t="str">
        <f>VLOOKUP(D213, AUXILIAR!$A$2:$B$16, 2, 0)</f>
        <v>Samsung Oficial</v>
      </c>
      <c r="M213" s="54" t="str">
        <f t="shared" si="17"/>
        <v>Prioridad Media</v>
      </c>
      <c r="N213" s="54" t="str">
        <f>VLOOKUP(E213, AUXILIAR!$E$2:$F$4, 2, FALSE)</f>
        <v>ALM-02</v>
      </c>
    </row>
    <row r="214" spans="1:14" ht="15.75" thickBot="1" x14ac:dyDescent="0.3">
      <c r="A214" s="35">
        <v>303</v>
      </c>
      <c r="B214" s="36">
        <v>45594</v>
      </c>
      <c r="C214" s="35" t="s">
        <v>12</v>
      </c>
      <c r="D214" s="35" t="s">
        <v>28</v>
      </c>
      <c r="E214" s="35" t="s">
        <v>17</v>
      </c>
      <c r="F214" s="35" t="s">
        <v>36</v>
      </c>
      <c r="G214" s="35">
        <v>19</v>
      </c>
      <c r="H214" s="37">
        <v>3259</v>
      </c>
      <c r="I214" s="35">
        <v>0.05</v>
      </c>
      <c r="J214" s="38">
        <f t="shared" si="14"/>
        <v>61921</v>
      </c>
      <c r="K214" s="55" t="str">
        <f t="shared" si="15"/>
        <v>Venta Grande</v>
      </c>
      <c r="L214" s="58" t="str">
        <f>VLOOKUP(D214, AUXILIAR!$A$2:$B$16, 2, 0)</f>
        <v>Samsung Oficial</v>
      </c>
      <c r="M214" s="54" t="str">
        <f t="shared" si="17"/>
        <v>Prioridad Media</v>
      </c>
      <c r="N214" s="54" t="str">
        <f>VLOOKUP(E214, AUXILIAR!$E$2:$F$4, 2, FALSE)</f>
        <v>ALM-02</v>
      </c>
    </row>
    <row r="215" spans="1:14" ht="15.75" thickBot="1" x14ac:dyDescent="0.3">
      <c r="A215" s="35">
        <v>417</v>
      </c>
      <c r="B215" s="36">
        <v>45708</v>
      </c>
      <c r="C215" s="35" t="s">
        <v>11</v>
      </c>
      <c r="D215" s="35" t="s">
        <v>32</v>
      </c>
      <c r="E215" s="35" t="s">
        <v>18</v>
      </c>
      <c r="F215" s="35" t="s">
        <v>35</v>
      </c>
      <c r="G215" s="35">
        <v>9</v>
      </c>
      <c r="H215" s="37">
        <v>3240</v>
      </c>
      <c r="I215" s="35">
        <v>0.09</v>
      </c>
      <c r="J215" s="38">
        <f t="shared" si="14"/>
        <v>29160</v>
      </c>
      <c r="K215" s="55" t="str">
        <f t="shared" si="15"/>
        <v>Venta Grande</v>
      </c>
      <c r="L215" s="58" t="str">
        <f>VLOOKUP(D215, AUXILIAR!$A$2:$B$16, 2, 0)</f>
        <v>Samsung Oficial</v>
      </c>
      <c r="M215" s="54" t="str">
        <f t="shared" si="17"/>
        <v>Prioridad Media</v>
      </c>
      <c r="N215" s="54" t="str">
        <f>VLOOKUP(E215, AUXILIAR!$E$2:$F$4, 2, FALSE)</f>
        <v>ALM-03</v>
      </c>
    </row>
    <row r="216" spans="1:14" ht="15.75" thickBot="1" x14ac:dyDescent="0.3">
      <c r="A216" s="35">
        <v>312</v>
      </c>
      <c r="B216" s="36">
        <v>45603</v>
      </c>
      <c r="C216" s="35" t="s">
        <v>11</v>
      </c>
      <c r="D216" s="35" t="s">
        <v>26</v>
      </c>
      <c r="E216" s="35" t="s">
        <v>18</v>
      </c>
      <c r="F216" s="35" t="s">
        <v>35</v>
      </c>
      <c r="G216" s="35">
        <v>20</v>
      </c>
      <c r="H216" s="37">
        <v>3233</v>
      </c>
      <c r="I216" s="35">
        <v>0.05</v>
      </c>
      <c r="J216" s="38">
        <f t="shared" si="14"/>
        <v>64660</v>
      </c>
      <c r="K216" s="55" t="str">
        <f t="shared" si="15"/>
        <v>Venta Grande</v>
      </c>
      <c r="L216" s="58" t="str">
        <f>VLOOKUP(D216, AUXILIAR!$A$2:$B$16, 2, 0)</f>
        <v>Office Design</v>
      </c>
      <c r="M216" s="54" t="str">
        <f t="shared" si="17"/>
        <v>Prioridad Media</v>
      </c>
      <c r="N216" s="54" t="str">
        <f>VLOOKUP(E216, AUXILIAR!$E$2:$F$4, 2, FALSE)</f>
        <v>ALM-03</v>
      </c>
    </row>
    <row r="217" spans="1:14" ht="15.75" thickBot="1" x14ac:dyDescent="0.3">
      <c r="A217" s="35">
        <v>165</v>
      </c>
      <c r="B217" s="36">
        <v>45456</v>
      </c>
      <c r="C217" s="35" t="s">
        <v>14</v>
      </c>
      <c r="D217" s="35" t="s">
        <v>33</v>
      </c>
      <c r="E217" s="35" t="s">
        <v>16</v>
      </c>
      <c r="F217" s="35" t="s">
        <v>38</v>
      </c>
      <c r="G217" s="35">
        <v>16</v>
      </c>
      <c r="H217" s="37">
        <v>3232</v>
      </c>
      <c r="I217" s="35">
        <v>0.04</v>
      </c>
      <c r="J217" s="38">
        <f t="shared" si="14"/>
        <v>51712</v>
      </c>
      <c r="K217" s="55" t="str">
        <f t="shared" si="15"/>
        <v>Venta Grande</v>
      </c>
      <c r="L217" s="58" t="str">
        <f>VLOOKUP(D217, AUXILIAR!$A$2:$B$16, 2, 0)</f>
        <v>LG Electronics</v>
      </c>
      <c r="M217" s="54" t="str">
        <f t="shared" si="17"/>
        <v>Prioridad Alta</v>
      </c>
      <c r="N217" s="54" t="str">
        <f>VLOOKUP(E217, AUXILIAR!$E$2:$F$4, 2, FALSE)</f>
        <v>ALM-01</v>
      </c>
    </row>
    <row r="218" spans="1:14" ht="15.75" thickBot="1" x14ac:dyDescent="0.3">
      <c r="A218" s="35">
        <v>358</v>
      </c>
      <c r="B218" s="36">
        <v>45649</v>
      </c>
      <c r="C218" s="35" t="s">
        <v>12</v>
      </c>
      <c r="D218" s="35" t="s">
        <v>28</v>
      </c>
      <c r="E218" s="35" t="s">
        <v>17</v>
      </c>
      <c r="F218" s="35" t="s">
        <v>36</v>
      </c>
      <c r="G218" s="35">
        <v>12</v>
      </c>
      <c r="H218" s="37">
        <v>3205</v>
      </c>
      <c r="I218" s="35">
        <v>0.04</v>
      </c>
      <c r="J218" s="38">
        <f t="shared" si="14"/>
        <v>38460</v>
      </c>
      <c r="K218" s="55" t="str">
        <f t="shared" si="15"/>
        <v>Venta Grande</v>
      </c>
      <c r="L218" s="58" t="str">
        <f>VLOOKUP(D218, AUXILIAR!$A$2:$B$16, 2, 0)</f>
        <v>Samsung Oficial</v>
      </c>
      <c r="M218" s="54" t="str">
        <f t="shared" si="17"/>
        <v>Prioridad Media</v>
      </c>
      <c r="N218" s="54" t="str">
        <f>VLOOKUP(E218, AUXILIAR!$E$2:$F$4, 2, FALSE)</f>
        <v>ALM-02</v>
      </c>
    </row>
    <row r="219" spans="1:14" ht="15.75" hidden="1" thickBot="1" x14ac:dyDescent="0.3">
      <c r="A219" s="28">
        <v>218</v>
      </c>
      <c r="B219" s="29">
        <v>45509</v>
      </c>
      <c r="C219" s="30" t="s">
        <v>12</v>
      </c>
      <c r="D219" s="31" t="s">
        <v>31</v>
      </c>
      <c r="E219" s="31" t="s">
        <v>17</v>
      </c>
      <c r="F219" s="31" t="s">
        <v>36</v>
      </c>
      <c r="G219" s="31">
        <v>1</v>
      </c>
      <c r="H219" s="32">
        <v>200</v>
      </c>
      <c r="I219" s="31">
        <v>0.15</v>
      </c>
      <c r="J219" s="33">
        <f t="shared" si="14"/>
        <v>200</v>
      </c>
      <c r="K219" s="34" t="str">
        <f t="shared" si="15"/>
        <v>Venta Normal</v>
      </c>
      <c r="L219" s="31" t="str">
        <f>VLOOKUP(D219, AUXILIAR!$A$2:$B$16, 2, 0)</f>
        <v>LG Electronics</v>
      </c>
      <c r="M219"/>
    </row>
    <row r="220" spans="1:14" ht="15.75" thickBot="1" x14ac:dyDescent="0.3">
      <c r="A220" s="35">
        <v>386</v>
      </c>
      <c r="B220" s="36">
        <v>45677</v>
      </c>
      <c r="C220" s="35" t="s">
        <v>10</v>
      </c>
      <c r="D220" s="35" t="s">
        <v>33</v>
      </c>
      <c r="E220" s="35" t="s">
        <v>16</v>
      </c>
      <c r="F220" s="35" t="s">
        <v>34</v>
      </c>
      <c r="G220" s="35">
        <v>13</v>
      </c>
      <c r="H220" s="37">
        <v>3198</v>
      </c>
      <c r="I220" s="35">
        <v>0.04</v>
      </c>
      <c r="J220" s="38">
        <f t="shared" si="14"/>
        <v>41574</v>
      </c>
      <c r="K220" s="55" t="str">
        <f t="shared" si="15"/>
        <v>Venta Grande</v>
      </c>
      <c r="L220" s="58" t="str">
        <f>VLOOKUP(D220, AUXILIAR!$A$2:$B$16, 2, 0)</f>
        <v>LG Electronics</v>
      </c>
      <c r="M220" s="54" t="str">
        <f>IF(AND(E220="Tecnología", J220&gt;20000), "Prioridad Alta", IF(J220&gt;5000, "Prioridad Media", "Prioridad Baja"))</f>
        <v>Prioridad Alta</v>
      </c>
      <c r="N220" s="54" t="str">
        <f>VLOOKUP(E220, AUXILIAR!$E$2:$F$4, 2, FALSE)</f>
        <v>ALM-01</v>
      </c>
    </row>
    <row r="221" spans="1:14" ht="15.75" thickBot="1" x14ac:dyDescent="0.3">
      <c r="A221" s="35">
        <v>438</v>
      </c>
      <c r="B221" s="36">
        <v>45729</v>
      </c>
      <c r="C221" s="35" t="s">
        <v>12</v>
      </c>
      <c r="D221" s="35" t="s">
        <v>31</v>
      </c>
      <c r="E221" s="35" t="s">
        <v>17</v>
      </c>
      <c r="F221" s="35" t="s">
        <v>36</v>
      </c>
      <c r="G221" s="35">
        <v>6</v>
      </c>
      <c r="H221" s="37">
        <v>3188</v>
      </c>
      <c r="I221" s="35">
        <v>0.01</v>
      </c>
      <c r="J221" s="38">
        <f t="shared" si="14"/>
        <v>19128</v>
      </c>
      <c r="K221" s="55" t="str">
        <f t="shared" si="15"/>
        <v>Venta Grande</v>
      </c>
      <c r="L221" s="58" t="str">
        <f>VLOOKUP(D221, AUXILIAR!$A$2:$B$16, 2, 0)</f>
        <v>LG Electronics</v>
      </c>
      <c r="M221" s="54" t="str">
        <f>IF(AND(E221="Tecnología", J221&gt;20000), "Prioridad Alta", IF(J221&gt;5000, "Prioridad Media", "Prioridad Baja"))</f>
        <v>Prioridad Media</v>
      </c>
      <c r="N221" s="54" t="str">
        <f>VLOOKUP(E221, AUXILIAR!$E$2:$F$4, 2, FALSE)</f>
        <v>ALM-02</v>
      </c>
    </row>
    <row r="222" spans="1:14" ht="15.75" thickBot="1" x14ac:dyDescent="0.3">
      <c r="A222" s="35">
        <v>62</v>
      </c>
      <c r="B222" s="36">
        <v>45353</v>
      </c>
      <c r="C222" s="35" t="s">
        <v>11</v>
      </c>
      <c r="D222" s="35" t="s">
        <v>29</v>
      </c>
      <c r="E222" s="35" t="s">
        <v>18</v>
      </c>
      <c r="F222" s="35" t="s">
        <v>35</v>
      </c>
      <c r="G222" s="35">
        <v>8</v>
      </c>
      <c r="H222" s="37">
        <v>3168</v>
      </c>
      <c r="I222" s="35">
        <v>7.0000000000000007E-2</v>
      </c>
      <c r="J222" s="38">
        <f t="shared" si="14"/>
        <v>25344</v>
      </c>
      <c r="K222" s="55" t="str">
        <f t="shared" si="15"/>
        <v>Venta Grande</v>
      </c>
      <c r="L222" s="58" t="str">
        <f>VLOOKUP(D222, AUXILIAR!$A$2:$B$16, 2, 0)</f>
        <v>LG Electronics</v>
      </c>
      <c r="M222" s="54" t="str">
        <f>IF(AND(E222="Tecnología", J222&gt;20000), "Prioridad Alta", IF(J222&gt;5000, "Prioridad Media", "Prioridad Baja"))</f>
        <v>Prioridad Media</v>
      </c>
      <c r="N222" s="54" t="str">
        <f>VLOOKUP(E222, AUXILIAR!$E$2:$F$4, 2, FALSE)</f>
        <v>ALM-03</v>
      </c>
    </row>
    <row r="223" spans="1:14" ht="15.75" thickBot="1" x14ac:dyDescent="0.3">
      <c r="A223" s="35">
        <v>468</v>
      </c>
      <c r="B223" s="36">
        <v>45759</v>
      </c>
      <c r="C223" s="35" t="s">
        <v>12</v>
      </c>
      <c r="D223" s="35" t="s">
        <v>28</v>
      </c>
      <c r="E223" s="35" t="s">
        <v>17</v>
      </c>
      <c r="F223" s="35" t="s">
        <v>36</v>
      </c>
      <c r="G223" s="35">
        <v>4</v>
      </c>
      <c r="H223" s="37">
        <v>3165</v>
      </c>
      <c r="I223" s="35">
        <v>0.15</v>
      </c>
      <c r="J223" s="38">
        <f t="shared" si="14"/>
        <v>12660</v>
      </c>
      <c r="K223" s="55" t="str">
        <f t="shared" si="15"/>
        <v>Venta Grande</v>
      </c>
      <c r="L223" s="58" t="str">
        <f>VLOOKUP(D223, AUXILIAR!$A$2:$B$16, 2, 0)</f>
        <v>Samsung Oficial</v>
      </c>
      <c r="M223" s="54" t="str">
        <f>IF(AND(E223="Tecnología", J223&gt;20000), "Prioridad Alta", IF(J223&gt;5000, "Prioridad Media", "Prioridad Baja"))</f>
        <v>Prioridad Media</v>
      </c>
      <c r="N223" s="54" t="str">
        <f>VLOOKUP(E223, AUXILIAR!$E$2:$F$4, 2, FALSE)</f>
        <v>ALM-02</v>
      </c>
    </row>
    <row r="224" spans="1:14" ht="15.75" thickBot="1" x14ac:dyDescent="0.3">
      <c r="A224" s="35">
        <v>298</v>
      </c>
      <c r="B224" s="36">
        <v>45589</v>
      </c>
      <c r="C224" s="35" t="s">
        <v>12</v>
      </c>
      <c r="D224" s="35" t="s">
        <v>33</v>
      </c>
      <c r="E224" s="35" t="s">
        <v>16</v>
      </c>
      <c r="F224" s="35" t="s">
        <v>36</v>
      </c>
      <c r="G224" s="35">
        <v>2</v>
      </c>
      <c r="H224" s="37">
        <v>3163</v>
      </c>
      <c r="I224" s="35">
        <v>0.02</v>
      </c>
      <c r="J224" s="38">
        <f t="shared" si="14"/>
        <v>6326</v>
      </c>
      <c r="K224" s="55" t="str">
        <f t="shared" si="15"/>
        <v>Venta Grande</v>
      </c>
      <c r="L224" s="58" t="str">
        <f>VLOOKUP(D224, AUXILIAR!$A$2:$B$16, 2, 0)</f>
        <v>LG Electronics</v>
      </c>
      <c r="M224" s="54" t="str">
        <f>IF(AND(E224="Tecnología", J224&gt;20000), "Prioridad Alta", IF(J224&gt;5000, "Prioridad Media", "Prioridad Baja"))</f>
        <v>Prioridad Media</v>
      </c>
      <c r="N224" s="54" t="str">
        <f>VLOOKUP(E224, AUXILIAR!$E$2:$F$4, 2, FALSE)</f>
        <v>ALM-01</v>
      </c>
    </row>
    <row r="225" spans="1:14" ht="15.75" hidden="1" thickBot="1" x14ac:dyDescent="0.3">
      <c r="A225" s="28">
        <v>224</v>
      </c>
      <c r="B225" s="29">
        <v>45515</v>
      </c>
      <c r="C225" s="30" t="s">
        <v>13</v>
      </c>
      <c r="D225" s="31" t="s">
        <v>26</v>
      </c>
      <c r="E225" s="31" t="s">
        <v>18</v>
      </c>
      <c r="F225" s="31" t="s">
        <v>37</v>
      </c>
      <c r="G225" s="31">
        <v>3</v>
      </c>
      <c r="H225" s="32">
        <v>1563</v>
      </c>
      <c r="I225" s="31">
        <v>0.06</v>
      </c>
      <c r="J225" s="33">
        <f t="shared" si="14"/>
        <v>4689</v>
      </c>
      <c r="K225" s="34" t="str">
        <f t="shared" si="15"/>
        <v>Venta Normal</v>
      </c>
      <c r="L225" s="31" t="str">
        <f>VLOOKUP(D225, AUXILIAR!$A$2:$B$16, 2, 0)</f>
        <v>Office Design</v>
      </c>
      <c r="M225"/>
    </row>
    <row r="226" spans="1:14" ht="15.75" thickBot="1" x14ac:dyDescent="0.3">
      <c r="A226" s="35">
        <v>364</v>
      </c>
      <c r="B226" s="36">
        <v>45655</v>
      </c>
      <c r="C226" s="35" t="s">
        <v>13</v>
      </c>
      <c r="D226" s="35" t="s">
        <v>33</v>
      </c>
      <c r="E226" s="35" t="s">
        <v>16</v>
      </c>
      <c r="F226" s="35" t="s">
        <v>37</v>
      </c>
      <c r="G226" s="35">
        <v>20</v>
      </c>
      <c r="H226" s="37">
        <v>3145</v>
      </c>
      <c r="I226" s="35">
        <v>0.13</v>
      </c>
      <c r="J226" s="38">
        <f t="shared" si="14"/>
        <v>62900</v>
      </c>
      <c r="K226" s="55" t="str">
        <f t="shared" si="15"/>
        <v>Venta Grande</v>
      </c>
      <c r="L226" s="58" t="str">
        <f>VLOOKUP(D226, AUXILIAR!$A$2:$B$16, 2, 0)</f>
        <v>LG Electronics</v>
      </c>
      <c r="M226" s="54" t="str">
        <f>IF(AND(E226="Tecnología", J226&gt;20000), "Prioridad Alta", IF(J226&gt;5000, "Prioridad Media", "Prioridad Baja"))</f>
        <v>Prioridad Alta</v>
      </c>
      <c r="N226" s="54" t="str">
        <f>VLOOKUP(E226, AUXILIAR!$E$2:$F$4, 2, FALSE)</f>
        <v>ALM-01</v>
      </c>
    </row>
    <row r="227" spans="1:14" ht="15.75" thickBot="1" x14ac:dyDescent="0.3">
      <c r="A227" s="35">
        <v>408</v>
      </c>
      <c r="B227" s="36">
        <v>45699</v>
      </c>
      <c r="C227" s="35" t="s">
        <v>12</v>
      </c>
      <c r="D227" s="35" t="s">
        <v>33</v>
      </c>
      <c r="E227" s="35" t="s">
        <v>16</v>
      </c>
      <c r="F227" s="35" t="s">
        <v>36</v>
      </c>
      <c r="G227" s="35">
        <v>11</v>
      </c>
      <c r="H227" s="37">
        <v>3137</v>
      </c>
      <c r="I227" s="35">
        <v>0.14000000000000001</v>
      </c>
      <c r="J227" s="38">
        <f t="shared" si="14"/>
        <v>34507</v>
      </c>
      <c r="K227" s="55" t="str">
        <f t="shared" si="15"/>
        <v>Venta Grande</v>
      </c>
      <c r="L227" s="58" t="str">
        <f>VLOOKUP(D227, AUXILIAR!$A$2:$B$16, 2, 0)</f>
        <v>LG Electronics</v>
      </c>
      <c r="M227" s="54" t="str">
        <f>IF(AND(E227="Tecnología", J227&gt;20000), "Prioridad Alta", IF(J227&gt;5000, "Prioridad Media", "Prioridad Baja"))</f>
        <v>Prioridad Alta</v>
      </c>
      <c r="N227" s="54" t="str">
        <f>VLOOKUP(E227, AUXILIAR!$E$2:$F$4, 2, FALSE)</f>
        <v>ALM-01</v>
      </c>
    </row>
    <row r="228" spans="1:14" ht="15.75" thickBot="1" x14ac:dyDescent="0.3">
      <c r="A228" s="35">
        <v>248</v>
      </c>
      <c r="B228" s="36">
        <v>45539</v>
      </c>
      <c r="C228" s="35" t="s">
        <v>12</v>
      </c>
      <c r="D228" s="35" t="s">
        <v>28</v>
      </c>
      <c r="E228" s="35" t="s">
        <v>17</v>
      </c>
      <c r="F228" s="35" t="s">
        <v>36</v>
      </c>
      <c r="G228" s="35">
        <v>18</v>
      </c>
      <c r="H228" s="37">
        <v>3115</v>
      </c>
      <c r="I228" s="35">
        <v>0.02</v>
      </c>
      <c r="J228" s="38">
        <f t="shared" si="14"/>
        <v>56070</v>
      </c>
      <c r="K228" s="55" t="str">
        <f t="shared" si="15"/>
        <v>Venta Grande</v>
      </c>
      <c r="L228" s="58" t="str">
        <f>VLOOKUP(D228, AUXILIAR!$A$2:$B$16, 2, 0)</f>
        <v>Samsung Oficial</v>
      </c>
      <c r="M228" s="54" t="str">
        <f>IF(AND(E228="Tecnología", J228&gt;20000), "Prioridad Alta", IF(J228&gt;5000, "Prioridad Media", "Prioridad Baja"))</f>
        <v>Prioridad Media</v>
      </c>
      <c r="N228" s="54" t="str">
        <f>VLOOKUP(E228, AUXILIAR!$E$2:$F$4, 2, FALSE)</f>
        <v>ALM-02</v>
      </c>
    </row>
    <row r="229" spans="1:14" ht="15.75" thickBot="1" x14ac:dyDescent="0.3">
      <c r="A229" s="35">
        <v>474</v>
      </c>
      <c r="B229" s="36">
        <v>45765</v>
      </c>
      <c r="C229" s="35" t="s">
        <v>13</v>
      </c>
      <c r="D229" s="35" t="s">
        <v>33</v>
      </c>
      <c r="E229" s="35" t="s">
        <v>16</v>
      </c>
      <c r="F229" s="35" t="s">
        <v>37</v>
      </c>
      <c r="G229" s="35">
        <v>15</v>
      </c>
      <c r="H229" s="37">
        <v>3114</v>
      </c>
      <c r="I229" s="35">
        <v>0.04</v>
      </c>
      <c r="J229" s="38">
        <f t="shared" si="14"/>
        <v>46710</v>
      </c>
      <c r="K229" s="55" t="str">
        <f t="shared" si="15"/>
        <v>Venta Grande</v>
      </c>
      <c r="L229" s="58" t="str">
        <f>VLOOKUP(D229, AUXILIAR!$A$2:$B$16, 2, 0)</f>
        <v>LG Electronics</v>
      </c>
      <c r="M229" s="54" t="str">
        <f>IF(AND(E229="Tecnología", J229&gt;20000), "Prioridad Alta", IF(J229&gt;5000, "Prioridad Media", "Prioridad Baja"))</f>
        <v>Prioridad Alta</v>
      </c>
      <c r="N229" s="54" t="str">
        <f>VLOOKUP(E229, AUXILIAR!$E$2:$F$4, 2, FALSE)</f>
        <v>ALM-01</v>
      </c>
    </row>
    <row r="230" spans="1:14" ht="15.75" hidden="1" thickBot="1" x14ac:dyDescent="0.3">
      <c r="A230" s="28">
        <v>229</v>
      </c>
      <c r="B230" s="29">
        <v>45520</v>
      </c>
      <c r="C230" s="30" t="s">
        <v>13</v>
      </c>
      <c r="D230" s="31" t="s">
        <v>31</v>
      </c>
      <c r="E230" s="31" t="s">
        <v>17</v>
      </c>
      <c r="F230" s="31" t="s">
        <v>37</v>
      </c>
      <c r="G230" s="31">
        <v>1</v>
      </c>
      <c r="H230" s="32">
        <v>3422</v>
      </c>
      <c r="I230" s="31">
        <v>0.15</v>
      </c>
      <c r="J230" s="33">
        <f t="shared" si="14"/>
        <v>3422</v>
      </c>
      <c r="K230" s="34" t="str">
        <f t="shared" si="15"/>
        <v>Venta Normal</v>
      </c>
      <c r="L230" s="31" t="str">
        <f>VLOOKUP(D230, AUXILIAR!$A$2:$B$16, 2, 0)</f>
        <v>LG Electronics</v>
      </c>
      <c r="M230"/>
    </row>
    <row r="231" spans="1:14" ht="15.75" thickBot="1" x14ac:dyDescent="0.3">
      <c r="A231" s="35">
        <v>405</v>
      </c>
      <c r="B231" s="36">
        <v>45696</v>
      </c>
      <c r="C231" s="35" t="s">
        <v>14</v>
      </c>
      <c r="D231" s="35" t="s">
        <v>31</v>
      </c>
      <c r="E231" s="35" t="s">
        <v>17</v>
      </c>
      <c r="F231" s="35" t="s">
        <v>38</v>
      </c>
      <c r="G231" s="35">
        <v>12</v>
      </c>
      <c r="H231" s="37">
        <v>3089</v>
      </c>
      <c r="I231" s="35">
        <v>0.14000000000000001</v>
      </c>
      <c r="J231" s="38">
        <f t="shared" si="14"/>
        <v>37068</v>
      </c>
      <c r="K231" s="55" t="str">
        <f t="shared" si="15"/>
        <v>Venta Grande</v>
      </c>
      <c r="L231" s="58" t="str">
        <f>VLOOKUP(D231, AUXILIAR!$A$2:$B$16, 2, 0)</f>
        <v>LG Electronics</v>
      </c>
      <c r="M231" s="54" t="str">
        <f>IF(AND(E231="Tecnología", J231&gt;20000), "Prioridad Alta", IF(J231&gt;5000, "Prioridad Media", "Prioridad Baja"))</f>
        <v>Prioridad Media</v>
      </c>
      <c r="N231" s="54" t="str">
        <f>VLOOKUP(E231, AUXILIAR!$E$2:$F$4, 2, FALSE)</f>
        <v>ALM-02</v>
      </c>
    </row>
    <row r="232" spans="1:14" ht="15.75" thickBot="1" x14ac:dyDescent="0.3">
      <c r="A232" s="35">
        <v>373</v>
      </c>
      <c r="B232" s="36">
        <v>45664</v>
      </c>
      <c r="C232" s="35" t="s">
        <v>12</v>
      </c>
      <c r="D232" s="35" t="s">
        <v>32</v>
      </c>
      <c r="E232" s="35" t="s">
        <v>18</v>
      </c>
      <c r="F232" s="35" t="s">
        <v>36</v>
      </c>
      <c r="G232" s="35">
        <v>7</v>
      </c>
      <c r="H232" s="37">
        <v>3087</v>
      </c>
      <c r="I232" s="35">
        <v>0.11</v>
      </c>
      <c r="J232" s="38">
        <f t="shared" si="14"/>
        <v>21609</v>
      </c>
      <c r="K232" s="55" t="str">
        <f t="shared" si="15"/>
        <v>Venta Grande</v>
      </c>
      <c r="L232" s="58" t="str">
        <f>VLOOKUP(D232, AUXILIAR!$A$2:$B$16, 2, 0)</f>
        <v>Samsung Oficial</v>
      </c>
      <c r="M232" s="54" t="str">
        <f>IF(AND(E232="Tecnología", J232&gt;20000), "Prioridad Alta", IF(J232&gt;5000, "Prioridad Media", "Prioridad Baja"))</f>
        <v>Prioridad Media</v>
      </c>
      <c r="N232" s="54" t="str">
        <f>VLOOKUP(E232, AUXILIAR!$E$2:$F$4, 2, FALSE)</f>
        <v>ALM-03</v>
      </c>
    </row>
    <row r="233" spans="1:14" ht="15.75" hidden="1" thickBot="1" x14ac:dyDescent="0.3">
      <c r="A233" s="28">
        <v>232</v>
      </c>
      <c r="B233" s="29">
        <v>45523</v>
      </c>
      <c r="C233" s="30" t="s">
        <v>11</v>
      </c>
      <c r="D233" s="31" t="s">
        <v>33</v>
      </c>
      <c r="E233" s="31" t="s">
        <v>16</v>
      </c>
      <c r="F233" s="31" t="s">
        <v>35</v>
      </c>
      <c r="G233" s="31">
        <v>7</v>
      </c>
      <c r="H233" s="32">
        <v>486</v>
      </c>
      <c r="I233" s="31">
        <v>0.08</v>
      </c>
      <c r="J233" s="33">
        <f t="shared" si="14"/>
        <v>3402</v>
      </c>
      <c r="K233" s="34" t="str">
        <f t="shared" si="15"/>
        <v>Venta Normal</v>
      </c>
      <c r="L233" s="31" t="str">
        <f>VLOOKUP(D233, AUXILIAR!$A$2:$B$16, 2, 0)</f>
        <v>LG Electronics</v>
      </c>
      <c r="M233"/>
    </row>
    <row r="234" spans="1:14" ht="15.75" thickBot="1" x14ac:dyDescent="0.3">
      <c r="A234" s="35">
        <v>68</v>
      </c>
      <c r="B234" s="36">
        <v>45359</v>
      </c>
      <c r="C234" s="35" t="s">
        <v>12</v>
      </c>
      <c r="D234" s="35" t="s">
        <v>24</v>
      </c>
      <c r="E234" s="35" t="s">
        <v>16</v>
      </c>
      <c r="F234" s="35" t="s">
        <v>36</v>
      </c>
      <c r="G234" s="35">
        <v>2</v>
      </c>
      <c r="H234" s="37">
        <v>3060</v>
      </c>
      <c r="I234" s="35">
        <v>0.09</v>
      </c>
      <c r="J234" s="38">
        <f t="shared" si="14"/>
        <v>6120</v>
      </c>
      <c r="K234" s="55" t="str">
        <f t="shared" si="15"/>
        <v>Venta Grande</v>
      </c>
      <c r="L234" s="58" t="str">
        <f>VLOOKUP(D234, AUXILIAR!$A$2:$B$16, 2, 0)</f>
        <v>Samsung Oficial</v>
      </c>
      <c r="M234" s="54" t="str">
        <f>IF(AND(E234="Tecnología", J234&gt;20000), "Prioridad Alta", IF(J234&gt;5000, "Prioridad Media", "Prioridad Baja"))</f>
        <v>Prioridad Media</v>
      </c>
      <c r="N234" s="54" t="str">
        <f>VLOOKUP(E234, AUXILIAR!$E$2:$F$4, 2, FALSE)</f>
        <v>ALM-01</v>
      </c>
    </row>
    <row r="235" spans="1:14" ht="15.75" thickBot="1" x14ac:dyDescent="0.3">
      <c r="A235" s="35">
        <v>169</v>
      </c>
      <c r="B235" s="36">
        <v>45460</v>
      </c>
      <c r="C235" s="35" t="s">
        <v>13</v>
      </c>
      <c r="D235" s="35" t="s">
        <v>26</v>
      </c>
      <c r="E235" s="35" t="s">
        <v>18</v>
      </c>
      <c r="F235" s="35" t="s">
        <v>37</v>
      </c>
      <c r="G235" s="35">
        <v>10</v>
      </c>
      <c r="H235" s="37">
        <v>3057</v>
      </c>
      <c r="I235" s="35">
        <v>0.14000000000000001</v>
      </c>
      <c r="J235" s="38">
        <f t="shared" si="14"/>
        <v>30570</v>
      </c>
      <c r="K235" s="55" t="str">
        <f t="shared" si="15"/>
        <v>Venta Grande</v>
      </c>
      <c r="L235" s="58" t="str">
        <f>VLOOKUP(D235, AUXILIAR!$A$2:$B$16, 2, 0)</f>
        <v>Office Design</v>
      </c>
      <c r="M235" s="54" t="str">
        <f>IF(AND(E235="Tecnología", J235&gt;20000), "Prioridad Alta", IF(J235&gt;5000, "Prioridad Media", "Prioridad Baja"))</f>
        <v>Prioridad Media</v>
      </c>
      <c r="N235" s="54" t="str">
        <f>VLOOKUP(E235, AUXILIAR!$E$2:$F$4, 2, FALSE)</f>
        <v>ALM-03</v>
      </c>
    </row>
    <row r="236" spans="1:14" ht="15.75" thickBot="1" x14ac:dyDescent="0.3">
      <c r="A236" s="35">
        <v>453</v>
      </c>
      <c r="B236" s="36">
        <v>45744</v>
      </c>
      <c r="C236" s="35" t="s">
        <v>12</v>
      </c>
      <c r="D236" s="35" t="s">
        <v>24</v>
      </c>
      <c r="E236" s="35" t="s">
        <v>16</v>
      </c>
      <c r="F236" s="35" t="s">
        <v>36</v>
      </c>
      <c r="G236" s="35">
        <v>20</v>
      </c>
      <c r="H236" s="37">
        <v>3056</v>
      </c>
      <c r="I236" s="35">
        <v>0.06</v>
      </c>
      <c r="J236" s="38">
        <f t="shared" si="14"/>
        <v>61120</v>
      </c>
      <c r="K236" s="55" t="str">
        <f t="shared" si="15"/>
        <v>Venta Grande</v>
      </c>
      <c r="L236" s="58" t="str">
        <f>VLOOKUP(D236, AUXILIAR!$A$2:$B$16, 2, 0)</f>
        <v>Samsung Oficial</v>
      </c>
      <c r="M236" s="54" t="str">
        <f>IF(AND(E236="Tecnología", J236&gt;20000), "Prioridad Alta", IF(J236&gt;5000, "Prioridad Media", "Prioridad Baja"))</f>
        <v>Prioridad Alta</v>
      </c>
      <c r="N236" s="54" t="str">
        <f>VLOOKUP(E236, AUXILIAR!$E$2:$F$4, 2, FALSE)</f>
        <v>ALM-01</v>
      </c>
    </row>
    <row r="237" spans="1:14" ht="15.75" thickBot="1" x14ac:dyDescent="0.3">
      <c r="A237" s="35">
        <v>265</v>
      </c>
      <c r="B237" s="36">
        <v>45556</v>
      </c>
      <c r="C237" s="35" t="s">
        <v>14</v>
      </c>
      <c r="D237" s="35" t="s">
        <v>33</v>
      </c>
      <c r="E237" s="35" t="s">
        <v>16</v>
      </c>
      <c r="F237" s="35" t="s">
        <v>38</v>
      </c>
      <c r="G237" s="35">
        <v>14</v>
      </c>
      <c r="H237" s="37">
        <v>3052</v>
      </c>
      <c r="I237" s="35">
        <v>0.06</v>
      </c>
      <c r="J237" s="38">
        <f t="shared" si="14"/>
        <v>42728</v>
      </c>
      <c r="K237" s="55" t="str">
        <f t="shared" si="15"/>
        <v>Venta Grande</v>
      </c>
      <c r="L237" s="58" t="str">
        <f>VLOOKUP(D237, AUXILIAR!$A$2:$B$16, 2, 0)</f>
        <v>LG Electronics</v>
      </c>
      <c r="M237" s="54" t="str">
        <f>IF(AND(E237="Tecnología", J237&gt;20000), "Prioridad Alta", IF(J237&gt;5000, "Prioridad Media", "Prioridad Baja"))</f>
        <v>Prioridad Alta</v>
      </c>
      <c r="N237" s="54" t="str">
        <f>VLOOKUP(E237, AUXILIAR!$E$2:$F$4, 2, FALSE)</f>
        <v>ALM-01</v>
      </c>
    </row>
    <row r="238" spans="1:14" ht="15.75" thickBot="1" x14ac:dyDescent="0.3">
      <c r="A238" s="35">
        <v>469</v>
      </c>
      <c r="B238" s="36">
        <v>45760</v>
      </c>
      <c r="C238" s="35" t="s">
        <v>13</v>
      </c>
      <c r="D238" s="35" t="s">
        <v>29</v>
      </c>
      <c r="E238" s="35" t="s">
        <v>18</v>
      </c>
      <c r="F238" s="35" t="s">
        <v>37</v>
      </c>
      <c r="G238" s="35">
        <v>17</v>
      </c>
      <c r="H238" s="37">
        <v>3039</v>
      </c>
      <c r="I238" s="35">
        <v>0.09</v>
      </c>
      <c r="J238" s="38">
        <f t="shared" si="14"/>
        <v>51663</v>
      </c>
      <c r="K238" s="55" t="str">
        <f t="shared" si="15"/>
        <v>Venta Grande</v>
      </c>
      <c r="L238" s="58" t="str">
        <f>VLOOKUP(D238, AUXILIAR!$A$2:$B$16, 2, 0)</f>
        <v>LG Electronics</v>
      </c>
      <c r="M238" s="54" t="str">
        <f>IF(AND(E238="Tecnología", J238&gt;20000), "Prioridad Alta", IF(J238&gt;5000, "Prioridad Media", "Prioridad Baja"))</f>
        <v>Prioridad Media</v>
      </c>
      <c r="N238" s="54" t="str">
        <f>VLOOKUP(E238, AUXILIAR!$E$2:$F$4, 2, FALSE)</f>
        <v>ALM-03</v>
      </c>
    </row>
    <row r="239" spans="1:14" ht="15.75" hidden="1" thickBot="1" x14ac:dyDescent="0.3">
      <c r="A239" s="28">
        <v>238</v>
      </c>
      <c r="B239" s="29">
        <v>45529</v>
      </c>
      <c r="C239" s="30" t="s">
        <v>12</v>
      </c>
      <c r="D239" s="31" t="s">
        <v>29</v>
      </c>
      <c r="E239" s="31" t="s">
        <v>18</v>
      </c>
      <c r="F239" s="31" t="s">
        <v>36</v>
      </c>
      <c r="G239" s="31">
        <v>1</v>
      </c>
      <c r="H239" s="32">
        <v>959</v>
      </c>
      <c r="I239" s="31">
        <v>0.04</v>
      </c>
      <c r="J239" s="33">
        <f t="shared" si="14"/>
        <v>959</v>
      </c>
      <c r="K239" s="34" t="str">
        <f t="shared" si="15"/>
        <v>Venta Normal</v>
      </c>
      <c r="L239" s="31" t="str">
        <f>VLOOKUP(D239, AUXILIAR!$A$2:$B$16, 2, 0)</f>
        <v>LG Electronics</v>
      </c>
      <c r="M239"/>
    </row>
    <row r="240" spans="1:14" ht="15.75" thickBot="1" x14ac:dyDescent="0.3">
      <c r="A240" s="35">
        <v>292</v>
      </c>
      <c r="B240" s="36">
        <v>45583</v>
      </c>
      <c r="C240" s="35" t="s">
        <v>11</v>
      </c>
      <c r="D240" s="35" t="s">
        <v>28</v>
      </c>
      <c r="E240" s="35" t="s">
        <v>17</v>
      </c>
      <c r="F240" s="35" t="s">
        <v>35</v>
      </c>
      <c r="G240" s="35">
        <v>9</v>
      </c>
      <c r="H240" s="37">
        <v>3030</v>
      </c>
      <c r="I240" s="35">
        <v>0.15</v>
      </c>
      <c r="J240" s="38">
        <f t="shared" si="14"/>
        <v>27270</v>
      </c>
      <c r="K240" s="55" t="str">
        <f t="shared" si="15"/>
        <v>Venta Grande</v>
      </c>
      <c r="L240" s="58" t="str">
        <f>VLOOKUP(D240, AUXILIAR!$A$2:$B$16, 2, 0)</f>
        <v>Samsung Oficial</v>
      </c>
      <c r="M240" s="54" t="str">
        <f t="shared" ref="M240:M251" si="18">IF(AND(E240="Tecnología", J240&gt;20000), "Prioridad Alta", IF(J240&gt;5000, "Prioridad Media", "Prioridad Baja"))</f>
        <v>Prioridad Media</v>
      </c>
      <c r="N240" s="54" t="str">
        <f>VLOOKUP(E240, AUXILIAR!$E$2:$F$4, 2, FALSE)</f>
        <v>ALM-02</v>
      </c>
    </row>
    <row r="241" spans="1:14" ht="15.75" thickBot="1" x14ac:dyDescent="0.3">
      <c r="A241" s="35">
        <v>478</v>
      </c>
      <c r="B241" s="36">
        <v>45769</v>
      </c>
      <c r="C241" s="35" t="s">
        <v>12</v>
      </c>
      <c r="D241" s="35" t="s">
        <v>27</v>
      </c>
      <c r="E241" s="35" t="s">
        <v>16</v>
      </c>
      <c r="F241" s="35" t="s">
        <v>36</v>
      </c>
      <c r="G241" s="35">
        <v>19</v>
      </c>
      <c r="H241" s="37">
        <v>2982</v>
      </c>
      <c r="I241" s="35">
        <v>0.04</v>
      </c>
      <c r="J241" s="38">
        <f t="shared" si="14"/>
        <v>56658</v>
      </c>
      <c r="K241" s="55" t="str">
        <f t="shared" si="15"/>
        <v>Venta Grande</v>
      </c>
      <c r="L241" s="58" t="str">
        <f>VLOOKUP(D241, AUXILIAR!$A$2:$B$16, 2, 0)</f>
        <v>LG Electronics</v>
      </c>
      <c r="M241" s="54" t="str">
        <f t="shared" si="18"/>
        <v>Prioridad Alta</v>
      </c>
      <c r="N241" s="54" t="str">
        <f>VLOOKUP(E241, AUXILIAR!$E$2:$F$4, 2, FALSE)</f>
        <v>ALM-01</v>
      </c>
    </row>
    <row r="242" spans="1:14" ht="15.75" thickBot="1" x14ac:dyDescent="0.3">
      <c r="A242" s="35">
        <v>422</v>
      </c>
      <c r="B242" s="36">
        <v>45713</v>
      </c>
      <c r="C242" s="35" t="s">
        <v>11</v>
      </c>
      <c r="D242" s="35" t="s">
        <v>26</v>
      </c>
      <c r="E242" s="35" t="s">
        <v>18</v>
      </c>
      <c r="F242" s="35" t="s">
        <v>35</v>
      </c>
      <c r="G242" s="35">
        <v>10</v>
      </c>
      <c r="H242" s="37">
        <v>2947</v>
      </c>
      <c r="I242" s="35">
        <v>7.0000000000000007E-2</v>
      </c>
      <c r="J242" s="38">
        <f t="shared" si="14"/>
        <v>29470</v>
      </c>
      <c r="K242" s="55" t="str">
        <f t="shared" si="15"/>
        <v>Venta Grande</v>
      </c>
      <c r="L242" s="58" t="str">
        <f>VLOOKUP(D242, AUXILIAR!$A$2:$B$16, 2, 0)</f>
        <v>Office Design</v>
      </c>
      <c r="M242" s="54" t="str">
        <f t="shared" si="18"/>
        <v>Prioridad Media</v>
      </c>
      <c r="N242" s="54" t="str">
        <f>VLOOKUP(E242, AUXILIAR!$E$2:$F$4, 2, FALSE)</f>
        <v>ALM-03</v>
      </c>
    </row>
    <row r="243" spans="1:14" ht="15.75" thickBot="1" x14ac:dyDescent="0.3">
      <c r="A243" s="35">
        <v>144</v>
      </c>
      <c r="B243" s="36">
        <v>45435</v>
      </c>
      <c r="C243" s="35" t="s">
        <v>13</v>
      </c>
      <c r="D243" s="35" t="s">
        <v>33</v>
      </c>
      <c r="E243" s="35" t="s">
        <v>16</v>
      </c>
      <c r="F243" s="35" t="s">
        <v>37</v>
      </c>
      <c r="G243" s="35">
        <v>20</v>
      </c>
      <c r="H243" s="37">
        <v>2942</v>
      </c>
      <c r="I243" s="35">
        <v>7.0000000000000007E-2</v>
      </c>
      <c r="J243" s="38">
        <f t="shared" si="14"/>
        <v>58840</v>
      </c>
      <c r="K243" s="55" t="str">
        <f t="shared" si="15"/>
        <v>Venta Grande</v>
      </c>
      <c r="L243" s="58" t="str">
        <f>VLOOKUP(D243, AUXILIAR!$A$2:$B$16, 2, 0)</f>
        <v>LG Electronics</v>
      </c>
      <c r="M243" s="54" t="str">
        <f t="shared" si="18"/>
        <v>Prioridad Alta</v>
      </c>
      <c r="N243" s="54" t="str">
        <f>VLOOKUP(E243, AUXILIAR!$E$2:$F$4, 2, FALSE)</f>
        <v>ALM-01</v>
      </c>
    </row>
    <row r="244" spans="1:14" ht="15.75" thickBot="1" x14ac:dyDescent="0.3">
      <c r="A244" s="35">
        <v>498</v>
      </c>
      <c r="B244" s="36">
        <v>45789</v>
      </c>
      <c r="C244" s="35" t="s">
        <v>12</v>
      </c>
      <c r="D244" s="35" t="s">
        <v>25</v>
      </c>
      <c r="E244" s="35" t="s">
        <v>17</v>
      </c>
      <c r="F244" s="35" t="s">
        <v>36</v>
      </c>
      <c r="G244" s="35">
        <v>2</v>
      </c>
      <c r="H244" s="37">
        <v>2941</v>
      </c>
      <c r="I244" s="35">
        <v>0.04</v>
      </c>
      <c r="J244" s="38">
        <f t="shared" si="14"/>
        <v>5882</v>
      </c>
      <c r="K244" s="55" t="str">
        <f t="shared" si="15"/>
        <v>Venta Grande</v>
      </c>
      <c r="L244" s="58" t="str">
        <f>VLOOKUP(D244, AUXILIAR!$A$2:$B$16, 2, 0)</f>
        <v>LG Electronics</v>
      </c>
      <c r="M244" s="54" t="str">
        <f t="shared" si="18"/>
        <v>Prioridad Media</v>
      </c>
      <c r="N244" s="54" t="str">
        <f>VLOOKUP(E244, AUXILIAR!$E$2:$F$4, 2, FALSE)</f>
        <v>ALM-02</v>
      </c>
    </row>
    <row r="245" spans="1:14" ht="15.75" thickBot="1" x14ac:dyDescent="0.3">
      <c r="A245" s="35">
        <v>95</v>
      </c>
      <c r="B245" s="36">
        <v>45386</v>
      </c>
      <c r="C245" s="35" t="s">
        <v>14</v>
      </c>
      <c r="D245" s="35" t="s">
        <v>29</v>
      </c>
      <c r="E245" s="35" t="s">
        <v>18</v>
      </c>
      <c r="F245" s="35" t="s">
        <v>38</v>
      </c>
      <c r="G245" s="35">
        <v>19</v>
      </c>
      <c r="H245" s="37">
        <v>2936</v>
      </c>
      <c r="I245" s="35">
        <v>0.08</v>
      </c>
      <c r="J245" s="38">
        <f t="shared" si="14"/>
        <v>55784</v>
      </c>
      <c r="K245" s="55" t="str">
        <f t="shared" si="15"/>
        <v>Venta Grande</v>
      </c>
      <c r="L245" s="58" t="str">
        <f>VLOOKUP(D245, AUXILIAR!$A$2:$B$16, 2, 0)</f>
        <v>LG Electronics</v>
      </c>
      <c r="M245" s="54" t="str">
        <f t="shared" si="18"/>
        <v>Prioridad Media</v>
      </c>
      <c r="N245" s="54" t="str">
        <f>VLOOKUP(E245, AUXILIAR!$E$2:$F$4, 2, FALSE)</f>
        <v>ALM-03</v>
      </c>
    </row>
    <row r="246" spans="1:14" ht="15.75" thickBot="1" x14ac:dyDescent="0.3">
      <c r="A246" s="35">
        <v>392</v>
      </c>
      <c r="B246" s="36">
        <v>45683</v>
      </c>
      <c r="C246" s="35" t="s">
        <v>11</v>
      </c>
      <c r="D246" s="35" t="s">
        <v>29</v>
      </c>
      <c r="E246" s="35" t="s">
        <v>18</v>
      </c>
      <c r="F246" s="35" t="s">
        <v>35</v>
      </c>
      <c r="G246" s="35">
        <v>6</v>
      </c>
      <c r="H246" s="37">
        <v>2928</v>
      </c>
      <c r="I246" s="35">
        <v>0.04</v>
      </c>
      <c r="J246" s="38">
        <f t="shared" si="14"/>
        <v>17568</v>
      </c>
      <c r="K246" s="55" t="str">
        <f t="shared" si="15"/>
        <v>Venta Grande</v>
      </c>
      <c r="L246" s="58" t="str">
        <f>VLOOKUP(D246, AUXILIAR!$A$2:$B$16, 2, 0)</f>
        <v>LG Electronics</v>
      </c>
      <c r="M246" s="54" t="str">
        <f t="shared" si="18"/>
        <v>Prioridad Media</v>
      </c>
      <c r="N246" s="54" t="str">
        <f>VLOOKUP(E246, AUXILIAR!$E$2:$F$4, 2, FALSE)</f>
        <v>ALM-03</v>
      </c>
    </row>
    <row r="247" spans="1:14" ht="15.75" thickBot="1" x14ac:dyDescent="0.3">
      <c r="A247" s="35">
        <v>219</v>
      </c>
      <c r="B247" s="36">
        <v>45510</v>
      </c>
      <c r="C247" s="35" t="s">
        <v>13</v>
      </c>
      <c r="D247" s="35" t="s">
        <v>32</v>
      </c>
      <c r="E247" s="35" t="s">
        <v>18</v>
      </c>
      <c r="F247" s="35" t="s">
        <v>37</v>
      </c>
      <c r="G247" s="35">
        <v>5</v>
      </c>
      <c r="H247" s="37">
        <v>2909</v>
      </c>
      <c r="I247" s="35">
        <v>0.13</v>
      </c>
      <c r="J247" s="38">
        <f t="shared" si="14"/>
        <v>14545</v>
      </c>
      <c r="K247" s="55" t="str">
        <f t="shared" si="15"/>
        <v>Venta Grande</v>
      </c>
      <c r="L247" s="58" t="str">
        <f>VLOOKUP(D247, AUXILIAR!$A$2:$B$16, 2, 0)</f>
        <v>Samsung Oficial</v>
      </c>
      <c r="M247" s="54" t="str">
        <f t="shared" si="18"/>
        <v>Prioridad Media</v>
      </c>
      <c r="N247" s="54" t="str">
        <f>VLOOKUP(E247, AUXILIAR!$E$2:$F$4, 2, FALSE)</f>
        <v>ALM-03</v>
      </c>
    </row>
    <row r="248" spans="1:14" ht="15.75" thickBot="1" x14ac:dyDescent="0.3">
      <c r="A248" s="35">
        <v>77</v>
      </c>
      <c r="B248" s="36">
        <v>45368</v>
      </c>
      <c r="C248" s="35" t="s">
        <v>11</v>
      </c>
      <c r="D248" s="35" t="s">
        <v>33</v>
      </c>
      <c r="E248" s="35" t="s">
        <v>16</v>
      </c>
      <c r="F248" s="35" t="s">
        <v>35</v>
      </c>
      <c r="G248" s="35">
        <v>12</v>
      </c>
      <c r="H248" s="37">
        <v>2865</v>
      </c>
      <c r="I248" s="35">
        <v>0.08</v>
      </c>
      <c r="J248" s="38">
        <f t="shared" si="14"/>
        <v>34380</v>
      </c>
      <c r="K248" s="55" t="str">
        <f t="shared" si="15"/>
        <v>Venta Grande</v>
      </c>
      <c r="L248" s="58" t="str">
        <f>VLOOKUP(D248, AUXILIAR!$A$2:$B$16, 2, 0)</f>
        <v>LG Electronics</v>
      </c>
      <c r="M248" s="54" t="str">
        <f t="shared" si="18"/>
        <v>Prioridad Alta</v>
      </c>
      <c r="N248" s="54" t="str">
        <f>VLOOKUP(E248, AUXILIAR!$E$2:$F$4, 2, FALSE)</f>
        <v>ALM-01</v>
      </c>
    </row>
    <row r="249" spans="1:14" ht="15.75" thickBot="1" x14ac:dyDescent="0.3">
      <c r="A249" s="35">
        <v>434</v>
      </c>
      <c r="B249" s="36">
        <v>45725</v>
      </c>
      <c r="C249" s="35" t="s">
        <v>13</v>
      </c>
      <c r="D249" s="35" t="s">
        <v>27</v>
      </c>
      <c r="E249" s="35" t="s">
        <v>16</v>
      </c>
      <c r="F249" s="35" t="s">
        <v>37</v>
      </c>
      <c r="G249" s="35">
        <v>7</v>
      </c>
      <c r="H249" s="37">
        <v>2854</v>
      </c>
      <c r="I249" s="35">
        <v>0.03</v>
      </c>
      <c r="J249" s="38">
        <f t="shared" si="14"/>
        <v>19978</v>
      </c>
      <c r="K249" s="55" t="str">
        <f t="shared" si="15"/>
        <v>Venta Grande</v>
      </c>
      <c r="L249" s="58" t="str">
        <f>VLOOKUP(D249, AUXILIAR!$A$2:$B$16, 2, 0)</f>
        <v>LG Electronics</v>
      </c>
      <c r="M249" s="54" t="str">
        <f t="shared" si="18"/>
        <v>Prioridad Media</v>
      </c>
      <c r="N249" s="54" t="str">
        <f>VLOOKUP(E249, AUXILIAR!$E$2:$F$4, 2, FALSE)</f>
        <v>ALM-01</v>
      </c>
    </row>
    <row r="250" spans="1:14" ht="15.75" thickBot="1" x14ac:dyDescent="0.3">
      <c r="A250" s="35">
        <v>376</v>
      </c>
      <c r="B250" s="36">
        <v>45667</v>
      </c>
      <c r="C250" s="35" t="s">
        <v>10</v>
      </c>
      <c r="D250" s="35" t="s">
        <v>24</v>
      </c>
      <c r="E250" s="35" t="s">
        <v>16</v>
      </c>
      <c r="F250" s="35" t="s">
        <v>34</v>
      </c>
      <c r="G250" s="35">
        <v>10</v>
      </c>
      <c r="H250" s="37">
        <v>2852</v>
      </c>
      <c r="I250" s="35">
        <v>0.08</v>
      </c>
      <c r="J250" s="38">
        <f t="shared" si="14"/>
        <v>28520</v>
      </c>
      <c r="K250" s="55" t="str">
        <f t="shared" si="15"/>
        <v>Venta Grande</v>
      </c>
      <c r="L250" s="58" t="str">
        <f>VLOOKUP(D250, AUXILIAR!$A$2:$B$16, 2, 0)</f>
        <v>Samsung Oficial</v>
      </c>
      <c r="M250" s="54" t="str">
        <f t="shared" si="18"/>
        <v>Prioridad Alta</v>
      </c>
      <c r="N250" s="54" t="str">
        <f>VLOOKUP(E250, AUXILIAR!$E$2:$F$4, 2, FALSE)</f>
        <v>ALM-01</v>
      </c>
    </row>
    <row r="251" spans="1:14" ht="15.75" thickBot="1" x14ac:dyDescent="0.3">
      <c r="A251" s="35">
        <v>214</v>
      </c>
      <c r="B251" s="36">
        <v>45505</v>
      </c>
      <c r="C251" s="35" t="s">
        <v>13</v>
      </c>
      <c r="D251" s="35" t="s">
        <v>27</v>
      </c>
      <c r="E251" s="35" t="s">
        <v>16</v>
      </c>
      <c r="F251" s="35" t="s">
        <v>37</v>
      </c>
      <c r="G251" s="35">
        <v>10</v>
      </c>
      <c r="H251" s="37">
        <v>2847</v>
      </c>
      <c r="I251" s="35">
        <v>0.11</v>
      </c>
      <c r="J251" s="38">
        <f t="shared" si="14"/>
        <v>28470</v>
      </c>
      <c r="K251" s="55" t="str">
        <f t="shared" si="15"/>
        <v>Venta Grande</v>
      </c>
      <c r="L251" s="58" t="str">
        <f>VLOOKUP(D251, AUXILIAR!$A$2:$B$16, 2, 0)</f>
        <v>LG Electronics</v>
      </c>
      <c r="M251" s="54" t="str">
        <f t="shared" si="18"/>
        <v>Prioridad Alta</v>
      </c>
      <c r="N251" s="54" t="str">
        <f>VLOOKUP(E251, AUXILIAR!$E$2:$F$4, 2, FALSE)</f>
        <v>ALM-01</v>
      </c>
    </row>
    <row r="252" spans="1:14" ht="15.75" hidden="1" thickBot="1" x14ac:dyDescent="0.3">
      <c r="A252" s="28">
        <v>251</v>
      </c>
      <c r="B252" s="29">
        <v>45542</v>
      </c>
      <c r="C252" s="30" t="s">
        <v>10</v>
      </c>
      <c r="D252" s="31" t="s">
        <v>31</v>
      </c>
      <c r="E252" s="31" t="s">
        <v>17</v>
      </c>
      <c r="F252" s="31" t="s">
        <v>34</v>
      </c>
      <c r="G252" s="31">
        <v>3</v>
      </c>
      <c r="H252" s="32">
        <v>996</v>
      </c>
      <c r="I252" s="31">
        <v>0.12</v>
      </c>
      <c r="J252" s="33">
        <f t="shared" si="14"/>
        <v>2988</v>
      </c>
      <c r="K252" s="34" t="str">
        <f t="shared" si="15"/>
        <v>Venta Normal</v>
      </c>
      <c r="L252" s="31" t="str">
        <f>VLOOKUP(D252, AUXILIAR!$A$2:$B$16, 2, 0)</f>
        <v>LG Electronics</v>
      </c>
      <c r="M252"/>
    </row>
    <row r="253" spans="1:14" ht="15.75" thickBot="1" x14ac:dyDescent="0.3">
      <c r="A253" s="35">
        <v>351</v>
      </c>
      <c r="B253" s="36">
        <v>45642</v>
      </c>
      <c r="C253" s="35" t="s">
        <v>10</v>
      </c>
      <c r="D253" s="35" t="s">
        <v>32</v>
      </c>
      <c r="E253" s="35" t="s">
        <v>18</v>
      </c>
      <c r="F253" s="35" t="s">
        <v>34</v>
      </c>
      <c r="G253" s="35">
        <v>18</v>
      </c>
      <c r="H253" s="37">
        <v>2845</v>
      </c>
      <c r="I253" s="35">
        <v>0.09</v>
      </c>
      <c r="J253" s="38">
        <f t="shared" si="14"/>
        <v>51210</v>
      </c>
      <c r="K253" s="55" t="str">
        <f t="shared" si="15"/>
        <v>Venta Grande</v>
      </c>
      <c r="L253" s="58" t="str">
        <f>VLOOKUP(D253, AUXILIAR!$A$2:$B$16, 2, 0)</f>
        <v>Samsung Oficial</v>
      </c>
      <c r="M253" s="54" t="str">
        <f>IF(AND(E253="Tecnología", J253&gt;20000), "Prioridad Alta", IF(J253&gt;5000, "Prioridad Media", "Prioridad Baja"))</f>
        <v>Prioridad Media</v>
      </c>
      <c r="N253" s="54" t="str">
        <f>VLOOKUP(E253, AUXILIAR!$E$2:$F$4, 2, FALSE)</f>
        <v>ALM-03</v>
      </c>
    </row>
    <row r="254" spans="1:14" ht="15.75" thickBot="1" x14ac:dyDescent="0.3">
      <c r="A254" s="35">
        <v>220</v>
      </c>
      <c r="B254" s="36">
        <v>45511</v>
      </c>
      <c r="C254" s="35" t="s">
        <v>14</v>
      </c>
      <c r="D254" s="35" t="s">
        <v>33</v>
      </c>
      <c r="E254" s="35" t="s">
        <v>16</v>
      </c>
      <c r="F254" s="35" t="s">
        <v>38</v>
      </c>
      <c r="G254" s="35">
        <v>20</v>
      </c>
      <c r="H254" s="37">
        <v>2824</v>
      </c>
      <c r="I254" s="35">
        <v>0.03</v>
      </c>
      <c r="J254" s="38">
        <f t="shared" si="14"/>
        <v>56480</v>
      </c>
      <c r="K254" s="55" t="str">
        <f t="shared" si="15"/>
        <v>Venta Grande</v>
      </c>
      <c r="L254" s="58" t="str">
        <f>VLOOKUP(D254, AUXILIAR!$A$2:$B$16, 2, 0)</f>
        <v>LG Electronics</v>
      </c>
      <c r="M254" s="54" t="str">
        <f>IF(AND(E254="Tecnología", J254&gt;20000), "Prioridad Alta", IF(J254&gt;5000, "Prioridad Media", "Prioridad Baja"))</f>
        <v>Prioridad Alta</v>
      </c>
      <c r="N254" s="54" t="str">
        <f>VLOOKUP(E254, AUXILIAR!$E$2:$F$4, 2, FALSE)</f>
        <v>ALM-01</v>
      </c>
    </row>
    <row r="255" spans="1:14" ht="15.75" thickBot="1" x14ac:dyDescent="0.3">
      <c r="A255" s="35">
        <v>419</v>
      </c>
      <c r="B255" s="36">
        <v>45710</v>
      </c>
      <c r="C255" s="35" t="s">
        <v>13</v>
      </c>
      <c r="D255" s="35" t="s">
        <v>33</v>
      </c>
      <c r="E255" s="35" t="s">
        <v>16</v>
      </c>
      <c r="F255" s="35" t="s">
        <v>37</v>
      </c>
      <c r="G255" s="35">
        <v>4</v>
      </c>
      <c r="H255" s="37">
        <v>2821</v>
      </c>
      <c r="I255" s="35">
        <v>0.06</v>
      </c>
      <c r="J255" s="38">
        <f t="shared" si="14"/>
        <v>11284</v>
      </c>
      <c r="K255" s="55" t="str">
        <f t="shared" si="15"/>
        <v>Venta Grande</v>
      </c>
      <c r="L255" s="58" t="str">
        <f>VLOOKUP(D255, AUXILIAR!$A$2:$B$16, 2, 0)</f>
        <v>LG Electronics</v>
      </c>
      <c r="M255" s="54" t="str">
        <f>IF(AND(E255="Tecnología", J255&gt;20000), "Prioridad Alta", IF(J255&gt;5000, "Prioridad Media", "Prioridad Baja"))</f>
        <v>Prioridad Media</v>
      </c>
      <c r="N255" s="54" t="str">
        <f>VLOOKUP(E255, AUXILIAR!$E$2:$F$4, 2, FALSE)</f>
        <v>ALM-01</v>
      </c>
    </row>
    <row r="256" spans="1:14" ht="15.75" thickBot="1" x14ac:dyDescent="0.3">
      <c r="A256" s="35">
        <v>423</v>
      </c>
      <c r="B256" s="36">
        <v>45714</v>
      </c>
      <c r="C256" s="35" t="s">
        <v>12</v>
      </c>
      <c r="D256" s="35" t="s">
        <v>27</v>
      </c>
      <c r="E256" s="35" t="s">
        <v>16</v>
      </c>
      <c r="F256" s="35" t="s">
        <v>36</v>
      </c>
      <c r="G256" s="35">
        <v>16</v>
      </c>
      <c r="H256" s="37">
        <v>2814</v>
      </c>
      <c r="I256" s="35">
        <v>0.03</v>
      </c>
      <c r="J256" s="38">
        <f t="shared" si="14"/>
        <v>45024</v>
      </c>
      <c r="K256" s="55" t="str">
        <f t="shared" si="15"/>
        <v>Venta Grande</v>
      </c>
      <c r="L256" s="58" t="str">
        <f>VLOOKUP(D256, AUXILIAR!$A$2:$B$16, 2, 0)</f>
        <v>LG Electronics</v>
      </c>
      <c r="M256" s="54" t="str">
        <f>IF(AND(E256="Tecnología", J256&gt;20000), "Prioridad Alta", IF(J256&gt;5000, "Prioridad Media", "Prioridad Baja"))</f>
        <v>Prioridad Alta</v>
      </c>
      <c r="N256" s="54" t="str">
        <f>VLOOKUP(E256, AUXILIAR!$E$2:$F$4, 2, FALSE)</f>
        <v>ALM-01</v>
      </c>
    </row>
    <row r="257" spans="1:14" ht="15.75" hidden="1" thickBot="1" x14ac:dyDescent="0.3">
      <c r="A257" s="21">
        <v>256</v>
      </c>
      <c r="B257" s="22">
        <v>45547</v>
      </c>
      <c r="C257" s="23" t="s">
        <v>10</v>
      </c>
      <c r="D257" s="24" t="s">
        <v>25</v>
      </c>
      <c r="E257" s="24" t="s">
        <v>17</v>
      </c>
      <c r="F257" s="24" t="s">
        <v>34</v>
      </c>
      <c r="G257" s="24">
        <v>7</v>
      </c>
      <c r="H257" s="25">
        <v>285</v>
      </c>
      <c r="I257" s="24">
        <v>0.04</v>
      </c>
      <c r="J257" s="26">
        <f t="shared" si="14"/>
        <v>1995</v>
      </c>
      <c r="K257" s="27" t="str">
        <f t="shared" si="15"/>
        <v>Venta Normal</v>
      </c>
      <c r="L257" s="24" t="str">
        <f>VLOOKUP(D257, AUXILIAR!$A$2:$B$16, 2, 0)</f>
        <v>LG Electronics</v>
      </c>
      <c r="M257"/>
    </row>
    <row r="258" spans="1:14" ht="15.75" hidden="1" thickBot="1" x14ac:dyDescent="0.3">
      <c r="A258" s="16">
        <v>257</v>
      </c>
      <c r="B258" s="17">
        <v>45548</v>
      </c>
      <c r="C258" s="15" t="s">
        <v>11</v>
      </c>
      <c r="D258" s="18" t="s">
        <v>26</v>
      </c>
      <c r="E258" s="18" t="s">
        <v>18</v>
      </c>
      <c r="F258" s="18" t="s">
        <v>35</v>
      </c>
      <c r="G258" s="18">
        <v>1</v>
      </c>
      <c r="H258" s="19">
        <v>3864</v>
      </c>
      <c r="I258" s="18">
        <v>0.11</v>
      </c>
      <c r="J258" s="20">
        <f t="shared" ref="J258:J321" si="19">G258*H258</f>
        <v>3864</v>
      </c>
      <c r="K258" s="14" t="str">
        <f t="shared" ref="K258:K321" si="20">IF(J258&gt;5000, "Venta Grande", "Venta Normal")</f>
        <v>Venta Normal</v>
      </c>
      <c r="L258" s="18" t="str">
        <f>VLOOKUP(D258, AUXILIAR!$A$2:$B$16, 2, 0)</f>
        <v>Office Design</v>
      </c>
      <c r="M258"/>
    </row>
    <row r="259" spans="1:14" ht="15.75" thickBot="1" x14ac:dyDescent="0.3">
      <c r="A259" s="35">
        <v>178</v>
      </c>
      <c r="B259" s="36">
        <v>45469</v>
      </c>
      <c r="C259" s="35" t="s">
        <v>12</v>
      </c>
      <c r="D259" s="35" t="s">
        <v>24</v>
      </c>
      <c r="E259" s="35" t="s">
        <v>16</v>
      </c>
      <c r="F259" s="35" t="s">
        <v>36</v>
      </c>
      <c r="G259" s="35">
        <v>10</v>
      </c>
      <c r="H259" s="37">
        <v>2812</v>
      </c>
      <c r="I259" s="35">
        <v>0.04</v>
      </c>
      <c r="J259" s="38">
        <f t="shared" si="19"/>
        <v>28120</v>
      </c>
      <c r="K259" s="55" t="str">
        <f t="shared" si="20"/>
        <v>Venta Grande</v>
      </c>
      <c r="L259" s="58" t="str">
        <f>VLOOKUP(D259, AUXILIAR!$A$2:$B$16, 2, 0)</f>
        <v>Samsung Oficial</v>
      </c>
      <c r="M259" s="54" t="str">
        <f t="shared" ref="M259:M276" si="21">IF(AND(E259="Tecnología", J259&gt;20000), "Prioridad Alta", IF(J259&gt;5000, "Prioridad Media", "Prioridad Baja"))</f>
        <v>Prioridad Alta</v>
      </c>
      <c r="N259" s="54" t="str">
        <f>VLOOKUP(E259, AUXILIAR!$E$2:$F$4, 2, FALSE)</f>
        <v>ALM-01</v>
      </c>
    </row>
    <row r="260" spans="1:14" ht="15.75" thickBot="1" x14ac:dyDescent="0.3">
      <c r="A260" s="35">
        <v>198</v>
      </c>
      <c r="B260" s="36">
        <v>45489</v>
      </c>
      <c r="C260" s="35" t="s">
        <v>12</v>
      </c>
      <c r="D260" s="35" t="s">
        <v>33</v>
      </c>
      <c r="E260" s="35" t="s">
        <v>16</v>
      </c>
      <c r="F260" s="35" t="s">
        <v>36</v>
      </c>
      <c r="G260" s="35">
        <v>9</v>
      </c>
      <c r="H260" s="37">
        <v>2804</v>
      </c>
      <c r="I260" s="35">
        <v>7.0000000000000007E-2</v>
      </c>
      <c r="J260" s="38">
        <f t="shared" si="19"/>
        <v>25236</v>
      </c>
      <c r="K260" s="55" t="str">
        <f t="shared" si="20"/>
        <v>Venta Grande</v>
      </c>
      <c r="L260" s="58" t="str">
        <f>VLOOKUP(D260, AUXILIAR!$A$2:$B$16, 2, 0)</f>
        <v>LG Electronics</v>
      </c>
      <c r="M260" s="54" t="str">
        <f t="shared" si="21"/>
        <v>Prioridad Alta</v>
      </c>
      <c r="N260" s="54" t="str">
        <f>VLOOKUP(E260, AUXILIAR!$E$2:$F$4, 2, FALSE)</f>
        <v>ALM-01</v>
      </c>
    </row>
    <row r="261" spans="1:14" ht="15.75" thickBot="1" x14ac:dyDescent="0.3">
      <c r="A261" s="35">
        <v>439</v>
      </c>
      <c r="B261" s="36">
        <v>45730</v>
      </c>
      <c r="C261" s="35" t="s">
        <v>13</v>
      </c>
      <c r="D261" s="35" t="s">
        <v>32</v>
      </c>
      <c r="E261" s="35" t="s">
        <v>18</v>
      </c>
      <c r="F261" s="35" t="s">
        <v>37</v>
      </c>
      <c r="G261" s="35">
        <v>5</v>
      </c>
      <c r="H261" s="37">
        <v>2803</v>
      </c>
      <c r="I261" s="35">
        <v>0.11</v>
      </c>
      <c r="J261" s="38">
        <f t="shared" si="19"/>
        <v>14015</v>
      </c>
      <c r="K261" s="55" t="str">
        <f t="shared" si="20"/>
        <v>Venta Grande</v>
      </c>
      <c r="L261" s="58" t="str">
        <f>VLOOKUP(D261, AUXILIAR!$A$2:$B$16, 2, 0)</f>
        <v>Samsung Oficial</v>
      </c>
      <c r="M261" s="54" t="str">
        <f t="shared" si="21"/>
        <v>Prioridad Media</v>
      </c>
      <c r="N261" s="54" t="str">
        <f>VLOOKUP(E261, AUXILIAR!$E$2:$F$4, 2, FALSE)</f>
        <v>ALM-03</v>
      </c>
    </row>
    <row r="262" spans="1:14" ht="15.75" thickBot="1" x14ac:dyDescent="0.3">
      <c r="A262" s="35">
        <v>470</v>
      </c>
      <c r="B262" s="36">
        <v>45761</v>
      </c>
      <c r="C262" s="35" t="s">
        <v>14</v>
      </c>
      <c r="D262" s="35" t="s">
        <v>30</v>
      </c>
      <c r="E262" s="35" t="s">
        <v>16</v>
      </c>
      <c r="F262" s="35" t="s">
        <v>38</v>
      </c>
      <c r="G262" s="35">
        <v>12</v>
      </c>
      <c r="H262" s="37">
        <v>2802</v>
      </c>
      <c r="I262" s="35">
        <v>0.11</v>
      </c>
      <c r="J262" s="38">
        <f t="shared" si="19"/>
        <v>33624</v>
      </c>
      <c r="K262" s="55" t="str">
        <f t="shared" si="20"/>
        <v>Venta Grande</v>
      </c>
      <c r="L262" s="58" t="str">
        <f>VLOOKUP(D262, AUXILIAR!$A$2:$B$16, 2, 0)</f>
        <v>Office Design</v>
      </c>
      <c r="M262" s="54" t="str">
        <f t="shared" si="21"/>
        <v>Prioridad Alta</v>
      </c>
      <c r="N262" s="54" t="str">
        <f>VLOOKUP(E262, AUXILIAR!$E$2:$F$4, 2, FALSE)</f>
        <v>ALM-01</v>
      </c>
    </row>
    <row r="263" spans="1:14" ht="15.75" thickBot="1" x14ac:dyDescent="0.3">
      <c r="A263" s="35">
        <v>277</v>
      </c>
      <c r="B263" s="36">
        <v>45568</v>
      </c>
      <c r="C263" s="35" t="s">
        <v>11</v>
      </c>
      <c r="D263" s="35" t="s">
        <v>24</v>
      </c>
      <c r="E263" s="35" t="s">
        <v>16</v>
      </c>
      <c r="F263" s="35" t="s">
        <v>35</v>
      </c>
      <c r="G263" s="35">
        <v>7</v>
      </c>
      <c r="H263" s="37">
        <v>2782</v>
      </c>
      <c r="I263" s="35">
        <v>0.08</v>
      </c>
      <c r="J263" s="38">
        <f t="shared" si="19"/>
        <v>19474</v>
      </c>
      <c r="K263" s="55" t="str">
        <f t="shared" si="20"/>
        <v>Venta Grande</v>
      </c>
      <c r="L263" s="58" t="str">
        <f>VLOOKUP(D263, AUXILIAR!$A$2:$B$16, 2, 0)</f>
        <v>Samsung Oficial</v>
      </c>
      <c r="M263" s="54" t="str">
        <f t="shared" si="21"/>
        <v>Prioridad Media</v>
      </c>
      <c r="N263" s="54" t="str">
        <f>VLOOKUP(E263, AUXILIAR!$E$2:$F$4, 2, FALSE)</f>
        <v>ALM-01</v>
      </c>
    </row>
    <row r="264" spans="1:14" ht="15.75" thickBot="1" x14ac:dyDescent="0.3">
      <c r="A264" s="35">
        <v>328</v>
      </c>
      <c r="B264" s="36">
        <v>45619</v>
      </c>
      <c r="C264" s="35" t="s">
        <v>12</v>
      </c>
      <c r="D264" s="35" t="s">
        <v>31</v>
      </c>
      <c r="E264" s="35" t="s">
        <v>17</v>
      </c>
      <c r="F264" s="35" t="s">
        <v>36</v>
      </c>
      <c r="G264" s="35">
        <v>12</v>
      </c>
      <c r="H264" s="37">
        <v>2780</v>
      </c>
      <c r="I264" s="35">
        <v>0.04</v>
      </c>
      <c r="J264" s="38">
        <f t="shared" si="19"/>
        <v>33360</v>
      </c>
      <c r="K264" s="55" t="str">
        <f t="shared" si="20"/>
        <v>Venta Grande</v>
      </c>
      <c r="L264" s="58" t="str">
        <f>VLOOKUP(D264, AUXILIAR!$A$2:$B$16, 2, 0)</f>
        <v>LG Electronics</v>
      </c>
      <c r="M264" s="54" t="str">
        <f t="shared" si="21"/>
        <v>Prioridad Media</v>
      </c>
      <c r="N264" s="54" t="str">
        <f>VLOOKUP(E264, AUXILIAR!$E$2:$F$4, 2, FALSE)</f>
        <v>ALM-02</v>
      </c>
    </row>
    <row r="265" spans="1:14" ht="15.75" thickBot="1" x14ac:dyDescent="0.3">
      <c r="A265" s="35">
        <v>148</v>
      </c>
      <c r="B265" s="36">
        <v>45439</v>
      </c>
      <c r="C265" s="35" t="s">
        <v>12</v>
      </c>
      <c r="D265" s="35" t="s">
        <v>27</v>
      </c>
      <c r="E265" s="35" t="s">
        <v>16</v>
      </c>
      <c r="F265" s="35" t="s">
        <v>36</v>
      </c>
      <c r="G265" s="35">
        <v>20</v>
      </c>
      <c r="H265" s="37">
        <v>2692</v>
      </c>
      <c r="I265" s="35">
        <v>0.02</v>
      </c>
      <c r="J265" s="38">
        <f t="shared" si="19"/>
        <v>53840</v>
      </c>
      <c r="K265" s="55" t="str">
        <f t="shared" si="20"/>
        <v>Venta Grande</v>
      </c>
      <c r="L265" s="58" t="str">
        <f>VLOOKUP(D265, AUXILIAR!$A$2:$B$16, 2, 0)</f>
        <v>LG Electronics</v>
      </c>
      <c r="M265" s="54" t="str">
        <f t="shared" si="21"/>
        <v>Prioridad Alta</v>
      </c>
      <c r="N265" s="54" t="str">
        <f>VLOOKUP(E265, AUXILIAR!$E$2:$F$4, 2, FALSE)</f>
        <v>ALM-01</v>
      </c>
    </row>
    <row r="266" spans="1:14" ht="15.75" thickBot="1" x14ac:dyDescent="0.3">
      <c r="A266" s="35">
        <v>278</v>
      </c>
      <c r="B266" s="36">
        <v>45569</v>
      </c>
      <c r="C266" s="35" t="s">
        <v>12</v>
      </c>
      <c r="D266" s="35" t="s">
        <v>25</v>
      </c>
      <c r="E266" s="35" t="s">
        <v>17</v>
      </c>
      <c r="F266" s="35" t="s">
        <v>36</v>
      </c>
      <c r="G266" s="35">
        <v>15</v>
      </c>
      <c r="H266" s="37">
        <v>2676</v>
      </c>
      <c r="I266" s="35">
        <v>0.15</v>
      </c>
      <c r="J266" s="38">
        <f t="shared" si="19"/>
        <v>40140</v>
      </c>
      <c r="K266" s="55" t="str">
        <f t="shared" si="20"/>
        <v>Venta Grande</v>
      </c>
      <c r="L266" s="58" t="str">
        <f>VLOOKUP(D266, AUXILIAR!$A$2:$B$16, 2, 0)</f>
        <v>LG Electronics</v>
      </c>
      <c r="M266" s="54" t="str">
        <f t="shared" si="21"/>
        <v>Prioridad Media</v>
      </c>
      <c r="N266" s="54" t="str">
        <f>VLOOKUP(E266, AUXILIAR!$E$2:$F$4, 2, FALSE)</f>
        <v>ALM-02</v>
      </c>
    </row>
    <row r="267" spans="1:14" ht="15.75" thickBot="1" x14ac:dyDescent="0.3">
      <c r="A267" s="35">
        <v>290</v>
      </c>
      <c r="B267" s="36">
        <v>45581</v>
      </c>
      <c r="C267" s="35" t="s">
        <v>14</v>
      </c>
      <c r="D267" s="35" t="s">
        <v>26</v>
      </c>
      <c r="E267" s="35" t="s">
        <v>18</v>
      </c>
      <c r="F267" s="35" t="s">
        <v>38</v>
      </c>
      <c r="G267" s="35">
        <v>10</v>
      </c>
      <c r="H267" s="37">
        <v>2674</v>
      </c>
      <c r="I267" s="35">
        <v>0.12</v>
      </c>
      <c r="J267" s="38">
        <f t="shared" si="19"/>
        <v>26740</v>
      </c>
      <c r="K267" s="55" t="str">
        <f t="shared" si="20"/>
        <v>Venta Grande</v>
      </c>
      <c r="L267" s="58" t="str">
        <f>VLOOKUP(D267, AUXILIAR!$A$2:$B$16, 2, 0)</f>
        <v>Office Design</v>
      </c>
      <c r="M267" s="54" t="str">
        <f t="shared" si="21"/>
        <v>Prioridad Media</v>
      </c>
      <c r="N267" s="54" t="str">
        <f>VLOOKUP(E267, AUXILIAR!$E$2:$F$4, 2, FALSE)</f>
        <v>ALM-03</v>
      </c>
    </row>
    <row r="268" spans="1:14" ht="15.75" thickBot="1" x14ac:dyDescent="0.3">
      <c r="A268" s="35">
        <v>287</v>
      </c>
      <c r="B268" s="36">
        <v>45578</v>
      </c>
      <c r="C268" s="35" t="s">
        <v>11</v>
      </c>
      <c r="D268" s="35" t="s">
        <v>33</v>
      </c>
      <c r="E268" s="35" t="s">
        <v>16</v>
      </c>
      <c r="F268" s="35" t="s">
        <v>35</v>
      </c>
      <c r="G268" s="35">
        <v>4</v>
      </c>
      <c r="H268" s="37">
        <v>2673</v>
      </c>
      <c r="I268" s="35">
        <v>0.03</v>
      </c>
      <c r="J268" s="38">
        <f t="shared" si="19"/>
        <v>10692</v>
      </c>
      <c r="K268" s="55" t="str">
        <f t="shared" si="20"/>
        <v>Venta Grande</v>
      </c>
      <c r="L268" s="58" t="str">
        <f>VLOOKUP(D268, AUXILIAR!$A$2:$B$16, 2, 0)</f>
        <v>LG Electronics</v>
      </c>
      <c r="M268" s="54" t="str">
        <f t="shared" si="21"/>
        <v>Prioridad Media</v>
      </c>
      <c r="N268" s="54" t="str">
        <f>VLOOKUP(E268, AUXILIAR!$E$2:$F$4, 2, FALSE)</f>
        <v>ALM-01</v>
      </c>
    </row>
    <row r="269" spans="1:14" ht="15.75" thickBot="1" x14ac:dyDescent="0.3">
      <c r="A269" s="35">
        <v>98</v>
      </c>
      <c r="B269" s="36">
        <v>45389</v>
      </c>
      <c r="C269" s="35" t="s">
        <v>12</v>
      </c>
      <c r="D269" s="35" t="s">
        <v>32</v>
      </c>
      <c r="E269" s="35" t="s">
        <v>18</v>
      </c>
      <c r="F269" s="35" t="s">
        <v>36</v>
      </c>
      <c r="G269" s="35">
        <v>19</v>
      </c>
      <c r="H269" s="37">
        <v>2667</v>
      </c>
      <c r="I269" s="35">
        <v>0.03</v>
      </c>
      <c r="J269" s="38">
        <f t="shared" si="19"/>
        <v>50673</v>
      </c>
      <c r="K269" s="55" t="str">
        <f t="shared" si="20"/>
        <v>Venta Grande</v>
      </c>
      <c r="L269" s="58" t="str">
        <f>VLOOKUP(D269, AUXILIAR!$A$2:$B$16, 2, 0)</f>
        <v>Samsung Oficial</v>
      </c>
      <c r="M269" s="54" t="str">
        <f t="shared" si="21"/>
        <v>Prioridad Media</v>
      </c>
      <c r="N269" s="54" t="str">
        <f>VLOOKUP(E269, AUXILIAR!$E$2:$F$4, 2, FALSE)</f>
        <v>ALM-03</v>
      </c>
    </row>
    <row r="270" spans="1:14" ht="15.75" thickBot="1" x14ac:dyDescent="0.3">
      <c r="A270" s="35">
        <v>441</v>
      </c>
      <c r="B270" s="36">
        <v>45732</v>
      </c>
      <c r="C270" s="35" t="s">
        <v>10</v>
      </c>
      <c r="D270" s="35" t="s">
        <v>33</v>
      </c>
      <c r="E270" s="35" t="s">
        <v>16</v>
      </c>
      <c r="F270" s="35" t="s">
        <v>34</v>
      </c>
      <c r="G270" s="35">
        <v>17</v>
      </c>
      <c r="H270" s="37">
        <v>2657</v>
      </c>
      <c r="I270" s="35">
        <v>0.04</v>
      </c>
      <c r="J270" s="38">
        <f t="shared" si="19"/>
        <v>45169</v>
      </c>
      <c r="K270" s="55" t="str">
        <f t="shared" si="20"/>
        <v>Venta Grande</v>
      </c>
      <c r="L270" s="58" t="str">
        <f>VLOOKUP(D270, AUXILIAR!$A$2:$B$16, 2, 0)</f>
        <v>LG Electronics</v>
      </c>
      <c r="M270" s="54" t="str">
        <f t="shared" si="21"/>
        <v>Prioridad Alta</v>
      </c>
      <c r="N270" s="54" t="str">
        <f>VLOOKUP(E270, AUXILIAR!$E$2:$F$4, 2, FALSE)</f>
        <v>ALM-01</v>
      </c>
    </row>
    <row r="271" spans="1:14" ht="15.75" thickBot="1" x14ac:dyDescent="0.3">
      <c r="A271" s="35">
        <v>283</v>
      </c>
      <c r="B271" s="36">
        <v>45574</v>
      </c>
      <c r="C271" s="35" t="s">
        <v>12</v>
      </c>
      <c r="D271" s="35" t="s">
        <v>30</v>
      </c>
      <c r="E271" s="35" t="s">
        <v>16</v>
      </c>
      <c r="F271" s="35" t="s">
        <v>36</v>
      </c>
      <c r="G271" s="35">
        <v>12</v>
      </c>
      <c r="H271" s="37">
        <v>2640</v>
      </c>
      <c r="I271" s="35">
        <v>0.03</v>
      </c>
      <c r="J271" s="38">
        <f t="shared" si="19"/>
        <v>31680</v>
      </c>
      <c r="K271" s="55" t="str">
        <f t="shared" si="20"/>
        <v>Venta Grande</v>
      </c>
      <c r="L271" s="58" t="str">
        <f>VLOOKUP(D271, AUXILIAR!$A$2:$B$16, 2, 0)</f>
        <v>Office Design</v>
      </c>
      <c r="M271" s="54" t="str">
        <f t="shared" si="21"/>
        <v>Prioridad Alta</v>
      </c>
      <c r="N271" s="54" t="str">
        <f>VLOOKUP(E271, AUXILIAR!$E$2:$F$4, 2, FALSE)</f>
        <v>ALM-01</v>
      </c>
    </row>
    <row r="272" spans="1:14" ht="15.75" thickBot="1" x14ac:dyDescent="0.3">
      <c r="A272" s="35">
        <v>334</v>
      </c>
      <c r="B272" s="36">
        <v>45625</v>
      </c>
      <c r="C272" s="35" t="s">
        <v>13</v>
      </c>
      <c r="D272" s="35" t="s">
        <v>26</v>
      </c>
      <c r="E272" s="35" t="s">
        <v>18</v>
      </c>
      <c r="F272" s="35" t="s">
        <v>37</v>
      </c>
      <c r="G272" s="35">
        <v>15</v>
      </c>
      <c r="H272" s="37">
        <v>2628</v>
      </c>
      <c r="I272" s="35">
        <v>0.05</v>
      </c>
      <c r="J272" s="38">
        <f t="shared" si="19"/>
        <v>39420</v>
      </c>
      <c r="K272" s="55" t="str">
        <f t="shared" si="20"/>
        <v>Venta Grande</v>
      </c>
      <c r="L272" s="58" t="str">
        <f>VLOOKUP(D272, AUXILIAR!$A$2:$B$16, 2, 0)</f>
        <v>Office Design</v>
      </c>
      <c r="M272" s="54" t="str">
        <f t="shared" si="21"/>
        <v>Prioridad Media</v>
      </c>
      <c r="N272" s="54" t="str">
        <f>VLOOKUP(E272, AUXILIAR!$E$2:$F$4, 2, FALSE)</f>
        <v>ALM-03</v>
      </c>
    </row>
    <row r="273" spans="1:14" ht="15.75" thickBot="1" x14ac:dyDescent="0.3">
      <c r="A273" s="35">
        <v>401</v>
      </c>
      <c r="B273" s="36">
        <v>45692</v>
      </c>
      <c r="C273" s="35" t="s">
        <v>10</v>
      </c>
      <c r="D273" s="35" t="s">
        <v>27</v>
      </c>
      <c r="E273" s="35" t="s">
        <v>16</v>
      </c>
      <c r="F273" s="35" t="s">
        <v>34</v>
      </c>
      <c r="G273" s="35">
        <v>20</v>
      </c>
      <c r="H273" s="37">
        <v>2620</v>
      </c>
      <c r="I273" s="35">
        <v>0.01</v>
      </c>
      <c r="J273" s="38">
        <f t="shared" si="19"/>
        <v>52400</v>
      </c>
      <c r="K273" s="55" t="str">
        <f t="shared" si="20"/>
        <v>Venta Grande</v>
      </c>
      <c r="L273" s="58" t="str">
        <f>VLOOKUP(D273, AUXILIAR!$A$2:$B$16, 2, 0)</f>
        <v>LG Electronics</v>
      </c>
      <c r="M273" s="54" t="str">
        <f t="shared" si="21"/>
        <v>Prioridad Alta</v>
      </c>
      <c r="N273" s="54" t="str">
        <f>VLOOKUP(E273, AUXILIAR!$E$2:$F$4, 2, FALSE)</f>
        <v>ALM-01</v>
      </c>
    </row>
    <row r="274" spans="1:14" ht="15.75" thickBot="1" x14ac:dyDescent="0.3">
      <c r="A274" s="35">
        <v>407</v>
      </c>
      <c r="B274" s="36">
        <v>45698</v>
      </c>
      <c r="C274" s="35" t="s">
        <v>11</v>
      </c>
      <c r="D274" s="35" t="s">
        <v>33</v>
      </c>
      <c r="E274" s="35" t="s">
        <v>16</v>
      </c>
      <c r="F274" s="35" t="s">
        <v>35</v>
      </c>
      <c r="G274" s="35">
        <v>20</v>
      </c>
      <c r="H274" s="37">
        <v>2614</v>
      </c>
      <c r="I274" s="35">
        <v>0.02</v>
      </c>
      <c r="J274" s="38">
        <f t="shared" si="19"/>
        <v>52280</v>
      </c>
      <c r="K274" s="55" t="str">
        <f t="shared" si="20"/>
        <v>Venta Grande</v>
      </c>
      <c r="L274" s="58" t="str">
        <f>VLOOKUP(D274, AUXILIAR!$A$2:$B$16, 2, 0)</f>
        <v>LG Electronics</v>
      </c>
      <c r="M274" s="54" t="str">
        <f t="shared" si="21"/>
        <v>Prioridad Alta</v>
      </c>
      <c r="N274" s="54" t="str">
        <f>VLOOKUP(E274, AUXILIAR!$E$2:$F$4, 2, FALSE)</f>
        <v>ALM-01</v>
      </c>
    </row>
    <row r="275" spans="1:14" ht="15.75" thickBot="1" x14ac:dyDescent="0.3">
      <c r="A275" s="35">
        <v>496</v>
      </c>
      <c r="B275" s="36">
        <v>45787</v>
      </c>
      <c r="C275" s="35" t="s">
        <v>10</v>
      </c>
      <c r="D275" s="35" t="s">
        <v>33</v>
      </c>
      <c r="E275" s="35" t="s">
        <v>16</v>
      </c>
      <c r="F275" s="35" t="s">
        <v>34</v>
      </c>
      <c r="G275" s="35">
        <v>15</v>
      </c>
      <c r="H275" s="37">
        <v>2605</v>
      </c>
      <c r="I275" s="35">
        <v>0.1</v>
      </c>
      <c r="J275" s="38">
        <f t="shared" si="19"/>
        <v>39075</v>
      </c>
      <c r="K275" s="55" t="str">
        <f t="shared" si="20"/>
        <v>Venta Grande</v>
      </c>
      <c r="L275" s="58" t="str">
        <f>VLOOKUP(D275, AUXILIAR!$A$2:$B$16, 2, 0)</f>
        <v>LG Electronics</v>
      </c>
      <c r="M275" s="54" t="str">
        <f t="shared" si="21"/>
        <v>Prioridad Alta</v>
      </c>
      <c r="N275" s="54" t="str">
        <f>VLOOKUP(E275, AUXILIAR!$E$2:$F$4, 2, FALSE)</f>
        <v>ALM-01</v>
      </c>
    </row>
    <row r="276" spans="1:14" ht="15.75" thickBot="1" x14ac:dyDescent="0.3">
      <c r="A276" s="35">
        <v>73</v>
      </c>
      <c r="B276" s="36">
        <v>45364</v>
      </c>
      <c r="C276" s="35" t="s">
        <v>12</v>
      </c>
      <c r="D276" s="35" t="s">
        <v>29</v>
      </c>
      <c r="E276" s="35" t="s">
        <v>18</v>
      </c>
      <c r="F276" s="35" t="s">
        <v>36</v>
      </c>
      <c r="G276" s="35">
        <v>6</v>
      </c>
      <c r="H276" s="37">
        <v>2589</v>
      </c>
      <c r="I276" s="35">
        <v>0.04</v>
      </c>
      <c r="J276" s="38">
        <f t="shared" si="19"/>
        <v>15534</v>
      </c>
      <c r="K276" s="55" t="str">
        <f t="shared" si="20"/>
        <v>Venta Grande</v>
      </c>
      <c r="L276" s="58" t="str">
        <f>VLOOKUP(D276, AUXILIAR!$A$2:$B$16, 2, 0)</f>
        <v>LG Electronics</v>
      </c>
      <c r="M276" s="54" t="str">
        <f t="shared" si="21"/>
        <v>Prioridad Media</v>
      </c>
      <c r="N276" s="54" t="str">
        <f>VLOOKUP(E276, AUXILIAR!$E$2:$F$4, 2, FALSE)</f>
        <v>ALM-03</v>
      </c>
    </row>
    <row r="277" spans="1:14" ht="15.75" hidden="1" thickBot="1" x14ac:dyDescent="0.3">
      <c r="A277" s="28">
        <v>276</v>
      </c>
      <c r="B277" s="29">
        <v>45567</v>
      </c>
      <c r="C277" s="30" t="s">
        <v>10</v>
      </c>
      <c r="D277" s="31" t="s">
        <v>33</v>
      </c>
      <c r="E277" s="31" t="s">
        <v>16</v>
      </c>
      <c r="F277" s="31" t="s">
        <v>34</v>
      </c>
      <c r="G277" s="31">
        <v>4</v>
      </c>
      <c r="H277" s="32">
        <v>354</v>
      </c>
      <c r="I277" s="31">
        <v>0.06</v>
      </c>
      <c r="J277" s="33">
        <f t="shared" si="19"/>
        <v>1416</v>
      </c>
      <c r="K277" s="34" t="str">
        <f t="shared" si="20"/>
        <v>Venta Normal</v>
      </c>
      <c r="L277" s="31" t="str">
        <f>VLOOKUP(D277, AUXILIAR!$A$2:$B$16, 2, 0)</f>
        <v>LG Electronics</v>
      </c>
      <c r="M277"/>
    </row>
    <row r="278" spans="1:14" ht="15.75" thickBot="1" x14ac:dyDescent="0.3">
      <c r="A278" s="35">
        <v>60</v>
      </c>
      <c r="B278" s="36">
        <v>45351</v>
      </c>
      <c r="C278" s="35" t="s">
        <v>14</v>
      </c>
      <c r="D278" s="35" t="s">
        <v>27</v>
      </c>
      <c r="E278" s="35" t="s">
        <v>16</v>
      </c>
      <c r="F278" s="35" t="s">
        <v>38</v>
      </c>
      <c r="G278" s="35">
        <v>19</v>
      </c>
      <c r="H278" s="37">
        <v>2584</v>
      </c>
      <c r="I278" s="35">
        <v>0.09</v>
      </c>
      <c r="J278" s="38">
        <f t="shared" si="19"/>
        <v>49096</v>
      </c>
      <c r="K278" s="55" t="str">
        <f t="shared" si="20"/>
        <v>Venta Grande</v>
      </c>
      <c r="L278" s="58" t="str">
        <f>VLOOKUP(D278, AUXILIAR!$A$2:$B$16, 2, 0)</f>
        <v>LG Electronics</v>
      </c>
      <c r="M278" s="54" t="str">
        <f>IF(AND(E278="Tecnología", J278&gt;20000), "Prioridad Alta", IF(J278&gt;5000, "Prioridad Media", "Prioridad Baja"))</f>
        <v>Prioridad Alta</v>
      </c>
      <c r="N278" s="54" t="str">
        <f>VLOOKUP(E278, AUXILIAR!$E$2:$F$4, 2, FALSE)</f>
        <v>ALM-01</v>
      </c>
    </row>
    <row r="279" spans="1:14" ht="15.75" thickBot="1" x14ac:dyDescent="0.3">
      <c r="A279" s="35">
        <v>410</v>
      </c>
      <c r="B279" s="36">
        <v>45701</v>
      </c>
      <c r="C279" s="35" t="s">
        <v>14</v>
      </c>
      <c r="D279" s="35" t="s">
        <v>25</v>
      </c>
      <c r="E279" s="35" t="s">
        <v>17</v>
      </c>
      <c r="F279" s="35" t="s">
        <v>38</v>
      </c>
      <c r="G279" s="35">
        <v>6</v>
      </c>
      <c r="H279" s="37">
        <v>2574</v>
      </c>
      <c r="I279" s="35">
        <v>0</v>
      </c>
      <c r="J279" s="38">
        <f t="shared" si="19"/>
        <v>15444</v>
      </c>
      <c r="K279" s="55" t="str">
        <f t="shared" si="20"/>
        <v>Venta Grande</v>
      </c>
      <c r="L279" s="58" t="str">
        <f>VLOOKUP(D279, AUXILIAR!$A$2:$B$16, 2, 0)</f>
        <v>LG Electronics</v>
      </c>
      <c r="M279" s="54" t="str">
        <f>IF(AND(E279="Tecnología", J279&gt;20000), "Prioridad Alta", IF(J279&gt;5000, "Prioridad Media", "Prioridad Baja"))</f>
        <v>Prioridad Media</v>
      </c>
      <c r="N279" s="54" t="str">
        <f>VLOOKUP(E279, AUXILIAR!$E$2:$F$4, 2, FALSE)</f>
        <v>ALM-02</v>
      </c>
    </row>
    <row r="280" spans="1:14" ht="15.75" thickBot="1" x14ac:dyDescent="0.3">
      <c r="A280" s="35">
        <v>196</v>
      </c>
      <c r="B280" s="36">
        <v>45487</v>
      </c>
      <c r="C280" s="35" t="s">
        <v>10</v>
      </c>
      <c r="D280" s="35" t="s">
        <v>31</v>
      </c>
      <c r="E280" s="35" t="s">
        <v>17</v>
      </c>
      <c r="F280" s="35" t="s">
        <v>34</v>
      </c>
      <c r="G280" s="35">
        <v>6</v>
      </c>
      <c r="H280" s="37">
        <v>2566</v>
      </c>
      <c r="I280" s="35">
        <v>0.12</v>
      </c>
      <c r="J280" s="38">
        <f t="shared" si="19"/>
        <v>15396</v>
      </c>
      <c r="K280" s="55" t="str">
        <f t="shared" si="20"/>
        <v>Venta Grande</v>
      </c>
      <c r="L280" s="58" t="str">
        <f>VLOOKUP(D280, AUXILIAR!$A$2:$B$16, 2, 0)</f>
        <v>LG Electronics</v>
      </c>
      <c r="M280" s="54" t="str">
        <f>IF(AND(E280="Tecnología", J280&gt;20000), "Prioridad Alta", IF(J280&gt;5000, "Prioridad Media", "Prioridad Baja"))</f>
        <v>Prioridad Media</v>
      </c>
      <c r="N280" s="54" t="str">
        <f>VLOOKUP(E280, AUXILIAR!$E$2:$F$4, 2, FALSE)</f>
        <v>ALM-02</v>
      </c>
    </row>
    <row r="281" spans="1:14" ht="15.75" thickBot="1" x14ac:dyDescent="0.3">
      <c r="A281" s="35">
        <v>372</v>
      </c>
      <c r="B281" s="36">
        <v>45663</v>
      </c>
      <c r="C281" s="35" t="s">
        <v>11</v>
      </c>
      <c r="D281" s="35" t="s">
        <v>31</v>
      </c>
      <c r="E281" s="35" t="s">
        <v>17</v>
      </c>
      <c r="F281" s="35" t="s">
        <v>35</v>
      </c>
      <c r="G281" s="35">
        <v>6</v>
      </c>
      <c r="H281" s="37">
        <v>2564</v>
      </c>
      <c r="I281" s="35">
        <v>0.05</v>
      </c>
      <c r="J281" s="38">
        <f t="shared" si="19"/>
        <v>15384</v>
      </c>
      <c r="K281" s="55" t="str">
        <f t="shared" si="20"/>
        <v>Venta Grande</v>
      </c>
      <c r="L281" s="58" t="str">
        <f>VLOOKUP(D281, AUXILIAR!$A$2:$B$16, 2, 0)</f>
        <v>LG Electronics</v>
      </c>
      <c r="M281" s="54" t="str">
        <f>IF(AND(E281="Tecnología", J281&gt;20000), "Prioridad Alta", IF(J281&gt;5000, "Prioridad Media", "Prioridad Baja"))</f>
        <v>Prioridad Media</v>
      </c>
      <c r="N281" s="54" t="str">
        <f>VLOOKUP(E281, AUXILIAR!$E$2:$F$4, 2, FALSE)</f>
        <v>ALM-02</v>
      </c>
    </row>
    <row r="282" spans="1:14" ht="15.75" thickBot="1" x14ac:dyDescent="0.3">
      <c r="A282" s="35">
        <v>18</v>
      </c>
      <c r="B282" s="36">
        <v>45309</v>
      </c>
      <c r="C282" s="35" t="s">
        <v>12</v>
      </c>
      <c r="D282" s="35" t="s">
        <v>29</v>
      </c>
      <c r="E282" s="35" t="s">
        <v>18</v>
      </c>
      <c r="F282" s="35" t="s">
        <v>36</v>
      </c>
      <c r="G282" s="35">
        <v>7</v>
      </c>
      <c r="H282" s="37">
        <v>2562</v>
      </c>
      <c r="I282" s="35">
        <v>0.12</v>
      </c>
      <c r="J282" s="38">
        <f t="shared" si="19"/>
        <v>17934</v>
      </c>
      <c r="K282" s="55" t="str">
        <f t="shared" si="20"/>
        <v>Venta Grande</v>
      </c>
      <c r="L282" s="58" t="str">
        <f>VLOOKUP(D282, AUXILIAR!$A$2:$B$16, 2, 0)</f>
        <v>LG Electronics</v>
      </c>
      <c r="M282" s="54" t="str">
        <f>IF(AND(E282="Tecnología", J282&gt;20000), "Prioridad Alta", IF(J282&gt;5000, "Prioridad Media", "Prioridad Baja"))</f>
        <v>Prioridad Media</v>
      </c>
      <c r="N282" s="54" t="str">
        <f>VLOOKUP(E282, AUXILIAR!$E$2:$F$4, 2, FALSE)</f>
        <v>ALM-03</v>
      </c>
    </row>
    <row r="283" spans="1:14" ht="15.75" hidden="1" thickBot="1" x14ac:dyDescent="0.3">
      <c r="A283" s="28">
        <v>282</v>
      </c>
      <c r="B283" s="29">
        <v>45573</v>
      </c>
      <c r="C283" s="30" t="s">
        <v>11</v>
      </c>
      <c r="D283" s="31" t="s">
        <v>29</v>
      </c>
      <c r="E283" s="31" t="s">
        <v>18</v>
      </c>
      <c r="F283" s="31" t="s">
        <v>35</v>
      </c>
      <c r="G283" s="31">
        <v>1</v>
      </c>
      <c r="H283" s="32">
        <v>958</v>
      </c>
      <c r="I283" s="31">
        <v>7.0000000000000007E-2</v>
      </c>
      <c r="J283" s="33">
        <f t="shared" si="19"/>
        <v>958</v>
      </c>
      <c r="K283" s="34" t="str">
        <f t="shared" si="20"/>
        <v>Venta Normal</v>
      </c>
      <c r="L283" s="31" t="str">
        <f>VLOOKUP(D283, AUXILIAR!$A$2:$B$16, 2, 0)</f>
        <v>LG Electronics</v>
      </c>
      <c r="M283"/>
    </row>
    <row r="284" spans="1:14" ht="15.75" thickBot="1" x14ac:dyDescent="0.3">
      <c r="A284" s="35">
        <v>87</v>
      </c>
      <c r="B284" s="36">
        <v>45378</v>
      </c>
      <c r="C284" s="35" t="s">
        <v>11</v>
      </c>
      <c r="D284" s="35" t="s">
        <v>32</v>
      </c>
      <c r="E284" s="35" t="s">
        <v>18</v>
      </c>
      <c r="F284" s="35" t="s">
        <v>35</v>
      </c>
      <c r="G284" s="35">
        <v>16</v>
      </c>
      <c r="H284" s="37">
        <v>2551</v>
      </c>
      <c r="I284" s="35">
        <v>0.02</v>
      </c>
      <c r="J284" s="38">
        <f t="shared" si="19"/>
        <v>40816</v>
      </c>
      <c r="K284" s="55" t="str">
        <f t="shared" si="20"/>
        <v>Venta Grande</v>
      </c>
      <c r="L284" s="58" t="str">
        <f>VLOOKUP(D284, AUXILIAR!$A$2:$B$16, 2, 0)</f>
        <v>Samsung Oficial</v>
      </c>
      <c r="M284" s="54" t="str">
        <f t="shared" ref="M284:M291" si="22">IF(AND(E284="Tecnología", J284&gt;20000), "Prioridad Alta", IF(J284&gt;5000, "Prioridad Media", "Prioridad Baja"))</f>
        <v>Prioridad Media</v>
      </c>
      <c r="N284" s="54" t="str">
        <f>VLOOKUP(E284, AUXILIAR!$E$2:$F$4, 2, FALSE)</f>
        <v>ALM-03</v>
      </c>
    </row>
    <row r="285" spans="1:14" ht="15.75" thickBot="1" x14ac:dyDescent="0.3">
      <c r="A285" s="35">
        <v>235</v>
      </c>
      <c r="B285" s="36">
        <v>45526</v>
      </c>
      <c r="C285" s="35" t="s">
        <v>14</v>
      </c>
      <c r="D285" s="35" t="s">
        <v>26</v>
      </c>
      <c r="E285" s="35" t="s">
        <v>18</v>
      </c>
      <c r="F285" s="35" t="s">
        <v>38</v>
      </c>
      <c r="G285" s="35">
        <v>10</v>
      </c>
      <c r="H285" s="37">
        <v>2537</v>
      </c>
      <c r="I285" s="35">
        <v>0.13</v>
      </c>
      <c r="J285" s="38">
        <f t="shared" si="19"/>
        <v>25370</v>
      </c>
      <c r="K285" s="55" t="str">
        <f t="shared" si="20"/>
        <v>Venta Grande</v>
      </c>
      <c r="L285" s="58" t="str">
        <f>VLOOKUP(D285, AUXILIAR!$A$2:$B$16, 2, 0)</f>
        <v>Office Design</v>
      </c>
      <c r="M285" s="54" t="str">
        <f t="shared" si="22"/>
        <v>Prioridad Media</v>
      </c>
      <c r="N285" s="54" t="str">
        <f>VLOOKUP(E285, AUXILIAR!$E$2:$F$4, 2, FALSE)</f>
        <v>ALM-03</v>
      </c>
    </row>
    <row r="286" spans="1:14" ht="15.75" thickBot="1" x14ac:dyDescent="0.3">
      <c r="A286" s="35">
        <v>355</v>
      </c>
      <c r="B286" s="36">
        <v>45646</v>
      </c>
      <c r="C286" s="35" t="s">
        <v>14</v>
      </c>
      <c r="D286" s="35" t="s">
        <v>25</v>
      </c>
      <c r="E286" s="35" t="s">
        <v>17</v>
      </c>
      <c r="F286" s="35" t="s">
        <v>38</v>
      </c>
      <c r="G286" s="35">
        <v>16</v>
      </c>
      <c r="H286" s="37">
        <v>2529</v>
      </c>
      <c r="I286" s="35">
        <v>0.08</v>
      </c>
      <c r="J286" s="38">
        <f t="shared" si="19"/>
        <v>40464</v>
      </c>
      <c r="K286" s="55" t="str">
        <f t="shared" si="20"/>
        <v>Venta Grande</v>
      </c>
      <c r="L286" s="58" t="str">
        <f>VLOOKUP(D286, AUXILIAR!$A$2:$B$16, 2, 0)</f>
        <v>LG Electronics</v>
      </c>
      <c r="M286" s="54" t="str">
        <f t="shared" si="22"/>
        <v>Prioridad Media</v>
      </c>
      <c r="N286" s="54" t="str">
        <f>VLOOKUP(E286, AUXILIAR!$E$2:$F$4, 2, FALSE)</f>
        <v>ALM-02</v>
      </c>
    </row>
    <row r="287" spans="1:14" ht="15.75" thickBot="1" x14ac:dyDescent="0.3">
      <c r="A287" s="35">
        <v>192</v>
      </c>
      <c r="B287" s="36">
        <v>45483</v>
      </c>
      <c r="C287" s="35" t="s">
        <v>11</v>
      </c>
      <c r="D287" s="35" t="s">
        <v>27</v>
      </c>
      <c r="E287" s="35" t="s">
        <v>16</v>
      </c>
      <c r="F287" s="35" t="s">
        <v>35</v>
      </c>
      <c r="G287" s="35">
        <v>2</v>
      </c>
      <c r="H287" s="37">
        <v>2517</v>
      </c>
      <c r="I287" s="35">
        <v>0.12</v>
      </c>
      <c r="J287" s="38">
        <f t="shared" si="19"/>
        <v>5034</v>
      </c>
      <c r="K287" s="55" t="str">
        <f t="shared" si="20"/>
        <v>Venta Grande</v>
      </c>
      <c r="L287" s="58" t="str">
        <f>VLOOKUP(D287, AUXILIAR!$A$2:$B$16, 2, 0)</f>
        <v>LG Electronics</v>
      </c>
      <c r="M287" s="54" t="str">
        <f t="shared" si="22"/>
        <v>Prioridad Media</v>
      </c>
      <c r="N287" s="54" t="str">
        <f>VLOOKUP(E287, AUXILIAR!$E$2:$F$4, 2, FALSE)</f>
        <v>ALM-01</v>
      </c>
    </row>
    <row r="288" spans="1:14" ht="15.75" thickBot="1" x14ac:dyDescent="0.3">
      <c r="A288" s="35">
        <v>314</v>
      </c>
      <c r="B288" s="36">
        <v>45605</v>
      </c>
      <c r="C288" s="35" t="s">
        <v>13</v>
      </c>
      <c r="D288" s="35" t="s">
        <v>28</v>
      </c>
      <c r="E288" s="35" t="s">
        <v>17</v>
      </c>
      <c r="F288" s="35" t="s">
        <v>37</v>
      </c>
      <c r="G288" s="35">
        <v>6</v>
      </c>
      <c r="H288" s="37">
        <v>2510</v>
      </c>
      <c r="I288" s="35">
        <v>0.02</v>
      </c>
      <c r="J288" s="38">
        <f t="shared" si="19"/>
        <v>15060</v>
      </c>
      <c r="K288" s="55" t="str">
        <f t="shared" si="20"/>
        <v>Venta Grande</v>
      </c>
      <c r="L288" s="58" t="str">
        <f>VLOOKUP(D288, AUXILIAR!$A$2:$B$16, 2, 0)</f>
        <v>Samsung Oficial</v>
      </c>
      <c r="M288" s="54" t="str">
        <f t="shared" si="22"/>
        <v>Prioridad Media</v>
      </c>
      <c r="N288" s="54" t="str">
        <f>VLOOKUP(E288, AUXILIAR!$E$2:$F$4, 2, FALSE)</f>
        <v>ALM-02</v>
      </c>
    </row>
    <row r="289" spans="1:14" ht="15.75" thickBot="1" x14ac:dyDescent="0.3">
      <c r="A289" s="35">
        <v>308</v>
      </c>
      <c r="B289" s="36">
        <v>45599</v>
      </c>
      <c r="C289" s="35" t="s">
        <v>12</v>
      </c>
      <c r="D289" s="35" t="s">
        <v>33</v>
      </c>
      <c r="E289" s="35" t="s">
        <v>16</v>
      </c>
      <c r="F289" s="35" t="s">
        <v>36</v>
      </c>
      <c r="G289" s="35">
        <v>2</v>
      </c>
      <c r="H289" s="37">
        <v>2505</v>
      </c>
      <c r="I289" s="35">
        <v>0.08</v>
      </c>
      <c r="J289" s="38">
        <f t="shared" si="19"/>
        <v>5010</v>
      </c>
      <c r="K289" s="55" t="str">
        <f t="shared" si="20"/>
        <v>Venta Grande</v>
      </c>
      <c r="L289" s="58" t="str">
        <f>VLOOKUP(D289, AUXILIAR!$A$2:$B$16, 2, 0)</f>
        <v>LG Electronics</v>
      </c>
      <c r="M289" s="54" t="str">
        <f t="shared" si="22"/>
        <v>Prioridad Media</v>
      </c>
      <c r="N289" s="54" t="str">
        <f>VLOOKUP(E289, AUXILIAR!$E$2:$F$4, 2, FALSE)</f>
        <v>ALM-01</v>
      </c>
    </row>
    <row r="290" spans="1:14" ht="15.75" thickBot="1" x14ac:dyDescent="0.3">
      <c r="A290" s="35">
        <v>152</v>
      </c>
      <c r="B290" s="36">
        <v>45443</v>
      </c>
      <c r="C290" s="35" t="s">
        <v>11</v>
      </c>
      <c r="D290" s="35" t="s">
        <v>31</v>
      </c>
      <c r="E290" s="35" t="s">
        <v>17</v>
      </c>
      <c r="F290" s="35" t="s">
        <v>35</v>
      </c>
      <c r="G290" s="35">
        <v>9</v>
      </c>
      <c r="H290" s="37">
        <v>2504</v>
      </c>
      <c r="I290" s="35">
        <v>0.08</v>
      </c>
      <c r="J290" s="38">
        <f t="shared" si="19"/>
        <v>22536</v>
      </c>
      <c r="K290" s="55" t="str">
        <f t="shared" si="20"/>
        <v>Venta Grande</v>
      </c>
      <c r="L290" s="58" t="str">
        <f>VLOOKUP(D290, AUXILIAR!$A$2:$B$16, 2, 0)</f>
        <v>LG Electronics</v>
      </c>
      <c r="M290" s="54" t="str">
        <f t="shared" si="22"/>
        <v>Prioridad Media</v>
      </c>
      <c r="N290" s="54" t="str">
        <f>VLOOKUP(E290, AUXILIAR!$E$2:$F$4, 2, FALSE)</f>
        <v>ALM-02</v>
      </c>
    </row>
    <row r="291" spans="1:14" ht="15.75" thickBot="1" x14ac:dyDescent="0.3">
      <c r="A291" s="35">
        <v>325</v>
      </c>
      <c r="B291" s="36">
        <v>45616</v>
      </c>
      <c r="C291" s="35" t="s">
        <v>14</v>
      </c>
      <c r="D291" s="35" t="s">
        <v>28</v>
      </c>
      <c r="E291" s="35" t="s">
        <v>17</v>
      </c>
      <c r="F291" s="35" t="s">
        <v>38</v>
      </c>
      <c r="G291" s="35">
        <v>17</v>
      </c>
      <c r="H291" s="37">
        <v>2498</v>
      </c>
      <c r="I291" s="35">
        <v>0.04</v>
      </c>
      <c r="J291" s="38">
        <f t="shared" si="19"/>
        <v>42466</v>
      </c>
      <c r="K291" s="55" t="str">
        <f t="shared" si="20"/>
        <v>Venta Grande</v>
      </c>
      <c r="L291" s="58" t="str">
        <f>VLOOKUP(D291, AUXILIAR!$A$2:$B$16, 2, 0)</f>
        <v>Samsung Oficial</v>
      </c>
      <c r="M291" s="54" t="str">
        <f t="shared" si="22"/>
        <v>Prioridad Media</v>
      </c>
      <c r="N291" s="54" t="str">
        <f>VLOOKUP(E291, AUXILIAR!$E$2:$F$4, 2, FALSE)</f>
        <v>ALM-02</v>
      </c>
    </row>
    <row r="292" spans="1:14" ht="15.75" hidden="1" thickBot="1" x14ac:dyDescent="0.3">
      <c r="A292" s="28">
        <v>291</v>
      </c>
      <c r="B292" s="29">
        <v>45582</v>
      </c>
      <c r="C292" s="30" t="s">
        <v>10</v>
      </c>
      <c r="D292" s="31" t="s">
        <v>27</v>
      </c>
      <c r="E292" s="31" t="s">
        <v>16</v>
      </c>
      <c r="F292" s="31" t="s">
        <v>34</v>
      </c>
      <c r="G292" s="31">
        <v>18</v>
      </c>
      <c r="H292" s="32">
        <v>123</v>
      </c>
      <c r="I292" s="31">
        <v>0.06</v>
      </c>
      <c r="J292" s="33">
        <f t="shared" si="19"/>
        <v>2214</v>
      </c>
      <c r="K292" s="34" t="str">
        <f t="shared" si="20"/>
        <v>Venta Normal</v>
      </c>
      <c r="L292" s="31" t="str">
        <f>VLOOKUP(D292, AUXILIAR!$A$2:$B$16, 2, 0)</f>
        <v>LG Electronics</v>
      </c>
      <c r="M292"/>
    </row>
    <row r="293" spans="1:14" ht="15.75" thickBot="1" x14ac:dyDescent="0.3">
      <c r="A293" s="35">
        <v>344</v>
      </c>
      <c r="B293" s="36">
        <v>45635</v>
      </c>
      <c r="C293" s="35" t="s">
        <v>13</v>
      </c>
      <c r="D293" s="35" t="s">
        <v>25</v>
      </c>
      <c r="E293" s="35" t="s">
        <v>17</v>
      </c>
      <c r="F293" s="35" t="s">
        <v>37</v>
      </c>
      <c r="G293" s="35">
        <v>15</v>
      </c>
      <c r="H293" s="37">
        <v>2491</v>
      </c>
      <c r="I293" s="35">
        <v>0.03</v>
      </c>
      <c r="J293" s="38">
        <f t="shared" si="19"/>
        <v>37365</v>
      </c>
      <c r="K293" s="55" t="str">
        <f t="shared" si="20"/>
        <v>Venta Grande</v>
      </c>
      <c r="L293" s="58" t="str">
        <f>VLOOKUP(D293, AUXILIAR!$A$2:$B$16, 2, 0)</f>
        <v>LG Electronics</v>
      </c>
      <c r="M293" s="54" t="str">
        <f>IF(AND(E293="Tecnología", J293&gt;20000), "Prioridad Alta", IF(J293&gt;5000, "Prioridad Media", "Prioridad Baja"))</f>
        <v>Prioridad Media</v>
      </c>
      <c r="N293" s="54" t="str">
        <f>VLOOKUP(E293, AUXILIAR!$E$2:$F$4, 2, FALSE)</f>
        <v>ALM-02</v>
      </c>
    </row>
    <row r="294" spans="1:14" ht="15.75" hidden="1" thickBot="1" x14ac:dyDescent="0.3">
      <c r="A294" s="21">
        <v>293</v>
      </c>
      <c r="B294" s="22">
        <v>45584</v>
      </c>
      <c r="C294" s="23" t="s">
        <v>12</v>
      </c>
      <c r="D294" s="24" t="s">
        <v>29</v>
      </c>
      <c r="E294" s="24" t="s">
        <v>18</v>
      </c>
      <c r="F294" s="24" t="s">
        <v>36</v>
      </c>
      <c r="G294" s="24">
        <v>1</v>
      </c>
      <c r="H294" s="25">
        <v>3451</v>
      </c>
      <c r="I294" s="24">
        <v>0.09</v>
      </c>
      <c r="J294" s="26">
        <f t="shared" si="19"/>
        <v>3451</v>
      </c>
      <c r="K294" s="27" t="str">
        <f t="shared" si="20"/>
        <v>Venta Normal</v>
      </c>
      <c r="L294" s="24" t="str">
        <f>VLOOKUP(D294, AUXILIAR!$A$2:$B$16, 2, 0)</f>
        <v>LG Electronics</v>
      </c>
      <c r="M294"/>
    </row>
    <row r="295" spans="1:14" ht="15.75" hidden="1" thickBot="1" x14ac:dyDescent="0.3">
      <c r="A295" s="16">
        <v>294</v>
      </c>
      <c r="B295" s="17">
        <v>45585</v>
      </c>
      <c r="C295" s="15" t="s">
        <v>13</v>
      </c>
      <c r="D295" s="18" t="s">
        <v>30</v>
      </c>
      <c r="E295" s="18" t="s">
        <v>16</v>
      </c>
      <c r="F295" s="18" t="s">
        <v>37</v>
      </c>
      <c r="G295" s="18">
        <v>2</v>
      </c>
      <c r="H295" s="19">
        <v>1004</v>
      </c>
      <c r="I295" s="18">
        <v>7.0000000000000007E-2</v>
      </c>
      <c r="J295" s="20">
        <f t="shared" si="19"/>
        <v>2008</v>
      </c>
      <c r="K295" s="14" t="str">
        <f t="shared" si="20"/>
        <v>Venta Normal</v>
      </c>
      <c r="L295" s="18" t="str">
        <f>VLOOKUP(D295, AUXILIAR!$A$2:$B$16, 2, 0)</f>
        <v>Office Design</v>
      </c>
      <c r="M295"/>
    </row>
    <row r="296" spans="1:14" ht="15.75" thickBot="1" x14ac:dyDescent="0.3">
      <c r="A296" s="35">
        <v>91</v>
      </c>
      <c r="B296" s="36">
        <v>45382</v>
      </c>
      <c r="C296" s="35" t="s">
        <v>10</v>
      </c>
      <c r="D296" s="35" t="s">
        <v>25</v>
      </c>
      <c r="E296" s="35" t="s">
        <v>17</v>
      </c>
      <c r="F296" s="35" t="s">
        <v>34</v>
      </c>
      <c r="G296" s="35">
        <v>5</v>
      </c>
      <c r="H296" s="37">
        <v>2470</v>
      </c>
      <c r="I296" s="35">
        <v>0.02</v>
      </c>
      <c r="J296" s="38">
        <f t="shared" si="19"/>
        <v>12350</v>
      </c>
      <c r="K296" s="55" t="str">
        <f t="shared" si="20"/>
        <v>Venta Grande</v>
      </c>
      <c r="L296" s="58" t="str">
        <f>VLOOKUP(D296, AUXILIAR!$A$2:$B$16, 2, 0)</f>
        <v>LG Electronics</v>
      </c>
      <c r="M296" s="54" t="str">
        <f t="shared" ref="M296:M302" si="23">IF(AND(E296="Tecnología", J296&gt;20000), "Prioridad Alta", IF(J296&gt;5000, "Prioridad Media", "Prioridad Baja"))</f>
        <v>Prioridad Media</v>
      </c>
      <c r="N296" s="54" t="str">
        <f>VLOOKUP(E296, AUXILIAR!$E$2:$F$4, 2, FALSE)</f>
        <v>ALM-02</v>
      </c>
    </row>
    <row r="297" spans="1:14" ht="15.75" thickBot="1" x14ac:dyDescent="0.3">
      <c r="A297" s="35">
        <v>188</v>
      </c>
      <c r="B297" s="36">
        <v>45479</v>
      </c>
      <c r="C297" s="35" t="s">
        <v>12</v>
      </c>
      <c r="D297" s="35" t="s">
        <v>33</v>
      </c>
      <c r="E297" s="35" t="s">
        <v>16</v>
      </c>
      <c r="F297" s="35" t="s">
        <v>36</v>
      </c>
      <c r="G297" s="35">
        <v>10</v>
      </c>
      <c r="H297" s="37">
        <v>2470</v>
      </c>
      <c r="I297" s="35">
        <v>0.14000000000000001</v>
      </c>
      <c r="J297" s="38">
        <f t="shared" si="19"/>
        <v>24700</v>
      </c>
      <c r="K297" s="55" t="str">
        <f t="shared" si="20"/>
        <v>Venta Grande</v>
      </c>
      <c r="L297" s="58" t="str">
        <f>VLOOKUP(D297, AUXILIAR!$A$2:$B$16, 2, 0)</f>
        <v>LG Electronics</v>
      </c>
      <c r="M297" s="54" t="str">
        <f t="shared" si="23"/>
        <v>Prioridad Alta</v>
      </c>
      <c r="N297" s="54" t="str">
        <f>VLOOKUP(E297, AUXILIAR!$E$2:$F$4, 2, FALSE)</f>
        <v>ALM-01</v>
      </c>
    </row>
    <row r="298" spans="1:14" ht="15.75" thickBot="1" x14ac:dyDescent="0.3">
      <c r="A298" s="35">
        <v>321</v>
      </c>
      <c r="B298" s="36">
        <v>45612</v>
      </c>
      <c r="C298" s="35" t="s">
        <v>10</v>
      </c>
      <c r="D298" s="35" t="s">
        <v>24</v>
      </c>
      <c r="E298" s="35" t="s">
        <v>16</v>
      </c>
      <c r="F298" s="35" t="s">
        <v>34</v>
      </c>
      <c r="G298" s="35">
        <v>5</v>
      </c>
      <c r="H298" s="37">
        <v>2443</v>
      </c>
      <c r="I298" s="35">
        <v>0.11</v>
      </c>
      <c r="J298" s="38">
        <f t="shared" si="19"/>
        <v>12215</v>
      </c>
      <c r="K298" s="55" t="str">
        <f t="shared" si="20"/>
        <v>Venta Grande</v>
      </c>
      <c r="L298" s="58" t="str">
        <f>VLOOKUP(D298, AUXILIAR!$A$2:$B$16, 2, 0)</f>
        <v>Samsung Oficial</v>
      </c>
      <c r="M298" s="54" t="str">
        <f t="shared" si="23"/>
        <v>Prioridad Media</v>
      </c>
      <c r="N298" s="54" t="str">
        <f>VLOOKUP(E298, AUXILIAR!$E$2:$F$4, 2, FALSE)</f>
        <v>ALM-01</v>
      </c>
    </row>
    <row r="299" spans="1:14" ht="15.75" thickBot="1" x14ac:dyDescent="0.3">
      <c r="A299" s="35">
        <v>323</v>
      </c>
      <c r="B299" s="36">
        <v>45614</v>
      </c>
      <c r="C299" s="35" t="s">
        <v>12</v>
      </c>
      <c r="D299" s="35" t="s">
        <v>26</v>
      </c>
      <c r="E299" s="35" t="s">
        <v>18</v>
      </c>
      <c r="F299" s="35" t="s">
        <v>36</v>
      </c>
      <c r="G299" s="35">
        <v>10</v>
      </c>
      <c r="H299" s="37">
        <v>2443</v>
      </c>
      <c r="I299" s="35">
        <v>0.09</v>
      </c>
      <c r="J299" s="38">
        <f t="shared" si="19"/>
        <v>24430</v>
      </c>
      <c r="K299" s="55" t="str">
        <f t="shared" si="20"/>
        <v>Venta Grande</v>
      </c>
      <c r="L299" s="58" t="str">
        <f>VLOOKUP(D299, AUXILIAR!$A$2:$B$16, 2, 0)</f>
        <v>Office Design</v>
      </c>
      <c r="M299" s="54" t="str">
        <f t="shared" si="23"/>
        <v>Prioridad Media</v>
      </c>
      <c r="N299" s="54" t="str">
        <f>VLOOKUP(E299, AUXILIAR!$E$2:$F$4, 2, FALSE)</f>
        <v>ALM-03</v>
      </c>
    </row>
    <row r="300" spans="1:14" ht="15.75" thickBot="1" x14ac:dyDescent="0.3">
      <c r="A300" s="35">
        <v>51</v>
      </c>
      <c r="B300" s="36">
        <v>45342</v>
      </c>
      <c r="C300" s="35" t="s">
        <v>10</v>
      </c>
      <c r="D300" s="35" t="s">
        <v>29</v>
      </c>
      <c r="E300" s="35" t="s">
        <v>18</v>
      </c>
      <c r="F300" s="35" t="s">
        <v>34</v>
      </c>
      <c r="G300" s="35">
        <v>18</v>
      </c>
      <c r="H300" s="37">
        <v>2436</v>
      </c>
      <c r="I300" s="35">
        <v>0.04</v>
      </c>
      <c r="J300" s="38">
        <f t="shared" si="19"/>
        <v>43848</v>
      </c>
      <c r="K300" s="55" t="str">
        <f t="shared" si="20"/>
        <v>Venta Grande</v>
      </c>
      <c r="L300" s="58" t="str">
        <f>VLOOKUP(D300, AUXILIAR!$A$2:$B$16, 2, 0)</f>
        <v>LG Electronics</v>
      </c>
      <c r="M300" s="54" t="str">
        <f t="shared" si="23"/>
        <v>Prioridad Media</v>
      </c>
      <c r="N300" s="54" t="str">
        <f>VLOOKUP(E300, AUXILIAR!$E$2:$F$4, 2, FALSE)</f>
        <v>ALM-03</v>
      </c>
    </row>
    <row r="301" spans="1:14" ht="15.75" thickBot="1" x14ac:dyDescent="0.3">
      <c r="A301" s="35">
        <v>25</v>
      </c>
      <c r="B301" s="36">
        <v>45316</v>
      </c>
      <c r="C301" s="35" t="s">
        <v>14</v>
      </c>
      <c r="D301" s="35" t="s">
        <v>25</v>
      </c>
      <c r="E301" s="35" t="s">
        <v>17</v>
      </c>
      <c r="F301" s="35" t="s">
        <v>38</v>
      </c>
      <c r="G301" s="35">
        <v>3</v>
      </c>
      <c r="H301" s="37">
        <v>2432</v>
      </c>
      <c r="I301" s="35">
        <v>7.0000000000000007E-2</v>
      </c>
      <c r="J301" s="38">
        <f t="shared" si="19"/>
        <v>7296</v>
      </c>
      <c r="K301" s="55" t="str">
        <f t="shared" si="20"/>
        <v>Venta Grande</v>
      </c>
      <c r="L301" s="58" t="str">
        <f>VLOOKUP(D301, AUXILIAR!$A$2:$B$16, 2, 0)</f>
        <v>LG Electronics</v>
      </c>
      <c r="M301" s="54" t="str">
        <f t="shared" si="23"/>
        <v>Prioridad Media</v>
      </c>
      <c r="N301" s="54" t="str">
        <f>VLOOKUP(E301, AUXILIAR!$E$2:$F$4, 2, FALSE)</f>
        <v>ALM-02</v>
      </c>
    </row>
    <row r="302" spans="1:14" ht="15.75" thickBot="1" x14ac:dyDescent="0.3">
      <c r="A302" s="35">
        <v>185</v>
      </c>
      <c r="B302" s="36">
        <v>45476</v>
      </c>
      <c r="C302" s="35" t="s">
        <v>14</v>
      </c>
      <c r="D302" s="35" t="s">
        <v>31</v>
      </c>
      <c r="E302" s="35" t="s">
        <v>17</v>
      </c>
      <c r="F302" s="35" t="s">
        <v>38</v>
      </c>
      <c r="G302" s="35">
        <v>20</v>
      </c>
      <c r="H302" s="37">
        <v>2431</v>
      </c>
      <c r="I302" s="35">
        <v>0.02</v>
      </c>
      <c r="J302" s="38">
        <f t="shared" si="19"/>
        <v>48620</v>
      </c>
      <c r="K302" s="55" t="str">
        <f t="shared" si="20"/>
        <v>Venta Grande</v>
      </c>
      <c r="L302" s="58" t="str">
        <f>VLOOKUP(D302, AUXILIAR!$A$2:$B$16, 2, 0)</f>
        <v>LG Electronics</v>
      </c>
      <c r="M302" s="54" t="str">
        <f t="shared" si="23"/>
        <v>Prioridad Media</v>
      </c>
      <c r="N302" s="54" t="str">
        <f>VLOOKUP(E302, AUXILIAR!$E$2:$F$4, 2, FALSE)</f>
        <v>ALM-02</v>
      </c>
    </row>
    <row r="303" spans="1:14" ht="15.75" hidden="1" thickBot="1" x14ac:dyDescent="0.3">
      <c r="A303" s="28">
        <v>302</v>
      </c>
      <c r="B303" s="29">
        <v>45593</v>
      </c>
      <c r="C303" s="30" t="s">
        <v>11</v>
      </c>
      <c r="D303" s="31" t="s">
        <v>27</v>
      </c>
      <c r="E303" s="31" t="s">
        <v>16</v>
      </c>
      <c r="F303" s="31" t="s">
        <v>35</v>
      </c>
      <c r="G303" s="31">
        <v>1</v>
      </c>
      <c r="H303" s="32">
        <v>4177</v>
      </c>
      <c r="I303" s="31">
        <v>0.01</v>
      </c>
      <c r="J303" s="33">
        <f t="shared" si="19"/>
        <v>4177</v>
      </c>
      <c r="K303" s="34" t="str">
        <f t="shared" si="20"/>
        <v>Venta Normal</v>
      </c>
      <c r="L303" s="31" t="str">
        <f>VLOOKUP(D303, AUXILIAR!$A$2:$B$16, 2, 0)</f>
        <v>LG Electronics</v>
      </c>
      <c r="M303"/>
    </row>
    <row r="304" spans="1:14" ht="15.75" thickBot="1" x14ac:dyDescent="0.3">
      <c r="A304" s="35">
        <v>275</v>
      </c>
      <c r="B304" s="36">
        <v>45566</v>
      </c>
      <c r="C304" s="35" t="s">
        <v>14</v>
      </c>
      <c r="D304" s="35" t="s">
        <v>33</v>
      </c>
      <c r="E304" s="35" t="s">
        <v>16</v>
      </c>
      <c r="F304" s="35" t="s">
        <v>38</v>
      </c>
      <c r="G304" s="35">
        <v>7</v>
      </c>
      <c r="H304" s="37">
        <v>2425</v>
      </c>
      <c r="I304" s="35">
        <v>0.03</v>
      </c>
      <c r="J304" s="38">
        <f t="shared" si="19"/>
        <v>16975</v>
      </c>
      <c r="K304" s="55" t="str">
        <f t="shared" si="20"/>
        <v>Venta Grande</v>
      </c>
      <c r="L304" s="58" t="str">
        <f>VLOOKUP(D304, AUXILIAR!$A$2:$B$16, 2, 0)</f>
        <v>LG Electronics</v>
      </c>
      <c r="M304" s="54" t="str">
        <f>IF(AND(E304="Tecnología", J304&gt;20000), "Prioridad Alta", IF(J304&gt;5000, "Prioridad Media", "Prioridad Baja"))</f>
        <v>Prioridad Media</v>
      </c>
      <c r="N304" s="54" t="str">
        <f>VLOOKUP(E304, AUXILIAR!$E$2:$F$4, 2, FALSE)</f>
        <v>ALM-01</v>
      </c>
    </row>
    <row r="305" spans="1:14" ht="15.75" thickBot="1" x14ac:dyDescent="0.3">
      <c r="A305" s="35">
        <v>371</v>
      </c>
      <c r="B305" s="36">
        <v>45662</v>
      </c>
      <c r="C305" s="35" t="s">
        <v>10</v>
      </c>
      <c r="D305" s="35" t="s">
        <v>30</v>
      </c>
      <c r="E305" s="35" t="s">
        <v>16</v>
      </c>
      <c r="F305" s="35" t="s">
        <v>34</v>
      </c>
      <c r="G305" s="35">
        <v>5</v>
      </c>
      <c r="H305" s="37">
        <v>2419</v>
      </c>
      <c r="I305" s="35">
        <v>0.08</v>
      </c>
      <c r="J305" s="38">
        <f t="shared" si="19"/>
        <v>12095</v>
      </c>
      <c r="K305" s="55" t="str">
        <f t="shared" si="20"/>
        <v>Venta Grande</v>
      </c>
      <c r="L305" s="58" t="str">
        <f>VLOOKUP(D305, AUXILIAR!$A$2:$B$16, 2, 0)</f>
        <v>Office Design</v>
      </c>
      <c r="M305" s="54" t="str">
        <f>IF(AND(E305="Tecnología", J305&gt;20000), "Prioridad Alta", IF(J305&gt;5000, "Prioridad Media", "Prioridad Baja"))</f>
        <v>Prioridad Media</v>
      </c>
      <c r="N305" s="54" t="str">
        <f>VLOOKUP(E305, AUXILIAR!$E$2:$F$4, 2, FALSE)</f>
        <v>ALM-01</v>
      </c>
    </row>
    <row r="306" spans="1:14" ht="15.75" hidden="1" thickBot="1" x14ac:dyDescent="0.3">
      <c r="A306" s="21">
        <v>305</v>
      </c>
      <c r="B306" s="22">
        <v>45596</v>
      </c>
      <c r="C306" s="23" t="s">
        <v>14</v>
      </c>
      <c r="D306" s="24" t="s">
        <v>30</v>
      </c>
      <c r="E306" s="24" t="s">
        <v>16</v>
      </c>
      <c r="F306" s="24" t="s">
        <v>38</v>
      </c>
      <c r="G306" s="24">
        <v>5</v>
      </c>
      <c r="H306" s="25">
        <v>950</v>
      </c>
      <c r="I306" s="24">
        <v>0.14000000000000001</v>
      </c>
      <c r="J306" s="26">
        <f t="shared" si="19"/>
        <v>4750</v>
      </c>
      <c r="K306" s="27" t="str">
        <f t="shared" si="20"/>
        <v>Venta Normal</v>
      </c>
      <c r="L306" s="24" t="str">
        <f>VLOOKUP(D306, AUXILIAR!$A$2:$B$16, 2, 0)</f>
        <v>Office Design</v>
      </c>
      <c r="M306"/>
    </row>
    <row r="307" spans="1:14" ht="15.75" hidden="1" thickBot="1" x14ac:dyDescent="0.3">
      <c r="A307" s="10">
        <v>306</v>
      </c>
      <c r="B307" s="11">
        <v>45597</v>
      </c>
      <c r="C307" s="5" t="s">
        <v>10</v>
      </c>
      <c r="D307" s="2" t="s">
        <v>31</v>
      </c>
      <c r="E307" s="2" t="s">
        <v>17</v>
      </c>
      <c r="F307" s="2" t="s">
        <v>34</v>
      </c>
      <c r="G307" s="2">
        <v>1</v>
      </c>
      <c r="H307" s="6">
        <v>4578</v>
      </c>
      <c r="I307" s="2">
        <v>0.14000000000000001</v>
      </c>
      <c r="J307" s="8">
        <f t="shared" si="19"/>
        <v>4578</v>
      </c>
      <c r="K307" s="4" t="str">
        <f t="shared" si="20"/>
        <v>Venta Normal</v>
      </c>
      <c r="L307" s="2" t="str">
        <f>VLOOKUP(D307, AUXILIAR!$A$2:$B$16, 2, 0)</f>
        <v>LG Electronics</v>
      </c>
      <c r="M307"/>
    </row>
    <row r="308" spans="1:14" ht="15.75" hidden="1" thickBot="1" x14ac:dyDescent="0.3">
      <c r="A308" s="16">
        <v>307</v>
      </c>
      <c r="B308" s="17">
        <v>45598</v>
      </c>
      <c r="C308" s="15" t="s">
        <v>11</v>
      </c>
      <c r="D308" s="18" t="s">
        <v>32</v>
      </c>
      <c r="E308" s="18" t="s">
        <v>18</v>
      </c>
      <c r="F308" s="18" t="s">
        <v>35</v>
      </c>
      <c r="G308" s="18">
        <v>2</v>
      </c>
      <c r="H308" s="19">
        <v>321</v>
      </c>
      <c r="I308" s="18">
        <v>0.02</v>
      </c>
      <c r="J308" s="20">
        <f t="shared" si="19"/>
        <v>642</v>
      </c>
      <c r="K308" s="14" t="str">
        <f t="shared" si="20"/>
        <v>Venta Normal</v>
      </c>
      <c r="L308" s="18" t="str">
        <f>VLOOKUP(D308, AUXILIAR!$A$2:$B$16, 2, 0)</f>
        <v>Samsung Oficial</v>
      </c>
      <c r="M308"/>
    </row>
    <row r="309" spans="1:14" ht="15.75" thickBot="1" x14ac:dyDescent="0.3">
      <c r="A309" s="35">
        <v>329</v>
      </c>
      <c r="B309" s="36">
        <v>45620</v>
      </c>
      <c r="C309" s="35" t="s">
        <v>13</v>
      </c>
      <c r="D309" s="35" t="s">
        <v>32</v>
      </c>
      <c r="E309" s="35" t="s">
        <v>18</v>
      </c>
      <c r="F309" s="35" t="s">
        <v>37</v>
      </c>
      <c r="G309" s="35">
        <v>4</v>
      </c>
      <c r="H309" s="37">
        <v>2418</v>
      </c>
      <c r="I309" s="35">
        <v>0.04</v>
      </c>
      <c r="J309" s="38">
        <f t="shared" si="19"/>
        <v>9672</v>
      </c>
      <c r="K309" s="55" t="str">
        <f t="shared" si="20"/>
        <v>Venta Grande</v>
      </c>
      <c r="L309" s="58" t="str">
        <f>VLOOKUP(D309, AUXILIAR!$A$2:$B$16, 2, 0)</f>
        <v>Samsung Oficial</v>
      </c>
      <c r="M309" s="54" t="str">
        <f t="shared" ref="M309:M317" si="24">IF(AND(E309="Tecnología", J309&gt;20000), "Prioridad Alta", IF(J309&gt;5000, "Prioridad Media", "Prioridad Baja"))</f>
        <v>Prioridad Media</v>
      </c>
      <c r="N309" s="54" t="str">
        <f>VLOOKUP(E309, AUXILIAR!$E$2:$F$4, 2, FALSE)</f>
        <v>ALM-03</v>
      </c>
    </row>
    <row r="310" spans="1:14" ht="15.75" thickBot="1" x14ac:dyDescent="0.3">
      <c r="A310" s="35">
        <v>456</v>
      </c>
      <c r="B310" s="36">
        <v>45747</v>
      </c>
      <c r="C310" s="35" t="s">
        <v>10</v>
      </c>
      <c r="D310" s="35" t="s">
        <v>27</v>
      </c>
      <c r="E310" s="35" t="s">
        <v>16</v>
      </c>
      <c r="F310" s="35" t="s">
        <v>34</v>
      </c>
      <c r="G310" s="35">
        <v>17</v>
      </c>
      <c r="H310" s="37">
        <v>2408</v>
      </c>
      <c r="I310" s="35">
        <v>0.1</v>
      </c>
      <c r="J310" s="38">
        <f t="shared" si="19"/>
        <v>40936</v>
      </c>
      <c r="K310" s="55" t="str">
        <f t="shared" si="20"/>
        <v>Venta Grande</v>
      </c>
      <c r="L310" s="58" t="str">
        <f>VLOOKUP(D310, AUXILIAR!$A$2:$B$16, 2, 0)</f>
        <v>LG Electronics</v>
      </c>
      <c r="M310" s="54" t="str">
        <f t="shared" si="24"/>
        <v>Prioridad Alta</v>
      </c>
      <c r="N310" s="54" t="str">
        <f>VLOOKUP(E310, AUXILIAR!$E$2:$F$4, 2, FALSE)</f>
        <v>ALM-01</v>
      </c>
    </row>
    <row r="311" spans="1:14" ht="15.75" thickBot="1" x14ac:dyDescent="0.3">
      <c r="A311" s="35">
        <v>361</v>
      </c>
      <c r="B311" s="36">
        <v>45652</v>
      </c>
      <c r="C311" s="35" t="s">
        <v>10</v>
      </c>
      <c r="D311" s="35" t="s">
        <v>31</v>
      </c>
      <c r="E311" s="35" t="s">
        <v>17</v>
      </c>
      <c r="F311" s="35" t="s">
        <v>34</v>
      </c>
      <c r="G311" s="35">
        <v>5</v>
      </c>
      <c r="H311" s="37">
        <v>2384</v>
      </c>
      <c r="I311" s="35">
        <v>0.1</v>
      </c>
      <c r="J311" s="38">
        <f t="shared" si="19"/>
        <v>11920</v>
      </c>
      <c r="K311" s="55" t="str">
        <f t="shared" si="20"/>
        <v>Venta Grande</v>
      </c>
      <c r="L311" s="58" t="str">
        <f>VLOOKUP(D311, AUXILIAR!$A$2:$B$16, 2, 0)</f>
        <v>LG Electronics</v>
      </c>
      <c r="M311" s="54" t="str">
        <f t="shared" si="24"/>
        <v>Prioridad Media</v>
      </c>
      <c r="N311" s="54" t="str">
        <f>VLOOKUP(E311, AUXILIAR!$E$2:$F$4, 2, FALSE)</f>
        <v>ALM-02</v>
      </c>
    </row>
    <row r="312" spans="1:14" ht="15.75" thickBot="1" x14ac:dyDescent="0.3">
      <c r="A312" s="35">
        <v>174</v>
      </c>
      <c r="B312" s="36">
        <v>45465</v>
      </c>
      <c r="C312" s="35" t="s">
        <v>13</v>
      </c>
      <c r="D312" s="35" t="s">
        <v>31</v>
      </c>
      <c r="E312" s="35" t="s">
        <v>17</v>
      </c>
      <c r="F312" s="35" t="s">
        <v>37</v>
      </c>
      <c r="G312" s="35">
        <v>17</v>
      </c>
      <c r="H312" s="37">
        <v>2382</v>
      </c>
      <c r="I312" s="35">
        <v>0</v>
      </c>
      <c r="J312" s="38">
        <f t="shared" si="19"/>
        <v>40494</v>
      </c>
      <c r="K312" s="55" t="str">
        <f t="shared" si="20"/>
        <v>Venta Grande</v>
      </c>
      <c r="L312" s="58" t="str">
        <f>VLOOKUP(D312, AUXILIAR!$A$2:$B$16, 2, 0)</f>
        <v>LG Electronics</v>
      </c>
      <c r="M312" s="54" t="str">
        <f t="shared" si="24"/>
        <v>Prioridad Media</v>
      </c>
      <c r="N312" s="54" t="str">
        <f>VLOOKUP(E312, AUXILIAR!$E$2:$F$4, 2, FALSE)</f>
        <v>ALM-02</v>
      </c>
    </row>
    <row r="313" spans="1:14" ht="15.75" thickBot="1" x14ac:dyDescent="0.3">
      <c r="A313" s="35">
        <v>81</v>
      </c>
      <c r="B313" s="36">
        <v>45372</v>
      </c>
      <c r="C313" s="35" t="s">
        <v>10</v>
      </c>
      <c r="D313" s="35" t="s">
        <v>26</v>
      </c>
      <c r="E313" s="35" t="s">
        <v>18</v>
      </c>
      <c r="F313" s="35" t="s">
        <v>34</v>
      </c>
      <c r="G313" s="35">
        <v>14</v>
      </c>
      <c r="H313" s="37">
        <v>2381</v>
      </c>
      <c r="I313" s="35">
        <v>0.12</v>
      </c>
      <c r="J313" s="38">
        <f t="shared" si="19"/>
        <v>33334</v>
      </c>
      <c r="K313" s="55" t="str">
        <f t="shared" si="20"/>
        <v>Venta Grande</v>
      </c>
      <c r="L313" s="58" t="str">
        <f>VLOOKUP(D313, AUXILIAR!$A$2:$B$16, 2, 0)</f>
        <v>Office Design</v>
      </c>
      <c r="M313" s="54" t="str">
        <f t="shared" si="24"/>
        <v>Prioridad Media</v>
      </c>
      <c r="N313" s="54" t="str">
        <f>VLOOKUP(E313, AUXILIAR!$E$2:$F$4, 2, FALSE)</f>
        <v>ALM-03</v>
      </c>
    </row>
    <row r="314" spans="1:14" ht="15.75" thickBot="1" x14ac:dyDescent="0.3">
      <c r="A314" s="35">
        <v>200</v>
      </c>
      <c r="B314" s="36">
        <v>45491</v>
      </c>
      <c r="C314" s="35" t="s">
        <v>14</v>
      </c>
      <c r="D314" s="35" t="s">
        <v>24</v>
      </c>
      <c r="E314" s="35" t="s">
        <v>16</v>
      </c>
      <c r="F314" s="35" t="s">
        <v>38</v>
      </c>
      <c r="G314" s="35">
        <v>11</v>
      </c>
      <c r="H314" s="37">
        <v>2348</v>
      </c>
      <c r="I314" s="35">
        <v>0.03</v>
      </c>
      <c r="J314" s="38">
        <f t="shared" si="19"/>
        <v>25828</v>
      </c>
      <c r="K314" s="55" t="str">
        <f t="shared" si="20"/>
        <v>Venta Grande</v>
      </c>
      <c r="L314" s="58" t="str">
        <f>VLOOKUP(D314, AUXILIAR!$A$2:$B$16, 2, 0)</f>
        <v>Samsung Oficial</v>
      </c>
      <c r="M314" s="54" t="str">
        <f t="shared" si="24"/>
        <v>Prioridad Alta</v>
      </c>
      <c r="N314" s="54" t="str">
        <f>VLOOKUP(E314, AUXILIAR!$E$2:$F$4, 2, FALSE)</f>
        <v>ALM-01</v>
      </c>
    </row>
    <row r="315" spans="1:14" ht="15.75" thickBot="1" x14ac:dyDescent="0.3">
      <c r="A315" s="35">
        <v>313</v>
      </c>
      <c r="B315" s="36">
        <v>45604</v>
      </c>
      <c r="C315" s="35" t="s">
        <v>12</v>
      </c>
      <c r="D315" s="35" t="s">
        <v>27</v>
      </c>
      <c r="E315" s="35" t="s">
        <v>16</v>
      </c>
      <c r="F315" s="35" t="s">
        <v>36</v>
      </c>
      <c r="G315" s="35">
        <v>3</v>
      </c>
      <c r="H315" s="37">
        <v>2343</v>
      </c>
      <c r="I315" s="35">
        <v>0.09</v>
      </c>
      <c r="J315" s="38">
        <f t="shared" si="19"/>
        <v>7029</v>
      </c>
      <c r="K315" s="55" t="str">
        <f t="shared" si="20"/>
        <v>Venta Grande</v>
      </c>
      <c r="L315" s="58" t="str">
        <f>VLOOKUP(D315, AUXILIAR!$A$2:$B$16, 2, 0)</f>
        <v>LG Electronics</v>
      </c>
      <c r="M315" s="54" t="str">
        <f t="shared" si="24"/>
        <v>Prioridad Media</v>
      </c>
      <c r="N315" s="54" t="str">
        <f>VLOOKUP(E315, AUXILIAR!$E$2:$F$4, 2, FALSE)</f>
        <v>ALM-01</v>
      </c>
    </row>
    <row r="316" spans="1:14" ht="15.75" thickBot="1" x14ac:dyDescent="0.3">
      <c r="A316" s="35">
        <v>204</v>
      </c>
      <c r="B316" s="36">
        <v>45495</v>
      </c>
      <c r="C316" s="35" t="s">
        <v>13</v>
      </c>
      <c r="D316" s="35" t="s">
        <v>28</v>
      </c>
      <c r="E316" s="35" t="s">
        <v>17</v>
      </c>
      <c r="F316" s="35" t="s">
        <v>37</v>
      </c>
      <c r="G316" s="35">
        <v>6</v>
      </c>
      <c r="H316" s="37">
        <v>2337</v>
      </c>
      <c r="I316" s="35">
        <v>0.04</v>
      </c>
      <c r="J316" s="38">
        <f t="shared" si="19"/>
        <v>14022</v>
      </c>
      <c r="K316" s="55" t="str">
        <f t="shared" si="20"/>
        <v>Venta Grande</v>
      </c>
      <c r="L316" s="58" t="str">
        <f>VLOOKUP(D316, AUXILIAR!$A$2:$B$16, 2, 0)</f>
        <v>Samsung Oficial</v>
      </c>
      <c r="M316" s="54" t="str">
        <f t="shared" si="24"/>
        <v>Prioridad Media</v>
      </c>
      <c r="N316" s="54" t="str">
        <f>VLOOKUP(E316, AUXILIAR!$E$2:$F$4, 2, FALSE)</f>
        <v>ALM-02</v>
      </c>
    </row>
    <row r="317" spans="1:14" ht="15.75" thickBot="1" x14ac:dyDescent="0.3">
      <c r="A317" s="35">
        <v>421</v>
      </c>
      <c r="B317" s="36">
        <v>45712</v>
      </c>
      <c r="C317" s="35" t="s">
        <v>10</v>
      </c>
      <c r="D317" s="35" t="s">
        <v>25</v>
      </c>
      <c r="E317" s="35" t="s">
        <v>17</v>
      </c>
      <c r="F317" s="35" t="s">
        <v>34</v>
      </c>
      <c r="G317" s="35">
        <v>11</v>
      </c>
      <c r="H317" s="37">
        <v>2323</v>
      </c>
      <c r="I317" s="35">
        <v>0.12</v>
      </c>
      <c r="J317" s="38">
        <f t="shared" si="19"/>
        <v>25553</v>
      </c>
      <c r="K317" s="55" t="str">
        <f t="shared" si="20"/>
        <v>Venta Grande</v>
      </c>
      <c r="L317" s="58" t="str">
        <f>VLOOKUP(D317, AUXILIAR!$A$2:$B$16, 2, 0)</f>
        <v>LG Electronics</v>
      </c>
      <c r="M317" s="54" t="str">
        <f t="shared" si="24"/>
        <v>Prioridad Media</v>
      </c>
      <c r="N317" s="54" t="str">
        <f>VLOOKUP(E317, AUXILIAR!$E$2:$F$4, 2, FALSE)</f>
        <v>ALM-02</v>
      </c>
    </row>
    <row r="318" spans="1:14" ht="15.75" hidden="1" thickBot="1" x14ac:dyDescent="0.3">
      <c r="A318" s="28">
        <v>317</v>
      </c>
      <c r="B318" s="29">
        <v>45608</v>
      </c>
      <c r="C318" s="30" t="s">
        <v>11</v>
      </c>
      <c r="D318" s="31" t="s">
        <v>31</v>
      </c>
      <c r="E318" s="31" t="s">
        <v>17</v>
      </c>
      <c r="F318" s="31" t="s">
        <v>35</v>
      </c>
      <c r="G318" s="31">
        <v>1</v>
      </c>
      <c r="H318" s="32">
        <v>2694</v>
      </c>
      <c r="I318" s="31">
        <v>0.11</v>
      </c>
      <c r="J318" s="33">
        <f t="shared" si="19"/>
        <v>2694</v>
      </c>
      <c r="K318" s="34" t="str">
        <f t="shared" si="20"/>
        <v>Venta Normal</v>
      </c>
      <c r="L318" s="31" t="str">
        <f>VLOOKUP(D318, AUXILIAR!$A$2:$B$16, 2, 0)</f>
        <v>LG Electronics</v>
      </c>
      <c r="M318"/>
    </row>
    <row r="319" spans="1:14" ht="15.75" thickBot="1" x14ac:dyDescent="0.3">
      <c r="A319" s="35">
        <v>233</v>
      </c>
      <c r="B319" s="36">
        <v>45524</v>
      </c>
      <c r="C319" s="35" t="s">
        <v>12</v>
      </c>
      <c r="D319" s="35" t="s">
        <v>24</v>
      </c>
      <c r="E319" s="35" t="s">
        <v>16</v>
      </c>
      <c r="F319" s="35" t="s">
        <v>36</v>
      </c>
      <c r="G319" s="35">
        <v>8</v>
      </c>
      <c r="H319" s="37">
        <v>2319</v>
      </c>
      <c r="I319" s="35">
        <v>0.12</v>
      </c>
      <c r="J319" s="38">
        <f t="shared" si="19"/>
        <v>18552</v>
      </c>
      <c r="K319" s="55" t="str">
        <f t="shared" si="20"/>
        <v>Venta Grande</v>
      </c>
      <c r="L319" s="58" t="str">
        <f>VLOOKUP(D319, AUXILIAR!$A$2:$B$16, 2, 0)</f>
        <v>Samsung Oficial</v>
      </c>
      <c r="M319" s="54" t="str">
        <f>IF(AND(E319="Tecnología", J319&gt;20000), "Prioridad Alta", IF(J319&gt;5000, "Prioridad Media", "Prioridad Baja"))</f>
        <v>Prioridad Media</v>
      </c>
      <c r="N319" s="54" t="str">
        <f>VLOOKUP(E319, AUXILIAR!$E$2:$F$4, 2, FALSE)</f>
        <v>ALM-01</v>
      </c>
    </row>
    <row r="320" spans="1:14" ht="15.75" thickBot="1" x14ac:dyDescent="0.3">
      <c r="A320" s="35">
        <v>310</v>
      </c>
      <c r="B320" s="36">
        <v>45601</v>
      </c>
      <c r="C320" s="35" t="s">
        <v>14</v>
      </c>
      <c r="D320" s="35" t="s">
        <v>24</v>
      </c>
      <c r="E320" s="35" t="s">
        <v>16</v>
      </c>
      <c r="F320" s="35" t="s">
        <v>38</v>
      </c>
      <c r="G320" s="35">
        <v>13</v>
      </c>
      <c r="H320" s="37">
        <v>2318</v>
      </c>
      <c r="I320" s="35">
        <v>0.14000000000000001</v>
      </c>
      <c r="J320" s="38">
        <f t="shared" si="19"/>
        <v>30134</v>
      </c>
      <c r="K320" s="55" t="str">
        <f t="shared" si="20"/>
        <v>Venta Grande</v>
      </c>
      <c r="L320" s="58" t="str">
        <f>VLOOKUP(D320, AUXILIAR!$A$2:$B$16, 2, 0)</f>
        <v>Samsung Oficial</v>
      </c>
      <c r="M320" s="54" t="str">
        <f>IF(AND(E320="Tecnología", J320&gt;20000), "Prioridad Alta", IF(J320&gt;5000, "Prioridad Media", "Prioridad Baja"))</f>
        <v>Prioridad Alta</v>
      </c>
      <c r="N320" s="54" t="str">
        <f>VLOOKUP(E320, AUXILIAR!$E$2:$F$4, 2, FALSE)</f>
        <v>ALM-01</v>
      </c>
    </row>
    <row r="321" spans="1:14" ht="15.75" hidden="1" thickBot="1" x14ac:dyDescent="0.3">
      <c r="A321" s="28">
        <v>320</v>
      </c>
      <c r="B321" s="29">
        <v>45611</v>
      </c>
      <c r="C321" s="30" t="s">
        <v>14</v>
      </c>
      <c r="D321" s="31" t="s">
        <v>33</v>
      </c>
      <c r="E321" s="31" t="s">
        <v>16</v>
      </c>
      <c r="F321" s="31" t="s">
        <v>38</v>
      </c>
      <c r="G321" s="31">
        <v>3</v>
      </c>
      <c r="H321" s="32">
        <v>613</v>
      </c>
      <c r="I321" s="31">
        <v>0.05</v>
      </c>
      <c r="J321" s="33">
        <f t="shared" si="19"/>
        <v>1839</v>
      </c>
      <c r="K321" s="34" t="str">
        <f t="shared" si="20"/>
        <v>Venta Normal</v>
      </c>
      <c r="L321" s="31" t="str">
        <f>VLOOKUP(D321, AUXILIAR!$A$2:$B$16, 2, 0)</f>
        <v>LG Electronics</v>
      </c>
      <c r="M321"/>
    </row>
    <row r="322" spans="1:14" ht="15.75" thickBot="1" x14ac:dyDescent="0.3">
      <c r="A322" s="35">
        <v>31</v>
      </c>
      <c r="B322" s="36">
        <v>45322</v>
      </c>
      <c r="C322" s="35" t="s">
        <v>10</v>
      </c>
      <c r="D322" s="35" t="s">
        <v>31</v>
      </c>
      <c r="E322" s="35" t="s">
        <v>17</v>
      </c>
      <c r="F322" s="35" t="s">
        <v>34</v>
      </c>
      <c r="G322" s="35">
        <v>18</v>
      </c>
      <c r="H322" s="37">
        <v>2307</v>
      </c>
      <c r="I322" s="35">
        <v>0.05</v>
      </c>
      <c r="J322" s="38">
        <f t="shared" ref="J322:J385" si="25">G322*H322</f>
        <v>41526</v>
      </c>
      <c r="K322" s="55" t="str">
        <f t="shared" ref="K322:K385" si="26">IF(J322&gt;5000, "Venta Grande", "Venta Normal")</f>
        <v>Venta Grande</v>
      </c>
      <c r="L322" s="58" t="str">
        <f>VLOOKUP(D322, AUXILIAR!$A$2:$B$16, 2, 0)</f>
        <v>LG Electronics</v>
      </c>
      <c r="M322" s="54" t="str">
        <f>IF(AND(E322="Tecnología", J322&gt;20000), "Prioridad Alta", IF(J322&gt;5000, "Prioridad Media", "Prioridad Baja"))</f>
        <v>Prioridad Media</v>
      </c>
      <c r="N322" s="54" t="str">
        <f>VLOOKUP(E322, AUXILIAR!$E$2:$F$4, 2, FALSE)</f>
        <v>ALM-02</v>
      </c>
    </row>
    <row r="323" spans="1:14" ht="15.75" hidden="1" thickBot="1" x14ac:dyDescent="0.3">
      <c r="A323" s="28">
        <v>322</v>
      </c>
      <c r="B323" s="29">
        <v>45613</v>
      </c>
      <c r="C323" s="30" t="s">
        <v>11</v>
      </c>
      <c r="D323" s="31" t="s">
        <v>25</v>
      </c>
      <c r="E323" s="31" t="s">
        <v>17</v>
      </c>
      <c r="F323" s="31" t="s">
        <v>35</v>
      </c>
      <c r="G323" s="31">
        <v>3</v>
      </c>
      <c r="H323" s="32">
        <v>648</v>
      </c>
      <c r="I323" s="31">
        <v>0.1</v>
      </c>
      <c r="J323" s="33">
        <f t="shared" si="25"/>
        <v>1944</v>
      </c>
      <c r="K323" s="34" t="str">
        <f t="shared" si="26"/>
        <v>Venta Normal</v>
      </c>
      <c r="L323" s="31" t="str">
        <f>VLOOKUP(D323, AUXILIAR!$A$2:$B$16, 2, 0)</f>
        <v>LG Electronics</v>
      </c>
      <c r="M323"/>
    </row>
    <row r="324" spans="1:14" ht="15.75" thickBot="1" x14ac:dyDescent="0.3">
      <c r="A324" s="35">
        <v>396</v>
      </c>
      <c r="B324" s="36">
        <v>45687</v>
      </c>
      <c r="C324" s="35" t="s">
        <v>10</v>
      </c>
      <c r="D324" s="35" t="s">
        <v>33</v>
      </c>
      <c r="E324" s="35" t="s">
        <v>16</v>
      </c>
      <c r="F324" s="35" t="s">
        <v>34</v>
      </c>
      <c r="G324" s="35">
        <v>19</v>
      </c>
      <c r="H324" s="37">
        <v>2286</v>
      </c>
      <c r="I324" s="35">
        <v>7.0000000000000007E-2</v>
      </c>
      <c r="J324" s="38">
        <f t="shared" si="25"/>
        <v>43434</v>
      </c>
      <c r="K324" s="55" t="str">
        <f t="shared" si="26"/>
        <v>Venta Grande</v>
      </c>
      <c r="L324" s="58" t="str">
        <f>VLOOKUP(D324, AUXILIAR!$A$2:$B$16, 2, 0)</f>
        <v>LG Electronics</v>
      </c>
      <c r="M324" s="54" t="str">
        <f>IF(AND(E324="Tecnología", J324&gt;20000), "Prioridad Alta", IF(J324&gt;5000, "Prioridad Media", "Prioridad Baja"))</f>
        <v>Prioridad Alta</v>
      </c>
      <c r="N324" s="54" t="str">
        <f>VLOOKUP(E324, AUXILIAR!$E$2:$F$4, 2, FALSE)</f>
        <v>ALM-01</v>
      </c>
    </row>
    <row r="325" spans="1:14" ht="15.75" thickBot="1" x14ac:dyDescent="0.3">
      <c r="A325" s="35">
        <v>38</v>
      </c>
      <c r="B325" s="36">
        <v>45329</v>
      </c>
      <c r="C325" s="35" t="s">
        <v>12</v>
      </c>
      <c r="D325" s="35" t="s">
        <v>27</v>
      </c>
      <c r="E325" s="35" t="s">
        <v>16</v>
      </c>
      <c r="F325" s="35" t="s">
        <v>36</v>
      </c>
      <c r="G325" s="35">
        <v>11</v>
      </c>
      <c r="H325" s="37">
        <v>2285</v>
      </c>
      <c r="I325" s="35">
        <v>0.01</v>
      </c>
      <c r="J325" s="38">
        <f t="shared" si="25"/>
        <v>25135</v>
      </c>
      <c r="K325" s="55" t="str">
        <f t="shared" si="26"/>
        <v>Venta Grande</v>
      </c>
      <c r="L325" s="58" t="str">
        <f>VLOOKUP(D325, AUXILIAR!$A$2:$B$16, 2, 0)</f>
        <v>LG Electronics</v>
      </c>
      <c r="M325" s="54" t="str">
        <f>IF(AND(E325="Tecnología", J325&gt;20000), "Prioridad Alta", IF(J325&gt;5000, "Prioridad Media", "Prioridad Baja"))</f>
        <v>Prioridad Alta</v>
      </c>
      <c r="N325" s="54" t="str">
        <f>VLOOKUP(E325, AUXILIAR!$E$2:$F$4, 2, FALSE)</f>
        <v>ALM-01</v>
      </c>
    </row>
    <row r="326" spans="1:14" ht="15.75" thickBot="1" x14ac:dyDescent="0.3">
      <c r="A326" s="35">
        <v>365</v>
      </c>
      <c r="B326" s="36">
        <v>45656</v>
      </c>
      <c r="C326" s="35" t="s">
        <v>14</v>
      </c>
      <c r="D326" s="35" t="s">
        <v>24</v>
      </c>
      <c r="E326" s="35" t="s">
        <v>16</v>
      </c>
      <c r="F326" s="35" t="s">
        <v>38</v>
      </c>
      <c r="G326" s="35">
        <v>6</v>
      </c>
      <c r="H326" s="37">
        <v>2279</v>
      </c>
      <c r="I326" s="35">
        <v>7.0000000000000007E-2</v>
      </c>
      <c r="J326" s="38">
        <f t="shared" si="25"/>
        <v>13674</v>
      </c>
      <c r="K326" s="55" t="str">
        <f t="shared" si="26"/>
        <v>Venta Grande</v>
      </c>
      <c r="L326" s="58" t="str">
        <f>VLOOKUP(D326, AUXILIAR!$A$2:$B$16, 2, 0)</f>
        <v>Samsung Oficial</v>
      </c>
      <c r="M326" s="54" t="str">
        <f>IF(AND(E326="Tecnología", J326&gt;20000), "Prioridad Alta", IF(J326&gt;5000, "Prioridad Media", "Prioridad Baja"))</f>
        <v>Prioridad Media</v>
      </c>
      <c r="N326" s="54" t="str">
        <f>VLOOKUP(E326, AUXILIAR!$E$2:$F$4, 2, FALSE)</f>
        <v>ALM-01</v>
      </c>
    </row>
    <row r="327" spans="1:14" ht="15.75" hidden="1" thickBot="1" x14ac:dyDescent="0.3">
      <c r="A327" s="28">
        <v>326</v>
      </c>
      <c r="B327" s="29">
        <v>45617</v>
      </c>
      <c r="C327" s="30" t="s">
        <v>10</v>
      </c>
      <c r="D327" s="31" t="s">
        <v>29</v>
      </c>
      <c r="E327" s="31" t="s">
        <v>18</v>
      </c>
      <c r="F327" s="31" t="s">
        <v>34</v>
      </c>
      <c r="G327" s="31">
        <v>12</v>
      </c>
      <c r="H327" s="32">
        <v>201</v>
      </c>
      <c r="I327" s="31">
        <v>0.03</v>
      </c>
      <c r="J327" s="33">
        <f t="shared" si="25"/>
        <v>2412</v>
      </c>
      <c r="K327" s="34" t="str">
        <f t="shared" si="26"/>
        <v>Venta Normal</v>
      </c>
      <c r="L327" s="31" t="str">
        <f>VLOOKUP(D327, AUXILIAR!$A$2:$B$16, 2, 0)</f>
        <v>LG Electronics</v>
      </c>
      <c r="M327"/>
    </row>
    <row r="328" spans="1:14" ht="15.75" thickBot="1" x14ac:dyDescent="0.3">
      <c r="A328" s="35">
        <v>342</v>
      </c>
      <c r="B328" s="36">
        <v>45633</v>
      </c>
      <c r="C328" s="35" t="s">
        <v>11</v>
      </c>
      <c r="D328" s="35" t="s">
        <v>33</v>
      </c>
      <c r="E328" s="35" t="s">
        <v>16</v>
      </c>
      <c r="F328" s="35" t="s">
        <v>35</v>
      </c>
      <c r="G328" s="35">
        <v>19</v>
      </c>
      <c r="H328" s="37">
        <v>2270</v>
      </c>
      <c r="I328" s="35">
        <v>0.02</v>
      </c>
      <c r="J328" s="38">
        <f t="shared" si="25"/>
        <v>43130</v>
      </c>
      <c r="K328" s="55" t="str">
        <f t="shared" si="26"/>
        <v>Venta Grande</v>
      </c>
      <c r="L328" s="58" t="str">
        <f>VLOOKUP(D328, AUXILIAR!$A$2:$B$16, 2, 0)</f>
        <v>LG Electronics</v>
      </c>
      <c r="M328" s="54" t="str">
        <f>IF(AND(E328="Tecnología", J328&gt;20000), "Prioridad Alta", IF(J328&gt;5000, "Prioridad Media", "Prioridad Baja"))</f>
        <v>Prioridad Alta</v>
      </c>
      <c r="N328" s="54" t="str">
        <f>VLOOKUP(E328, AUXILIAR!$E$2:$F$4, 2, FALSE)</f>
        <v>ALM-01</v>
      </c>
    </row>
    <row r="329" spans="1:14" ht="15.75" thickBot="1" x14ac:dyDescent="0.3">
      <c r="A329" s="35">
        <v>179</v>
      </c>
      <c r="B329" s="36">
        <v>45470</v>
      </c>
      <c r="C329" s="35" t="s">
        <v>13</v>
      </c>
      <c r="D329" s="35" t="s">
        <v>25</v>
      </c>
      <c r="E329" s="35" t="s">
        <v>17</v>
      </c>
      <c r="F329" s="35" t="s">
        <v>37</v>
      </c>
      <c r="G329" s="35">
        <v>11</v>
      </c>
      <c r="H329" s="37">
        <v>2269</v>
      </c>
      <c r="I329" s="35">
        <v>0.09</v>
      </c>
      <c r="J329" s="38">
        <f t="shared" si="25"/>
        <v>24959</v>
      </c>
      <c r="K329" s="55" t="str">
        <f t="shared" si="26"/>
        <v>Venta Grande</v>
      </c>
      <c r="L329" s="58" t="str">
        <f>VLOOKUP(D329, AUXILIAR!$A$2:$B$16, 2, 0)</f>
        <v>LG Electronics</v>
      </c>
      <c r="M329" s="54" t="str">
        <f>IF(AND(E329="Tecnología", J329&gt;20000), "Prioridad Alta", IF(J329&gt;5000, "Prioridad Media", "Prioridad Baja"))</f>
        <v>Prioridad Media</v>
      </c>
      <c r="N329" s="54" t="str">
        <f>VLOOKUP(E329, AUXILIAR!$E$2:$F$4, 2, FALSE)</f>
        <v>ALM-02</v>
      </c>
    </row>
    <row r="330" spans="1:14" ht="15.75" thickBot="1" x14ac:dyDescent="0.3">
      <c r="A330" s="35">
        <v>460</v>
      </c>
      <c r="B330" s="36">
        <v>45751</v>
      </c>
      <c r="C330" s="35" t="s">
        <v>14</v>
      </c>
      <c r="D330" s="35" t="s">
        <v>31</v>
      </c>
      <c r="E330" s="35" t="s">
        <v>17</v>
      </c>
      <c r="F330" s="35" t="s">
        <v>38</v>
      </c>
      <c r="G330" s="35">
        <v>20</v>
      </c>
      <c r="H330" s="37">
        <v>2257</v>
      </c>
      <c r="I330" s="35">
        <v>0.09</v>
      </c>
      <c r="J330" s="38">
        <f t="shared" si="25"/>
        <v>45140</v>
      </c>
      <c r="K330" s="55" t="str">
        <f t="shared" si="26"/>
        <v>Venta Grande</v>
      </c>
      <c r="L330" s="58" t="str">
        <f>VLOOKUP(D330, AUXILIAR!$A$2:$B$16, 2, 0)</f>
        <v>LG Electronics</v>
      </c>
      <c r="M330" s="54" t="str">
        <f>IF(AND(E330="Tecnología", J330&gt;20000), "Prioridad Alta", IF(J330&gt;5000, "Prioridad Media", "Prioridad Baja"))</f>
        <v>Prioridad Media</v>
      </c>
      <c r="N330" s="54" t="str">
        <f>VLOOKUP(E330, AUXILIAR!$E$2:$F$4, 2, FALSE)</f>
        <v>ALM-02</v>
      </c>
    </row>
    <row r="331" spans="1:14" ht="15.75" hidden="1" thickBot="1" x14ac:dyDescent="0.3">
      <c r="A331" s="28">
        <v>330</v>
      </c>
      <c r="B331" s="29">
        <v>45621</v>
      </c>
      <c r="C331" s="30" t="s">
        <v>14</v>
      </c>
      <c r="D331" s="31" t="s">
        <v>33</v>
      </c>
      <c r="E331" s="31" t="s">
        <v>16</v>
      </c>
      <c r="F331" s="31" t="s">
        <v>38</v>
      </c>
      <c r="G331" s="31">
        <v>3</v>
      </c>
      <c r="H331" s="32">
        <v>527</v>
      </c>
      <c r="I331" s="31">
        <v>0.12</v>
      </c>
      <c r="J331" s="33">
        <f t="shared" si="25"/>
        <v>1581</v>
      </c>
      <c r="K331" s="34" t="str">
        <f t="shared" si="26"/>
        <v>Venta Normal</v>
      </c>
      <c r="L331" s="31" t="str">
        <f>VLOOKUP(D331, AUXILIAR!$A$2:$B$16, 2, 0)</f>
        <v>LG Electronics</v>
      </c>
      <c r="M331"/>
    </row>
    <row r="332" spans="1:14" ht="15.75" thickBot="1" x14ac:dyDescent="0.3">
      <c r="A332" s="35">
        <v>187</v>
      </c>
      <c r="B332" s="36">
        <v>45478</v>
      </c>
      <c r="C332" s="35" t="s">
        <v>11</v>
      </c>
      <c r="D332" s="35" t="s">
        <v>33</v>
      </c>
      <c r="E332" s="35" t="s">
        <v>16</v>
      </c>
      <c r="F332" s="35" t="s">
        <v>35</v>
      </c>
      <c r="G332" s="35">
        <v>9</v>
      </c>
      <c r="H332" s="37">
        <v>2251</v>
      </c>
      <c r="I332" s="35">
        <v>0.15</v>
      </c>
      <c r="J332" s="38">
        <f t="shared" si="25"/>
        <v>20259</v>
      </c>
      <c r="K332" s="55" t="str">
        <f t="shared" si="26"/>
        <v>Venta Grande</v>
      </c>
      <c r="L332" s="58" t="str">
        <f>VLOOKUP(D332, AUXILIAR!$A$2:$B$16, 2, 0)</f>
        <v>LG Electronics</v>
      </c>
      <c r="M332" s="54" t="str">
        <f t="shared" ref="M332:M346" si="27">IF(AND(E332="Tecnología", J332&gt;20000), "Prioridad Alta", IF(J332&gt;5000, "Prioridad Media", "Prioridad Baja"))</f>
        <v>Prioridad Alta</v>
      </c>
      <c r="N332" s="54" t="str">
        <f>VLOOKUP(E332, AUXILIAR!$E$2:$F$4, 2, FALSE)</f>
        <v>ALM-01</v>
      </c>
    </row>
    <row r="333" spans="1:14" ht="15.75" thickBot="1" x14ac:dyDescent="0.3">
      <c r="A333" s="35">
        <v>272</v>
      </c>
      <c r="B333" s="36">
        <v>45563</v>
      </c>
      <c r="C333" s="35" t="s">
        <v>11</v>
      </c>
      <c r="D333" s="35" t="s">
        <v>30</v>
      </c>
      <c r="E333" s="35" t="s">
        <v>16</v>
      </c>
      <c r="F333" s="35" t="s">
        <v>35</v>
      </c>
      <c r="G333" s="35">
        <v>13</v>
      </c>
      <c r="H333" s="37">
        <v>2234</v>
      </c>
      <c r="I333" s="35">
        <v>0.04</v>
      </c>
      <c r="J333" s="38">
        <f t="shared" si="25"/>
        <v>29042</v>
      </c>
      <c r="K333" s="55" t="str">
        <f t="shared" si="26"/>
        <v>Venta Grande</v>
      </c>
      <c r="L333" s="58" t="str">
        <f>VLOOKUP(D333, AUXILIAR!$A$2:$B$16, 2, 0)</f>
        <v>Office Design</v>
      </c>
      <c r="M333" s="54" t="str">
        <f t="shared" si="27"/>
        <v>Prioridad Alta</v>
      </c>
      <c r="N333" s="54" t="str">
        <f>VLOOKUP(E333, AUXILIAR!$E$2:$F$4, 2, FALSE)</f>
        <v>ALM-01</v>
      </c>
    </row>
    <row r="334" spans="1:14" ht="15.75" thickBot="1" x14ac:dyDescent="0.3">
      <c r="A334" s="35">
        <v>136</v>
      </c>
      <c r="B334" s="36">
        <v>45427</v>
      </c>
      <c r="C334" s="35" t="s">
        <v>10</v>
      </c>
      <c r="D334" s="35" t="s">
        <v>26</v>
      </c>
      <c r="E334" s="35" t="s">
        <v>18</v>
      </c>
      <c r="F334" s="35" t="s">
        <v>34</v>
      </c>
      <c r="G334" s="35">
        <v>17</v>
      </c>
      <c r="H334" s="37">
        <v>2206</v>
      </c>
      <c r="I334" s="35">
        <v>0.13</v>
      </c>
      <c r="J334" s="38">
        <f t="shared" si="25"/>
        <v>37502</v>
      </c>
      <c r="K334" s="55" t="str">
        <f t="shared" si="26"/>
        <v>Venta Grande</v>
      </c>
      <c r="L334" s="58" t="str">
        <f>VLOOKUP(D334, AUXILIAR!$A$2:$B$16, 2, 0)</f>
        <v>Office Design</v>
      </c>
      <c r="M334" s="54" t="str">
        <f t="shared" si="27"/>
        <v>Prioridad Media</v>
      </c>
      <c r="N334" s="54" t="str">
        <f>VLOOKUP(E334, AUXILIAR!$E$2:$F$4, 2, FALSE)</f>
        <v>ALM-03</v>
      </c>
    </row>
    <row r="335" spans="1:14" ht="15.75" thickBot="1" x14ac:dyDescent="0.3">
      <c r="A335" s="35">
        <v>99</v>
      </c>
      <c r="B335" s="36">
        <v>45390</v>
      </c>
      <c r="C335" s="35" t="s">
        <v>13</v>
      </c>
      <c r="D335" s="35" t="s">
        <v>33</v>
      </c>
      <c r="E335" s="35" t="s">
        <v>16</v>
      </c>
      <c r="F335" s="35" t="s">
        <v>37</v>
      </c>
      <c r="G335" s="35">
        <v>18</v>
      </c>
      <c r="H335" s="37">
        <v>2191</v>
      </c>
      <c r="I335" s="35">
        <v>0.09</v>
      </c>
      <c r="J335" s="38">
        <f t="shared" si="25"/>
        <v>39438</v>
      </c>
      <c r="K335" s="55" t="str">
        <f t="shared" si="26"/>
        <v>Venta Grande</v>
      </c>
      <c r="L335" s="58" t="str">
        <f>VLOOKUP(D335, AUXILIAR!$A$2:$B$16, 2, 0)</f>
        <v>LG Electronics</v>
      </c>
      <c r="M335" s="54" t="str">
        <f t="shared" si="27"/>
        <v>Prioridad Alta</v>
      </c>
      <c r="N335" s="54" t="str">
        <f>VLOOKUP(E335, AUXILIAR!$E$2:$F$4, 2, FALSE)</f>
        <v>ALM-01</v>
      </c>
    </row>
    <row r="336" spans="1:14" ht="15.75" thickBot="1" x14ac:dyDescent="0.3">
      <c r="A336" s="35">
        <v>231</v>
      </c>
      <c r="B336" s="36">
        <v>45522</v>
      </c>
      <c r="C336" s="35" t="s">
        <v>10</v>
      </c>
      <c r="D336" s="35" t="s">
        <v>33</v>
      </c>
      <c r="E336" s="35" t="s">
        <v>16</v>
      </c>
      <c r="F336" s="35" t="s">
        <v>34</v>
      </c>
      <c r="G336" s="35">
        <v>5</v>
      </c>
      <c r="H336" s="37">
        <v>2168</v>
      </c>
      <c r="I336" s="35">
        <v>7.0000000000000007E-2</v>
      </c>
      <c r="J336" s="38">
        <f t="shared" si="25"/>
        <v>10840</v>
      </c>
      <c r="K336" s="55" t="str">
        <f t="shared" si="26"/>
        <v>Venta Grande</v>
      </c>
      <c r="L336" s="58" t="str">
        <f>VLOOKUP(D336, AUXILIAR!$A$2:$B$16, 2, 0)</f>
        <v>LG Electronics</v>
      </c>
      <c r="M336" s="54" t="str">
        <f t="shared" si="27"/>
        <v>Prioridad Media</v>
      </c>
      <c r="N336" s="54" t="str">
        <f>VLOOKUP(E336, AUXILIAR!$E$2:$F$4, 2, FALSE)</f>
        <v>ALM-01</v>
      </c>
    </row>
    <row r="337" spans="1:14" ht="15.75" thickBot="1" x14ac:dyDescent="0.3">
      <c r="A337" s="35">
        <v>418</v>
      </c>
      <c r="B337" s="36">
        <v>45709</v>
      </c>
      <c r="C337" s="35" t="s">
        <v>12</v>
      </c>
      <c r="D337" s="35" t="s">
        <v>33</v>
      </c>
      <c r="E337" s="35" t="s">
        <v>16</v>
      </c>
      <c r="F337" s="35" t="s">
        <v>36</v>
      </c>
      <c r="G337" s="35">
        <v>5</v>
      </c>
      <c r="H337" s="37">
        <v>2149</v>
      </c>
      <c r="I337" s="35">
        <v>0.05</v>
      </c>
      <c r="J337" s="38">
        <f t="shared" si="25"/>
        <v>10745</v>
      </c>
      <c r="K337" s="55" t="str">
        <f t="shared" si="26"/>
        <v>Venta Grande</v>
      </c>
      <c r="L337" s="58" t="str">
        <f>VLOOKUP(D337, AUXILIAR!$A$2:$B$16, 2, 0)</f>
        <v>LG Electronics</v>
      </c>
      <c r="M337" s="54" t="str">
        <f t="shared" si="27"/>
        <v>Prioridad Media</v>
      </c>
      <c r="N337" s="54" t="str">
        <f>VLOOKUP(E337, AUXILIAR!$E$2:$F$4, 2, FALSE)</f>
        <v>ALM-01</v>
      </c>
    </row>
    <row r="338" spans="1:14" ht="15.75" thickBot="1" x14ac:dyDescent="0.3">
      <c r="A338" s="35">
        <v>102</v>
      </c>
      <c r="B338" s="36">
        <v>45393</v>
      </c>
      <c r="C338" s="35" t="s">
        <v>11</v>
      </c>
      <c r="D338" s="35" t="s">
        <v>25</v>
      </c>
      <c r="E338" s="35" t="s">
        <v>17</v>
      </c>
      <c r="F338" s="35" t="s">
        <v>35</v>
      </c>
      <c r="G338" s="35">
        <v>14</v>
      </c>
      <c r="H338" s="37">
        <v>2097</v>
      </c>
      <c r="I338" s="35">
        <v>0.05</v>
      </c>
      <c r="J338" s="38">
        <f t="shared" si="25"/>
        <v>29358</v>
      </c>
      <c r="K338" s="55" t="str">
        <f t="shared" si="26"/>
        <v>Venta Grande</v>
      </c>
      <c r="L338" s="58" t="str">
        <f>VLOOKUP(D338, AUXILIAR!$A$2:$B$16, 2, 0)</f>
        <v>LG Electronics</v>
      </c>
      <c r="M338" s="54" t="str">
        <f t="shared" si="27"/>
        <v>Prioridad Media</v>
      </c>
      <c r="N338" s="54" t="str">
        <f>VLOOKUP(E338, AUXILIAR!$E$2:$F$4, 2, FALSE)</f>
        <v>ALM-02</v>
      </c>
    </row>
    <row r="339" spans="1:14" ht="15.75" thickBot="1" x14ac:dyDescent="0.3">
      <c r="A339" s="35">
        <v>104</v>
      </c>
      <c r="B339" s="36">
        <v>45395</v>
      </c>
      <c r="C339" s="35" t="s">
        <v>13</v>
      </c>
      <c r="D339" s="35" t="s">
        <v>27</v>
      </c>
      <c r="E339" s="35" t="s">
        <v>16</v>
      </c>
      <c r="F339" s="35" t="s">
        <v>37</v>
      </c>
      <c r="G339" s="35">
        <v>3</v>
      </c>
      <c r="H339" s="37">
        <v>2092</v>
      </c>
      <c r="I339" s="35">
        <v>0.08</v>
      </c>
      <c r="J339" s="38">
        <f t="shared" si="25"/>
        <v>6276</v>
      </c>
      <c r="K339" s="55" t="str">
        <f t="shared" si="26"/>
        <v>Venta Grande</v>
      </c>
      <c r="L339" s="58" t="str">
        <f>VLOOKUP(D339, AUXILIAR!$A$2:$B$16, 2, 0)</f>
        <v>LG Electronics</v>
      </c>
      <c r="M339" s="54" t="str">
        <f t="shared" si="27"/>
        <v>Prioridad Media</v>
      </c>
      <c r="N339" s="54" t="str">
        <f>VLOOKUP(E339, AUXILIAR!$E$2:$F$4, 2, FALSE)</f>
        <v>ALM-01</v>
      </c>
    </row>
    <row r="340" spans="1:14" ht="15.75" thickBot="1" x14ac:dyDescent="0.3">
      <c r="A340" s="35">
        <v>494</v>
      </c>
      <c r="B340" s="36">
        <v>45785</v>
      </c>
      <c r="C340" s="35" t="s">
        <v>13</v>
      </c>
      <c r="D340" s="35" t="s">
        <v>32</v>
      </c>
      <c r="E340" s="35" t="s">
        <v>18</v>
      </c>
      <c r="F340" s="35" t="s">
        <v>37</v>
      </c>
      <c r="G340" s="35">
        <v>14</v>
      </c>
      <c r="H340" s="37">
        <v>2087</v>
      </c>
      <c r="I340" s="35">
        <v>0.13</v>
      </c>
      <c r="J340" s="38">
        <f t="shared" si="25"/>
        <v>29218</v>
      </c>
      <c r="K340" s="55" t="str">
        <f t="shared" si="26"/>
        <v>Venta Grande</v>
      </c>
      <c r="L340" s="58" t="str">
        <f>VLOOKUP(D340, AUXILIAR!$A$2:$B$16, 2, 0)</f>
        <v>Samsung Oficial</v>
      </c>
      <c r="M340" s="54" t="str">
        <f t="shared" si="27"/>
        <v>Prioridad Media</v>
      </c>
      <c r="N340" s="54" t="str">
        <f>VLOOKUP(E340, AUXILIAR!$E$2:$F$4, 2, FALSE)</f>
        <v>ALM-03</v>
      </c>
    </row>
    <row r="341" spans="1:14" ht="15.75" thickBot="1" x14ac:dyDescent="0.3">
      <c r="A341" s="35">
        <v>127</v>
      </c>
      <c r="B341" s="36">
        <v>45418</v>
      </c>
      <c r="C341" s="35" t="s">
        <v>11</v>
      </c>
      <c r="D341" s="35" t="s">
        <v>28</v>
      </c>
      <c r="E341" s="35" t="s">
        <v>17</v>
      </c>
      <c r="F341" s="35" t="s">
        <v>35</v>
      </c>
      <c r="G341" s="35">
        <v>4</v>
      </c>
      <c r="H341" s="37">
        <v>2077</v>
      </c>
      <c r="I341" s="35">
        <v>0.12</v>
      </c>
      <c r="J341" s="38">
        <f t="shared" si="25"/>
        <v>8308</v>
      </c>
      <c r="K341" s="55" t="str">
        <f t="shared" si="26"/>
        <v>Venta Grande</v>
      </c>
      <c r="L341" s="58" t="str">
        <f>VLOOKUP(D341, AUXILIAR!$A$2:$B$16, 2, 0)</f>
        <v>Samsung Oficial</v>
      </c>
      <c r="M341" s="54" t="str">
        <f t="shared" si="27"/>
        <v>Prioridad Media</v>
      </c>
      <c r="N341" s="54" t="str">
        <f>VLOOKUP(E341, AUXILIAR!$E$2:$F$4, 2, FALSE)</f>
        <v>ALM-02</v>
      </c>
    </row>
    <row r="342" spans="1:14" ht="15.75" thickBot="1" x14ac:dyDescent="0.3">
      <c r="A342" s="35">
        <v>113</v>
      </c>
      <c r="B342" s="36">
        <v>45404</v>
      </c>
      <c r="C342" s="35" t="s">
        <v>12</v>
      </c>
      <c r="D342" s="35" t="s">
        <v>25</v>
      </c>
      <c r="E342" s="35" t="s">
        <v>17</v>
      </c>
      <c r="F342" s="35" t="s">
        <v>36</v>
      </c>
      <c r="G342" s="35">
        <v>9</v>
      </c>
      <c r="H342" s="37">
        <v>2042</v>
      </c>
      <c r="I342" s="35">
        <v>7.0000000000000007E-2</v>
      </c>
      <c r="J342" s="38">
        <f t="shared" si="25"/>
        <v>18378</v>
      </c>
      <c r="K342" s="55" t="str">
        <f t="shared" si="26"/>
        <v>Venta Grande</v>
      </c>
      <c r="L342" s="58" t="str">
        <f>VLOOKUP(D342, AUXILIAR!$A$2:$B$16, 2, 0)</f>
        <v>LG Electronics</v>
      </c>
      <c r="M342" s="54" t="str">
        <f t="shared" si="27"/>
        <v>Prioridad Media</v>
      </c>
      <c r="N342" s="54" t="str">
        <f>VLOOKUP(E342, AUXILIAR!$E$2:$F$4, 2, FALSE)</f>
        <v>ALM-02</v>
      </c>
    </row>
    <row r="343" spans="1:14" ht="15.75" thickBot="1" x14ac:dyDescent="0.3">
      <c r="A343" s="35">
        <v>217</v>
      </c>
      <c r="B343" s="36">
        <v>45508</v>
      </c>
      <c r="C343" s="35" t="s">
        <v>11</v>
      </c>
      <c r="D343" s="35" t="s">
        <v>30</v>
      </c>
      <c r="E343" s="35" t="s">
        <v>16</v>
      </c>
      <c r="F343" s="35" t="s">
        <v>35</v>
      </c>
      <c r="G343" s="35">
        <v>5</v>
      </c>
      <c r="H343" s="37">
        <v>2040</v>
      </c>
      <c r="I343" s="35">
        <v>0.08</v>
      </c>
      <c r="J343" s="38">
        <f t="shared" si="25"/>
        <v>10200</v>
      </c>
      <c r="K343" s="55" t="str">
        <f t="shared" si="26"/>
        <v>Venta Grande</v>
      </c>
      <c r="L343" s="58" t="str">
        <f>VLOOKUP(D343, AUXILIAR!$A$2:$B$16, 2, 0)</f>
        <v>Office Design</v>
      </c>
      <c r="M343" s="54" t="str">
        <f t="shared" si="27"/>
        <v>Prioridad Media</v>
      </c>
      <c r="N343" s="54" t="str">
        <f>VLOOKUP(E343, AUXILIAR!$E$2:$F$4, 2, FALSE)</f>
        <v>ALM-01</v>
      </c>
    </row>
    <row r="344" spans="1:14" ht="15.75" thickBot="1" x14ac:dyDescent="0.3">
      <c r="A344" s="35">
        <v>223</v>
      </c>
      <c r="B344" s="36">
        <v>45514</v>
      </c>
      <c r="C344" s="35" t="s">
        <v>12</v>
      </c>
      <c r="D344" s="35" t="s">
        <v>25</v>
      </c>
      <c r="E344" s="35" t="s">
        <v>17</v>
      </c>
      <c r="F344" s="35" t="s">
        <v>36</v>
      </c>
      <c r="G344" s="35">
        <v>17</v>
      </c>
      <c r="H344" s="37">
        <v>2039</v>
      </c>
      <c r="I344" s="35">
        <v>0.03</v>
      </c>
      <c r="J344" s="38">
        <f t="shared" si="25"/>
        <v>34663</v>
      </c>
      <c r="K344" s="55" t="str">
        <f t="shared" si="26"/>
        <v>Venta Grande</v>
      </c>
      <c r="L344" s="58" t="str">
        <f>VLOOKUP(D344, AUXILIAR!$A$2:$B$16, 2, 0)</f>
        <v>LG Electronics</v>
      </c>
      <c r="M344" s="54" t="str">
        <f t="shared" si="27"/>
        <v>Prioridad Media</v>
      </c>
      <c r="N344" s="54" t="str">
        <f>VLOOKUP(E344, AUXILIAR!$E$2:$F$4, 2, FALSE)</f>
        <v>ALM-02</v>
      </c>
    </row>
    <row r="345" spans="1:14" ht="15.75" thickBot="1" x14ac:dyDescent="0.3">
      <c r="A345" s="35">
        <v>319</v>
      </c>
      <c r="B345" s="36">
        <v>45610</v>
      </c>
      <c r="C345" s="35" t="s">
        <v>13</v>
      </c>
      <c r="D345" s="35" t="s">
        <v>33</v>
      </c>
      <c r="E345" s="35" t="s">
        <v>16</v>
      </c>
      <c r="F345" s="35" t="s">
        <v>37</v>
      </c>
      <c r="G345" s="35">
        <v>5</v>
      </c>
      <c r="H345" s="37">
        <v>2037</v>
      </c>
      <c r="I345" s="35">
        <v>0.09</v>
      </c>
      <c r="J345" s="38">
        <f t="shared" si="25"/>
        <v>10185</v>
      </c>
      <c r="K345" s="55" t="str">
        <f t="shared" si="26"/>
        <v>Venta Grande</v>
      </c>
      <c r="L345" s="58" t="str">
        <f>VLOOKUP(D345, AUXILIAR!$A$2:$B$16, 2, 0)</f>
        <v>LG Electronics</v>
      </c>
      <c r="M345" s="54" t="str">
        <f t="shared" si="27"/>
        <v>Prioridad Media</v>
      </c>
      <c r="N345" s="54" t="str">
        <f>VLOOKUP(E345, AUXILIAR!$E$2:$F$4, 2, FALSE)</f>
        <v>ALM-01</v>
      </c>
    </row>
    <row r="346" spans="1:14" ht="15.75" thickBot="1" x14ac:dyDescent="0.3">
      <c r="A346" s="35">
        <v>339</v>
      </c>
      <c r="B346" s="36">
        <v>45630</v>
      </c>
      <c r="C346" s="35" t="s">
        <v>13</v>
      </c>
      <c r="D346" s="35" t="s">
        <v>31</v>
      </c>
      <c r="E346" s="35" t="s">
        <v>17</v>
      </c>
      <c r="F346" s="35" t="s">
        <v>37</v>
      </c>
      <c r="G346" s="35">
        <v>14</v>
      </c>
      <c r="H346" s="37">
        <v>2031</v>
      </c>
      <c r="I346" s="35">
        <v>0.08</v>
      </c>
      <c r="J346" s="38">
        <f t="shared" si="25"/>
        <v>28434</v>
      </c>
      <c r="K346" s="55" t="str">
        <f t="shared" si="26"/>
        <v>Venta Grande</v>
      </c>
      <c r="L346" s="58" t="str">
        <f>VLOOKUP(D346, AUXILIAR!$A$2:$B$16, 2, 0)</f>
        <v>LG Electronics</v>
      </c>
      <c r="M346" s="54" t="str">
        <f t="shared" si="27"/>
        <v>Prioridad Media</v>
      </c>
      <c r="N346" s="54" t="str">
        <f>VLOOKUP(E346, AUXILIAR!$E$2:$F$4, 2, FALSE)</f>
        <v>ALM-02</v>
      </c>
    </row>
    <row r="347" spans="1:14" ht="15.75" hidden="1" thickBot="1" x14ac:dyDescent="0.3">
      <c r="A347" s="21">
        <v>346</v>
      </c>
      <c r="B347" s="22">
        <v>45637</v>
      </c>
      <c r="C347" s="23" t="s">
        <v>10</v>
      </c>
      <c r="D347" s="24" t="s">
        <v>27</v>
      </c>
      <c r="E347" s="24" t="s">
        <v>16</v>
      </c>
      <c r="F347" s="24" t="s">
        <v>34</v>
      </c>
      <c r="G347" s="24">
        <v>11</v>
      </c>
      <c r="H347" s="25">
        <v>262</v>
      </c>
      <c r="I347" s="24">
        <v>0.14000000000000001</v>
      </c>
      <c r="J347" s="26">
        <f t="shared" si="25"/>
        <v>2882</v>
      </c>
      <c r="K347" s="27" t="str">
        <f t="shared" si="26"/>
        <v>Venta Normal</v>
      </c>
      <c r="L347" s="24" t="str">
        <f>VLOOKUP(D347, AUXILIAR!$A$2:$B$16, 2, 0)</f>
        <v>LG Electronics</v>
      </c>
      <c r="M347"/>
    </row>
    <row r="348" spans="1:14" ht="15.75" hidden="1" thickBot="1" x14ac:dyDescent="0.3">
      <c r="A348" s="16">
        <v>347</v>
      </c>
      <c r="B348" s="17">
        <v>45638</v>
      </c>
      <c r="C348" s="15" t="s">
        <v>11</v>
      </c>
      <c r="D348" s="18" t="s">
        <v>28</v>
      </c>
      <c r="E348" s="18" t="s">
        <v>17</v>
      </c>
      <c r="F348" s="18" t="s">
        <v>35</v>
      </c>
      <c r="G348" s="18">
        <v>3</v>
      </c>
      <c r="H348" s="19">
        <v>794</v>
      </c>
      <c r="I348" s="18">
        <v>0.08</v>
      </c>
      <c r="J348" s="20">
        <f t="shared" si="25"/>
        <v>2382</v>
      </c>
      <c r="K348" s="14" t="str">
        <f t="shared" si="26"/>
        <v>Venta Normal</v>
      </c>
      <c r="L348" s="18" t="str">
        <f>VLOOKUP(D348, AUXILIAR!$A$2:$B$16, 2, 0)</f>
        <v>Samsung Oficial</v>
      </c>
      <c r="M348"/>
    </row>
    <row r="349" spans="1:14" ht="15.75" thickBot="1" x14ac:dyDescent="0.3">
      <c r="A349" s="35">
        <v>34</v>
      </c>
      <c r="B349" s="36">
        <v>45325</v>
      </c>
      <c r="C349" s="35" t="s">
        <v>13</v>
      </c>
      <c r="D349" s="35" t="s">
        <v>33</v>
      </c>
      <c r="E349" s="35" t="s">
        <v>16</v>
      </c>
      <c r="F349" s="35" t="s">
        <v>37</v>
      </c>
      <c r="G349" s="35">
        <v>9</v>
      </c>
      <c r="H349" s="37">
        <v>2027</v>
      </c>
      <c r="I349" s="35">
        <v>0.09</v>
      </c>
      <c r="J349" s="38">
        <f t="shared" si="25"/>
        <v>18243</v>
      </c>
      <c r="K349" s="55" t="str">
        <f t="shared" si="26"/>
        <v>Venta Grande</v>
      </c>
      <c r="L349" s="58" t="str">
        <f>VLOOKUP(D349, AUXILIAR!$A$2:$B$16, 2, 0)</f>
        <v>LG Electronics</v>
      </c>
      <c r="M349" s="54" t="str">
        <f>IF(AND(E349="Tecnología", J349&gt;20000), "Prioridad Alta", IF(J349&gt;5000, "Prioridad Media", "Prioridad Baja"))</f>
        <v>Prioridad Media</v>
      </c>
      <c r="N349" s="54" t="str">
        <f>VLOOKUP(E349, AUXILIAR!$E$2:$F$4, 2, FALSE)</f>
        <v>ALM-01</v>
      </c>
    </row>
    <row r="350" spans="1:14" ht="15.75" hidden="1" thickBot="1" x14ac:dyDescent="0.3">
      <c r="A350" s="28">
        <v>349</v>
      </c>
      <c r="B350" s="29">
        <v>45640</v>
      </c>
      <c r="C350" s="30" t="s">
        <v>13</v>
      </c>
      <c r="D350" s="31" t="s">
        <v>30</v>
      </c>
      <c r="E350" s="31" t="s">
        <v>16</v>
      </c>
      <c r="F350" s="31" t="s">
        <v>37</v>
      </c>
      <c r="G350" s="31">
        <v>5</v>
      </c>
      <c r="H350" s="32">
        <v>310</v>
      </c>
      <c r="I350" s="31">
        <v>0.06</v>
      </c>
      <c r="J350" s="33">
        <f t="shared" si="25"/>
        <v>1550</v>
      </c>
      <c r="K350" s="34" t="str">
        <f t="shared" si="26"/>
        <v>Venta Normal</v>
      </c>
      <c r="L350" s="31" t="str">
        <f>VLOOKUP(D350, AUXILIAR!$A$2:$B$16, 2, 0)</f>
        <v>Office Design</v>
      </c>
      <c r="M350"/>
    </row>
    <row r="351" spans="1:14" ht="15.75" thickBot="1" x14ac:dyDescent="0.3">
      <c r="A351" s="35">
        <v>10</v>
      </c>
      <c r="B351" s="36">
        <v>45301</v>
      </c>
      <c r="C351" s="35" t="s">
        <v>14</v>
      </c>
      <c r="D351" s="35" t="s">
        <v>32</v>
      </c>
      <c r="E351" s="35" t="s">
        <v>18</v>
      </c>
      <c r="F351" s="35" t="s">
        <v>38</v>
      </c>
      <c r="G351" s="35">
        <v>5</v>
      </c>
      <c r="H351" s="37">
        <v>2020</v>
      </c>
      <c r="I351" s="35">
        <v>0.04</v>
      </c>
      <c r="J351" s="38">
        <f t="shared" si="25"/>
        <v>10100</v>
      </c>
      <c r="K351" s="55" t="str">
        <f t="shared" si="26"/>
        <v>Venta Grande</v>
      </c>
      <c r="L351" s="58" t="str">
        <f>VLOOKUP(D351, AUXILIAR!$A$2:$B$16, 2, 0)</f>
        <v>Samsung Oficial</v>
      </c>
      <c r="M351" s="54" t="str">
        <f t="shared" ref="M351:M367" si="28">IF(AND(E351="Tecnología", J351&gt;20000), "Prioridad Alta", IF(J351&gt;5000, "Prioridad Media", "Prioridad Baja"))</f>
        <v>Prioridad Media</v>
      </c>
      <c r="N351" s="54" t="str">
        <f>VLOOKUP(E351, AUXILIAR!$E$2:$F$4, 2, FALSE)</f>
        <v>ALM-03</v>
      </c>
    </row>
    <row r="352" spans="1:14" ht="15.75" thickBot="1" x14ac:dyDescent="0.3">
      <c r="A352" s="35">
        <v>189</v>
      </c>
      <c r="B352" s="36">
        <v>45480</v>
      </c>
      <c r="C352" s="35" t="s">
        <v>13</v>
      </c>
      <c r="D352" s="35" t="s">
        <v>24</v>
      </c>
      <c r="E352" s="35" t="s">
        <v>16</v>
      </c>
      <c r="F352" s="35" t="s">
        <v>37</v>
      </c>
      <c r="G352" s="35">
        <v>7</v>
      </c>
      <c r="H352" s="37">
        <v>2005</v>
      </c>
      <c r="I352" s="35">
        <v>0.15</v>
      </c>
      <c r="J352" s="38">
        <f t="shared" si="25"/>
        <v>14035</v>
      </c>
      <c r="K352" s="55" t="str">
        <f t="shared" si="26"/>
        <v>Venta Grande</v>
      </c>
      <c r="L352" s="58" t="str">
        <f>VLOOKUP(D352, AUXILIAR!$A$2:$B$16, 2, 0)</f>
        <v>Samsung Oficial</v>
      </c>
      <c r="M352" s="54" t="str">
        <f t="shared" si="28"/>
        <v>Prioridad Media</v>
      </c>
      <c r="N352" s="54" t="str">
        <f>VLOOKUP(E352, AUXILIAR!$E$2:$F$4, 2, FALSE)</f>
        <v>ALM-01</v>
      </c>
    </row>
    <row r="353" spans="1:14" ht="15.75" thickBot="1" x14ac:dyDescent="0.3">
      <c r="A353" s="35">
        <v>343</v>
      </c>
      <c r="B353" s="36">
        <v>45634</v>
      </c>
      <c r="C353" s="35" t="s">
        <v>12</v>
      </c>
      <c r="D353" s="35" t="s">
        <v>24</v>
      </c>
      <c r="E353" s="35" t="s">
        <v>16</v>
      </c>
      <c r="F353" s="35" t="s">
        <v>36</v>
      </c>
      <c r="G353" s="35">
        <v>19</v>
      </c>
      <c r="H353" s="37">
        <v>1994</v>
      </c>
      <c r="I353" s="35">
        <v>0.01</v>
      </c>
      <c r="J353" s="38">
        <f t="shared" si="25"/>
        <v>37886</v>
      </c>
      <c r="K353" s="55" t="str">
        <f t="shared" si="26"/>
        <v>Venta Grande</v>
      </c>
      <c r="L353" s="58" t="str">
        <f>VLOOKUP(D353, AUXILIAR!$A$2:$B$16, 2, 0)</f>
        <v>Samsung Oficial</v>
      </c>
      <c r="M353" s="54" t="str">
        <f t="shared" si="28"/>
        <v>Prioridad Alta</v>
      </c>
      <c r="N353" s="54" t="str">
        <f>VLOOKUP(E353, AUXILIAR!$E$2:$F$4, 2, FALSE)</f>
        <v>ALM-01</v>
      </c>
    </row>
    <row r="354" spans="1:14" ht="15.75" thickBot="1" x14ac:dyDescent="0.3">
      <c r="A354" s="35">
        <v>255</v>
      </c>
      <c r="B354" s="36">
        <v>45546</v>
      </c>
      <c r="C354" s="35" t="s">
        <v>14</v>
      </c>
      <c r="D354" s="35" t="s">
        <v>24</v>
      </c>
      <c r="E354" s="35" t="s">
        <v>16</v>
      </c>
      <c r="F354" s="35" t="s">
        <v>38</v>
      </c>
      <c r="G354" s="35">
        <v>10</v>
      </c>
      <c r="H354" s="37">
        <v>1980</v>
      </c>
      <c r="I354" s="35">
        <v>0.11</v>
      </c>
      <c r="J354" s="38">
        <f t="shared" si="25"/>
        <v>19800</v>
      </c>
      <c r="K354" s="55" t="str">
        <f t="shared" si="26"/>
        <v>Venta Grande</v>
      </c>
      <c r="L354" s="58" t="str">
        <f>VLOOKUP(D354, AUXILIAR!$A$2:$B$16, 2, 0)</f>
        <v>Samsung Oficial</v>
      </c>
      <c r="M354" s="54" t="str">
        <f t="shared" si="28"/>
        <v>Prioridad Media</v>
      </c>
      <c r="N354" s="54" t="str">
        <f>VLOOKUP(E354, AUXILIAR!$E$2:$F$4, 2, FALSE)</f>
        <v>ALM-01</v>
      </c>
    </row>
    <row r="355" spans="1:14" ht="15.75" thickBot="1" x14ac:dyDescent="0.3">
      <c r="A355" s="35">
        <v>299</v>
      </c>
      <c r="B355" s="36">
        <v>45590</v>
      </c>
      <c r="C355" s="35" t="s">
        <v>13</v>
      </c>
      <c r="D355" s="35" t="s">
        <v>24</v>
      </c>
      <c r="E355" s="35" t="s">
        <v>16</v>
      </c>
      <c r="F355" s="35" t="s">
        <v>37</v>
      </c>
      <c r="G355" s="35">
        <v>11</v>
      </c>
      <c r="H355" s="37">
        <v>1957</v>
      </c>
      <c r="I355" s="35">
        <v>0.01</v>
      </c>
      <c r="J355" s="38">
        <f t="shared" si="25"/>
        <v>21527</v>
      </c>
      <c r="K355" s="55" t="str">
        <f t="shared" si="26"/>
        <v>Venta Grande</v>
      </c>
      <c r="L355" s="58" t="str">
        <f>VLOOKUP(D355, AUXILIAR!$A$2:$B$16, 2, 0)</f>
        <v>Samsung Oficial</v>
      </c>
      <c r="M355" s="54" t="str">
        <f t="shared" si="28"/>
        <v>Prioridad Alta</v>
      </c>
      <c r="N355" s="54" t="str">
        <f>VLOOKUP(E355, AUXILIAR!$E$2:$F$4, 2, FALSE)</f>
        <v>ALM-01</v>
      </c>
    </row>
    <row r="356" spans="1:14" ht="15.75" thickBot="1" x14ac:dyDescent="0.3">
      <c r="A356" s="35">
        <v>295</v>
      </c>
      <c r="B356" s="36">
        <v>45586</v>
      </c>
      <c r="C356" s="35" t="s">
        <v>14</v>
      </c>
      <c r="D356" s="35" t="s">
        <v>31</v>
      </c>
      <c r="E356" s="35" t="s">
        <v>17</v>
      </c>
      <c r="F356" s="35" t="s">
        <v>38</v>
      </c>
      <c r="G356" s="35">
        <v>14</v>
      </c>
      <c r="H356" s="37">
        <v>1924</v>
      </c>
      <c r="I356" s="35">
        <v>0.1</v>
      </c>
      <c r="J356" s="38">
        <f t="shared" si="25"/>
        <v>26936</v>
      </c>
      <c r="K356" s="55" t="str">
        <f t="shared" si="26"/>
        <v>Venta Grande</v>
      </c>
      <c r="L356" s="58" t="str">
        <f>VLOOKUP(D356, AUXILIAR!$A$2:$B$16, 2, 0)</f>
        <v>LG Electronics</v>
      </c>
      <c r="M356" s="54" t="str">
        <f t="shared" si="28"/>
        <v>Prioridad Media</v>
      </c>
      <c r="N356" s="54" t="str">
        <f>VLOOKUP(E356, AUXILIAR!$E$2:$F$4, 2, FALSE)</f>
        <v>ALM-02</v>
      </c>
    </row>
    <row r="357" spans="1:14" ht="15.75" thickBot="1" x14ac:dyDescent="0.3">
      <c r="A357" s="35">
        <v>242</v>
      </c>
      <c r="B357" s="36">
        <v>45533</v>
      </c>
      <c r="C357" s="35" t="s">
        <v>11</v>
      </c>
      <c r="D357" s="35" t="s">
        <v>33</v>
      </c>
      <c r="E357" s="35" t="s">
        <v>16</v>
      </c>
      <c r="F357" s="35" t="s">
        <v>35</v>
      </c>
      <c r="G357" s="35">
        <v>13</v>
      </c>
      <c r="H357" s="37">
        <v>1896</v>
      </c>
      <c r="I357" s="35">
        <v>7.0000000000000007E-2</v>
      </c>
      <c r="J357" s="38">
        <f t="shared" si="25"/>
        <v>24648</v>
      </c>
      <c r="K357" s="55" t="str">
        <f t="shared" si="26"/>
        <v>Venta Grande</v>
      </c>
      <c r="L357" s="58" t="str">
        <f>VLOOKUP(D357, AUXILIAR!$A$2:$B$16, 2, 0)</f>
        <v>LG Electronics</v>
      </c>
      <c r="M357" s="54" t="str">
        <f t="shared" si="28"/>
        <v>Prioridad Alta</v>
      </c>
      <c r="N357" s="54" t="str">
        <f>VLOOKUP(E357, AUXILIAR!$E$2:$F$4, 2, FALSE)</f>
        <v>ALM-01</v>
      </c>
    </row>
    <row r="358" spans="1:14" ht="15.75" thickBot="1" x14ac:dyDescent="0.3">
      <c r="A358" s="35">
        <v>201</v>
      </c>
      <c r="B358" s="36">
        <v>45492</v>
      </c>
      <c r="C358" s="35" t="s">
        <v>10</v>
      </c>
      <c r="D358" s="35" t="s">
        <v>25</v>
      </c>
      <c r="E358" s="35" t="s">
        <v>17</v>
      </c>
      <c r="F358" s="35" t="s">
        <v>34</v>
      </c>
      <c r="G358" s="35">
        <v>19</v>
      </c>
      <c r="H358" s="37">
        <v>1887</v>
      </c>
      <c r="I358" s="35">
        <v>0.11</v>
      </c>
      <c r="J358" s="38">
        <f t="shared" si="25"/>
        <v>35853</v>
      </c>
      <c r="K358" s="55" t="str">
        <f t="shared" si="26"/>
        <v>Venta Grande</v>
      </c>
      <c r="L358" s="58" t="str">
        <f>VLOOKUP(D358, AUXILIAR!$A$2:$B$16, 2, 0)</f>
        <v>LG Electronics</v>
      </c>
      <c r="M358" s="54" t="str">
        <f t="shared" si="28"/>
        <v>Prioridad Media</v>
      </c>
      <c r="N358" s="54" t="str">
        <f>VLOOKUP(E358, AUXILIAR!$E$2:$F$4, 2, FALSE)</f>
        <v>ALM-02</v>
      </c>
    </row>
    <row r="359" spans="1:14" ht="15.75" thickBot="1" x14ac:dyDescent="0.3">
      <c r="A359" s="35">
        <v>157</v>
      </c>
      <c r="B359" s="36">
        <v>45448</v>
      </c>
      <c r="C359" s="35" t="s">
        <v>11</v>
      </c>
      <c r="D359" s="35" t="s">
        <v>25</v>
      </c>
      <c r="E359" s="35" t="s">
        <v>17</v>
      </c>
      <c r="F359" s="35" t="s">
        <v>35</v>
      </c>
      <c r="G359" s="35">
        <v>11</v>
      </c>
      <c r="H359" s="37">
        <v>1884</v>
      </c>
      <c r="I359" s="35">
        <v>0.11</v>
      </c>
      <c r="J359" s="38">
        <f t="shared" si="25"/>
        <v>20724</v>
      </c>
      <c r="K359" s="55" t="str">
        <f t="shared" si="26"/>
        <v>Venta Grande</v>
      </c>
      <c r="L359" s="58" t="str">
        <f>VLOOKUP(D359, AUXILIAR!$A$2:$B$16, 2, 0)</f>
        <v>LG Electronics</v>
      </c>
      <c r="M359" s="54" t="str">
        <f t="shared" si="28"/>
        <v>Prioridad Media</v>
      </c>
      <c r="N359" s="54" t="str">
        <f>VLOOKUP(E359, AUXILIAR!$E$2:$F$4, 2, FALSE)</f>
        <v>ALM-02</v>
      </c>
    </row>
    <row r="360" spans="1:14" ht="15.75" thickBot="1" x14ac:dyDescent="0.3">
      <c r="A360" s="35">
        <v>135</v>
      </c>
      <c r="B360" s="36">
        <v>45426</v>
      </c>
      <c r="C360" s="35" t="s">
        <v>14</v>
      </c>
      <c r="D360" s="35" t="s">
        <v>25</v>
      </c>
      <c r="E360" s="35" t="s">
        <v>17</v>
      </c>
      <c r="F360" s="35" t="s">
        <v>38</v>
      </c>
      <c r="G360" s="35">
        <v>20</v>
      </c>
      <c r="H360" s="37">
        <v>1883</v>
      </c>
      <c r="I360" s="35">
        <v>0.02</v>
      </c>
      <c r="J360" s="38">
        <f t="shared" si="25"/>
        <v>37660</v>
      </c>
      <c r="K360" s="55" t="str">
        <f t="shared" si="26"/>
        <v>Venta Grande</v>
      </c>
      <c r="L360" s="58" t="str">
        <f>VLOOKUP(D360, AUXILIAR!$A$2:$B$16, 2, 0)</f>
        <v>LG Electronics</v>
      </c>
      <c r="M360" s="54" t="str">
        <f t="shared" si="28"/>
        <v>Prioridad Media</v>
      </c>
      <c r="N360" s="54" t="str">
        <f>VLOOKUP(E360, AUXILIAR!$E$2:$F$4, 2, FALSE)</f>
        <v>ALM-02</v>
      </c>
    </row>
    <row r="361" spans="1:14" ht="15.75" thickBot="1" x14ac:dyDescent="0.3">
      <c r="A361" s="35">
        <v>150</v>
      </c>
      <c r="B361" s="36">
        <v>45441</v>
      </c>
      <c r="C361" s="35" t="s">
        <v>14</v>
      </c>
      <c r="D361" s="35" t="s">
        <v>29</v>
      </c>
      <c r="E361" s="35" t="s">
        <v>18</v>
      </c>
      <c r="F361" s="35" t="s">
        <v>38</v>
      </c>
      <c r="G361" s="35">
        <v>19</v>
      </c>
      <c r="H361" s="37">
        <v>1871</v>
      </c>
      <c r="I361" s="35">
        <v>0.01</v>
      </c>
      <c r="J361" s="38">
        <f t="shared" si="25"/>
        <v>35549</v>
      </c>
      <c r="K361" s="55" t="str">
        <f t="shared" si="26"/>
        <v>Venta Grande</v>
      </c>
      <c r="L361" s="58" t="str">
        <f>VLOOKUP(D361, AUXILIAR!$A$2:$B$16, 2, 0)</f>
        <v>LG Electronics</v>
      </c>
      <c r="M361" s="54" t="str">
        <f t="shared" si="28"/>
        <v>Prioridad Media</v>
      </c>
      <c r="N361" s="54" t="str">
        <f>VLOOKUP(E361, AUXILIAR!$E$2:$F$4, 2, FALSE)</f>
        <v>ALM-03</v>
      </c>
    </row>
    <row r="362" spans="1:14" ht="15.75" thickBot="1" x14ac:dyDescent="0.3">
      <c r="A362" s="35">
        <v>166</v>
      </c>
      <c r="B362" s="36">
        <v>45457</v>
      </c>
      <c r="C362" s="35" t="s">
        <v>10</v>
      </c>
      <c r="D362" s="35" t="s">
        <v>33</v>
      </c>
      <c r="E362" s="35" t="s">
        <v>16</v>
      </c>
      <c r="F362" s="35" t="s">
        <v>34</v>
      </c>
      <c r="G362" s="35">
        <v>3</v>
      </c>
      <c r="H362" s="37">
        <v>1870</v>
      </c>
      <c r="I362" s="35">
        <v>0.12</v>
      </c>
      <c r="J362" s="38">
        <f t="shared" si="25"/>
        <v>5610</v>
      </c>
      <c r="K362" s="55" t="str">
        <f t="shared" si="26"/>
        <v>Venta Grande</v>
      </c>
      <c r="L362" s="58" t="str">
        <f>VLOOKUP(D362, AUXILIAR!$A$2:$B$16, 2, 0)</f>
        <v>LG Electronics</v>
      </c>
      <c r="M362" s="54" t="str">
        <f t="shared" si="28"/>
        <v>Prioridad Media</v>
      </c>
      <c r="N362" s="54" t="str">
        <f>VLOOKUP(E362, AUXILIAR!$E$2:$F$4, 2, FALSE)</f>
        <v>ALM-01</v>
      </c>
    </row>
    <row r="363" spans="1:14" ht="15.75" thickBot="1" x14ac:dyDescent="0.3">
      <c r="A363" s="35">
        <v>249</v>
      </c>
      <c r="B363" s="36">
        <v>45540</v>
      </c>
      <c r="C363" s="35" t="s">
        <v>13</v>
      </c>
      <c r="D363" s="35" t="s">
        <v>29</v>
      </c>
      <c r="E363" s="35" t="s">
        <v>18</v>
      </c>
      <c r="F363" s="35" t="s">
        <v>37</v>
      </c>
      <c r="G363" s="35">
        <v>14</v>
      </c>
      <c r="H363" s="37">
        <v>1868</v>
      </c>
      <c r="I363" s="35">
        <v>0.13</v>
      </c>
      <c r="J363" s="38">
        <f t="shared" si="25"/>
        <v>26152</v>
      </c>
      <c r="K363" s="55" t="str">
        <f t="shared" si="26"/>
        <v>Venta Grande</v>
      </c>
      <c r="L363" s="58" t="str">
        <f>VLOOKUP(D363, AUXILIAR!$A$2:$B$16, 2, 0)</f>
        <v>LG Electronics</v>
      </c>
      <c r="M363" s="54" t="str">
        <f t="shared" si="28"/>
        <v>Prioridad Media</v>
      </c>
      <c r="N363" s="54" t="str">
        <f>VLOOKUP(E363, AUXILIAR!$E$2:$F$4, 2, FALSE)</f>
        <v>ALM-03</v>
      </c>
    </row>
    <row r="364" spans="1:14" ht="15.75" thickBot="1" x14ac:dyDescent="0.3">
      <c r="A364" s="35">
        <v>253</v>
      </c>
      <c r="B364" s="36">
        <v>45544</v>
      </c>
      <c r="C364" s="35" t="s">
        <v>12</v>
      </c>
      <c r="D364" s="35" t="s">
        <v>33</v>
      </c>
      <c r="E364" s="35" t="s">
        <v>16</v>
      </c>
      <c r="F364" s="35" t="s">
        <v>36</v>
      </c>
      <c r="G364" s="35">
        <v>7</v>
      </c>
      <c r="H364" s="37">
        <v>1866</v>
      </c>
      <c r="I364" s="35">
        <v>0.11</v>
      </c>
      <c r="J364" s="38">
        <f t="shared" si="25"/>
        <v>13062</v>
      </c>
      <c r="K364" s="55" t="str">
        <f t="shared" si="26"/>
        <v>Venta Grande</v>
      </c>
      <c r="L364" s="58" t="str">
        <f>VLOOKUP(D364, AUXILIAR!$A$2:$B$16, 2, 0)</f>
        <v>LG Electronics</v>
      </c>
      <c r="M364" s="54" t="str">
        <f t="shared" si="28"/>
        <v>Prioridad Media</v>
      </c>
      <c r="N364" s="54" t="str">
        <f>VLOOKUP(E364, AUXILIAR!$E$2:$F$4, 2, FALSE)</f>
        <v>ALM-01</v>
      </c>
    </row>
    <row r="365" spans="1:14" ht="15.75" thickBot="1" x14ac:dyDescent="0.3">
      <c r="A365" s="35">
        <v>19</v>
      </c>
      <c r="B365" s="36">
        <v>45310</v>
      </c>
      <c r="C365" s="35" t="s">
        <v>13</v>
      </c>
      <c r="D365" s="35" t="s">
        <v>30</v>
      </c>
      <c r="E365" s="35" t="s">
        <v>16</v>
      </c>
      <c r="F365" s="35" t="s">
        <v>37</v>
      </c>
      <c r="G365" s="35">
        <v>19</v>
      </c>
      <c r="H365" s="37">
        <v>1859</v>
      </c>
      <c r="I365" s="35">
        <v>0.08</v>
      </c>
      <c r="J365" s="38">
        <f t="shared" si="25"/>
        <v>35321</v>
      </c>
      <c r="K365" s="55" t="str">
        <f t="shared" si="26"/>
        <v>Venta Grande</v>
      </c>
      <c r="L365" s="58" t="str">
        <f>VLOOKUP(D365, AUXILIAR!$A$2:$B$16, 2, 0)</f>
        <v>Office Design</v>
      </c>
      <c r="M365" s="54" t="str">
        <f t="shared" si="28"/>
        <v>Prioridad Alta</v>
      </c>
      <c r="N365" s="54" t="str">
        <f>VLOOKUP(E365, AUXILIAR!$E$2:$F$4, 2, FALSE)</f>
        <v>ALM-01</v>
      </c>
    </row>
    <row r="366" spans="1:14" ht="15.75" thickBot="1" x14ac:dyDescent="0.3">
      <c r="A366" s="35">
        <v>404</v>
      </c>
      <c r="B366" s="36">
        <v>45695</v>
      </c>
      <c r="C366" s="35" t="s">
        <v>13</v>
      </c>
      <c r="D366" s="35" t="s">
        <v>30</v>
      </c>
      <c r="E366" s="35" t="s">
        <v>16</v>
      </c>
      <c r="F366" s="35" t="s">
        <v>37</v>
      </c>
      <c r="G366" s="35">
        <v>10</v>
      </c>
      <c r="H366" s="37">
        <v>1858</v>
      </c>
      <c r="I366" s="35">
        <v>0.09</v>
      </c>
      <c r="J366" s="38">
        <f t="shared" si="25"/>
        <v>18580</v>
      </c>
      <c r="K366" s="55" t="str">
        <f t="shared" si="26"/>
        <v>Venta Grande</v>
      </c>
      <c r="L366" s="58" t="str">
        <f>VLOOKUP(D366, AUXILIAR!$A$2:$B$16, 2, 0)</f>
        <v>Office Design</v>
      </c>
      <c r="M366" s="54" t="str">
        <f t="shared" si="28"/>
        <v>Prioridad Media</v>
      </c>
      <c r="N366" s="54" t="str">
        <f>VLOOKUP(E366, AUXILIAR!$E$2:$F$4, 2, FALSE)</f>
        <v>ALM-01</v>
      </c>
    </row>
    <row r="367" spans="1:14" ht="15.75" thickBot="1" x14ac:dyDescent="0.3">
      <c r="A367" s="35">
        <v>225</v>
      </c>
      <c r="B367" s="36">
        <v>45516</v>
      </c>
      <c r="C367" s="35" t="s">
        <v>14</v>
      </c>
      <c r="D367" s="35" t="s">
        <v>27</v>
      </c>
      <c r="E367" s="35" t="s">
        <v>16</v>
      </c>
      <c r="F367" s="35" t="s">
        <v>38</v>
      </c>
      <c r="G367" s="35">
        <v>17</v>
      </c>
      <c r="H367" s="37">
        <v>1853</v>
      </c>
      <c r="I367" s="35">
        <v>0.11</v>
      </c>
      <c r="J367" s="38">
        <f t="shared" si="25"/>
        <v>31501</v>
      </c>
      <c r="K367" s="55" t="str">
        <f t="shared" si="26"/>
        <v>Venta Grande</v>
      </c>
      <c r="L367" s="58" t="str">
        <f>VLOOKUP(D367, AUXILIAR!$A$2:$B$16, 2, 0)</f>
        <v>LG Electronics</v>
      </c>
      <c r="M367" s="54" t="str">
        <f t="shared" si="28"/>
        <v>Prioridad Alta</v>
      </c>
      <c r="N367" s="54" t="str">
        <f>VLOOKUP(E367, AUXILIAR!$E$2:$F$4, 2, FALSE)</f>
        <v>ALM-01</v>
      </c>
    </row>
    <row r="368" spans="1:14" ht="15.75" hidden="1" thickBot="1" x14ac:dyDescent="0.3">
      <c r="A368" s="28">
        <v>367</v>
      </c>
      <c r="B368" s="29">
        <v>45658</v>
      </c>
      <c r="C368" s="30" t="s">
        <v>11</v>
      </c>
      <c r="D368" s="31" t="s">
        <v>26</v>
      </c>
      <c r="E368" s="31" t="s">
        <v>18</v>
      </c>
      <c r="F368" s="31" t="s">
        <v>35</v>
      </c>
      <c r="G368" s="31">
        <v>3</v>
      </c>
      <c r="H368" s="32">
        <v>502</v>
      </c>
      <c r="I368" s="31">
        <v>0.01</v>
      </c>
      <c r="J368" s="33">
        <f t="shared" si="25"/>
        <v>1506</v>
      </c>
      <c r="K368" s="34" t="str">
        <f t="shared" si="26"/>
        <v>Venta Normal</v>
      </c>
      <c r="L368" s="31" t="str">
        <f>VLOOKUP(D368, AUXILIAR!$A$2:$B$16, 2, 0)</f>
        <v>Office Design</v>
      </c>
      <c r="M368"/>
    </row>
    <row r="369" spans="1:14" ht="15.75" thickBot="1" x14ac:dyDescent="0.3">
      <c r="A369" s="35">
        <v>350</v>
      </c>
      <c r="B369" s="36">
        <v>45641</v>
      </c>
      <c r="C369" s="35" t="s">
        <v>14</v>
      </c>
      <c r="D369" s="35" t="s">
        <v>31</v>
      </c>
      <c r="E369" s="35" t="s">
        <v>17</v>
      </c>
      <c r="F369" s="35" t="s">
        <v>38</v>
      </c>
      <c r="G369" s="35">
        <v>8</v>
      </c>
      <c r="H369" s="37">
        <v>1853</v>
      </c>
      <c r="I369" s="35">
        <v>0.04</v>
      </c>
      <c r="J369" s="38">
        <f t="shared" si="25"/>
        <v>14824</v>
      </c>
      <c r="K369" s="55" t="str">
        <f t="shared" si="26"/>
        <v>Venta Grande</v>
      </c>
      <c r="L369" s="58" t="str">
        <f>VLOOKUP(D369, AUXILIAR!$A$2:$B$16, 2, 0)</f>
        <v>LG Electronics</v>
      </c>
      <c r="M369" s="54" t="str">
        <f>IF(AND(E369="Tecnología", J369&gt;20000), "Prioridad Alta", IF(J369&gt;5000, "Prioridad Media", "Prioridad Baja"))</f>
        <v>Prioridad Media</v>
      </c>
      <c r="N369" s="54" t="str">
        <f>VLOOKUP(E369, AUXILIAR!$E$2:$F$4, 2, FALSE)</f>
        <v>ALM-02</v>
      </c>
    </row>
    <row r="370" spans="1:14" ht="15.75" thickBot="1" x14ac:dyDescent="0.3">
      <c r="A370" s="35">
        <v>435</v>
      </c>
      <c r="B370" s="36">
        <v>45726</v>
      </c>
      <c r="C370" s="35" t="s">
        <v>14</v>
      </c>
      <c r="D370" s="35" t="s">
        <v>28</v>
      </c>
      <c r="E370" s="35" t="s">
        <v>17</v>
      </c>
      <c r="F370" s="35" t="s">
        <v>38</v>
      </c>
      <c r="G370" s="35">
        <v>17</v>
      </c>
      <c r="H370" s="37">
        <v>1846</v>
      </c>
      <c r="I370" s="35">
        <v>0.15</v>
      </c>
      <c r="J370" s="38">
        <f t="shared" si="25"/>
        <v>31382</v>
      </c>
      <c r="K370" s="55" t="str">
        <f t="shared" si="26"/>
        <v>Venta Grande</v>
      </c>
      <c r="L370" s="58" t="str">
        <f>VLOOKUP(D370, AUXILIAR!$A$2:$B$16, 2, 0)</f>
        <v>Samsung Oficial</v>
      </c>
      <c r="M370" s="54" t="str">
        <f>IF(AND(E370="Tecnología", J370&gt;20000), "Prioridad Alta", IF(J370&gt;5000, "Prioridad Media", "Prioridad Baja"))</f>
        <v>Prioridad Media</v>
      </c>
      <c r="N370" s="54" t="str">
        <f>VLOOKUP(E370, AUXILIAR!$E$2:$F$4, 2, FALSE)</f>
        <v>ALM-02</v>
      </c>
    </row>
    <row r="371" spans="1:14" ht="15.75" hidden="1" thickBot="1" x14ac:dyDescent="0.3">
      <c r="A371" s="28">
        <v>370</v>
      </c>
      <c r="B371" s="29">
        <v>45661</v>
      </c>
      <c r="C371" s="30" t="s">
        <v>14</v>
      </c>
      <c r="D371" s="31" t="s">
        <v>29</v>
      </c>
      <c r="E371" s="31" t="s">
        <v>18</v>
      </c>
      <c r="F371" s="31" t="s">
        <v>38</v>
      </c>
      <c r="G371" s="31">
        <v>15</v>
      </c>
      <c r="H371" s="32">
        <v>184</v>
      </c>
      <c r="I371" s="31">
        <v>0.02</v>
      </c>
      <c r="J371" s="33">
        <f t="shared" si="25"/>
        <v>2760</v>
      </c>
      <c r="K371" s="34" t="str">
        <f t="shared" si="26"/>
        <v>Venta Normal</v>
      </c>
      <c r="L371" s="31" t="str">
        <f>VLOOKUP(D371, AUXILIAR!$A$2:$B$16, 2, 0)</f>
        <v>LG Electronics</v>
      </c>
      <c r="M371"/>
    </row>
    <row r="372" spans="1:14" ht="15.75" thickBot="1" x14ac:dyDescent="0.3">
      <c r="A372" s="35">
        <v>398</v>
      </c>
      <c r="B372" s="36">
        <v>45689</v>
      </c>
      <c r="C372" s="35" t="s">
        <v>12</v>
      </c>
      <c r="D372" s="35" t="s">
        <v>24</v>
      </c>
      <c r="E372" s="35" t="s">
        <v>16</v>
      </c>
      <c r="F372" s="35" t="s">
        <v>36</v>
      </c>
      <c r="G372" s="35">
        <v>19</v>
      </c>
      <c r="H372" s="37">
        <v>1841</v>
      </c>
      <c r="I372" s="35">
        <v>0.05</v>
      </c>
      <c r="J372" s="38">
        <f t="shared" si="25"/>
        <v>34979</v>
      </c>
      <c r="K372" s="55" t="str">
        <f t="shared" si="26"/>
        <v>Venta Grande</v>
      </c>
      <c r="L372" s="58" t="str">
        <f>VLOOKUP(D372, AUXILIAR!$A$2:$B$16, 2, 0)</f>
        <v>Samsung Oficial</v>
      </c>
      <c r="M372" s="54" t="str">
        <f t="shared" ref="M372:M383" si="29">IF(AND(E372="Tecnología", J372&gt;20000), "Prioridad Alta", IF(J372&gt;5000, "Prioridad Media", "Prioridad Baja"))</f>
        <v>Prioridad Alta</v>
      </c>
      <c r="N372" s="54" t="str">
        <f>VLOOKUP(E372, AUXILIAR!$E$2:$F$4, 2, FALSE)</f>
        <v>ALM-01</v>
      </c>
    </row>
    <row r="373" spans="1:14" ht="15.75" thickBot="1" x14ac:dyDescent="0.3">
      <c r="A373" s="35">
        <v>172</v>
      </c>
      <c r="B373" s="36">
        <v>45463</v>
      </c>
      <c r="C373" s="35" t="s">
        <v>11</v>
      </c>
      <c r="D373" s="35" t="s">
        <v>29</v>
      </c>
      <c r="E373" s="35" t="s">
        <v>18</v>
      </c>
      <c r="F373" s="35" t="s">
        <v>35</v>
      </c>
      <c r="G373" s="35">
        <v>20</v>
      </c>
      <c r="H373" s="37">
        <v>1808</v>
      </c>
      <c r="I373" s="35">
        <v>0.02</v>
      </c>
      <c r="J373" s="38">
        <f t="shared" si="25"/>
        <v>36160</v>
      </c>
      <c r="K373" s="55" t="str">
        <f t="shared" si="26"/>
        <v>Venta Grande</v>
      </c>
      <c r="L373" s="58" t="str">
        <f>VLOOKUP(D373, AUXILIAR!$A$2:$B$16, 2, 0)</f>
        <v>LG Electronics</v>
      </c>
      <c r="M373" s="54" t="str">
        <f t="shared" si="29"/>
        <v>Prioridad Media</v>
      </c>
      <c r="N373" s="54" t="str">
        <f>VLOOKUP(E373, AUXILIAR!$E$2:$F$4, 2, FALSE)</f>
        <v>ALM-03</v>
      </c>
    </row>
    <row r="374" spans="1:14" ht="15.75" thickBot="1" x14ac:dyDescent="0.3">
      <c r="A374" s="35">
        <v>186</v>
      </c>
      <c r="B374" s="36">
        <v>45477</v>
      </c>
      <c r="C374" s="35" t="s">
        <v>10</v>
      </c>
      <c r="D374" s="35" t="s">
        <v>32</v>
      </c>
      <c r="E374" s="35" t="s">
        <v>18</v>
      </c>
      <c r="F374" s="35" t="s">
        <v>34</v>
      </c>
      <c r="G374" s="35">
        <v>3</v>
      </c>
      <c r="H374" s="37">
        <v>1792</v>
      </c>
      <c r="I374" s="35">
        <v>0.11</v>
      </c>
      <c r="J374" s="38">
        <f t="shared" si="25"/>
        <v>5376</v>
      </c>
      <c r="K374" s="55" t="str">
        <f t="shared" si="26"/>
        <v>Venta Grande</v>
      </c>
      <c r="L374" s="58" t="str">
        <f>VLOOKUP(D374, AUXILIAR!$A$2:$B$16, 2, 0)</f>
        <v>Samsung Oficial</v>
      </c>
      <c r="M374" s="54" t="str">
        <f t="shared" si="29"/>
        <v>Prioridad Media</v>
      </c>
      <c r="N374" s="54" t="str">
        <f>VLOOKUP(E374, AUXILIAR!$E$2:$F$4, 2, FALSE)</f>
        <v>ALM-03</v>
      </c>
    </row>
    <row r="375" spans="1:14" ht="15.75" thickBot="1" x14ac:dyDescent="0.3">
      <c r="A375" s="35">
        <v>274</v>
      </c>
      <c r="B375" s="36">
        <v>45565</v>
      </c>
      <c r="C375" s="35" t="s">
        <v>13</v>
      </c>
      <c r="D375" s="35" t="s">
        <v>32</v>
      </c>
      <c r="E375" s="35" t="s">
        <v>18</v>
      </c>
      <c r="F375" s="35" t="s">
        <v>37</v>
      </c>
      <c r="G375" s="35">
        <v>3</v>
      </c>
      <c r="H375" s="37">
        <v>1789</v>
      </c>
      <c r="I375" s="35">
        <v>0.03</v>
      </c>
      <c r="J375" s="38">
        <f t="shared" si="25"/>
        <v>5367</v>
      </c>
      <c r="K375" s="55" t="str">
        <f t="shared" si="26"/>
        <v>Venta Grande</v>
      </c>
      <c r="L375" s="58" t="str">
        <f>VLOOKUP(D375, AUXILIAR!$A$2:$B$16, 2, 0)</f>
        <v>Samsung Oficial</v>
      </c>
      <c r="M375" s="54" t="str">
        <f t="shared" si="29"/>
        <v>Prioridad Media</v>
      </c>
      <c r="N375" s="54" t="str">
        <f>VLOOKUP(E375, AUXILIAR!$E$2:$F$4, 2, FALSE)</f>
        <v>ALM-03</v>
      </c>
    </row>
    <row r="376" spans="1:14" ht="15.75" thickBot="1" x14ac:dyDescent="0.3">
      <c r="A376" s="35">
        <v>414</v>
      </c>
      <c r="B376" s="36">
        <v>45705</v>
      </c>
      <c r="C376" s="35" t="s">
        <v>13</v>
      </c>
      <c r="D376" s="35" t="s">
        <v>29</v>
      </c>
      <c r="E376" s="35" t="s">
        <v>18</v>
      </c>
      <c r="F376" s="35" t="s">
        <v>37</v>
      </c>
      <c r="G376" s="35">
        <v>3</v>
      </c>
      <c r="H376" s="37">
        <v>1777</v>
      </c>
      <c r="I376" s="35">
        <v>0.05</v>
      </c>
      <c r="J376" s="38">
        <f t="shared" si="25"/>
        <v>5331</v>
      </c>
      <c r="K376" s="55" t="str">
        <f t="shared" si="26"/>
        <v>Venta Grande</v>
      </c>
      <c r="L376" s="58" t="str">
        <f>VLOOKUP(D376, AUXILIAR!$A$2:$B$16, 2, 0)</f>
        <v>LG Electronics</v>
      </c>
      <c r="M376" s="54" t="str">
        <f t="shared" si="29"/>
        <v>Prioridad Media</v>
      </c>
      <c r="N376" s="54" t="str">
        <f>VLOOKUP(E376, AUXILIAR!$E$2:$F$4, 2, FALSE)</f>
        <v>ALM-03</v>
      </c>
    </row>
    <row r="377" spans="1:14" ht="15.75" thickBot="1" x14ac:dyDescent="0.3">
      <c r="A377" s="35">
        <v>353</v>
      </c>
      <c r="B377" s="36">
        <v>45644</v>
      </c>
      <c r="C377" s="35" t="s">
        <v>12</v>
      </c>
      <c r="D377" s="35" t="s">
        <v>33</v>
      </c>
      <c r="E377" s="35" t="s">
        <v>16</v>
      </c>
      <c r="F377" s="35" t="s">
        <v>36</v>
      </c>
      <c r="G377" s="35">
        <v>10</v>
      </c>
      <c r="H377" s="37">
        <v>1769</v>
      </c>
      <c r="I377" s="35">
        <v>0.09</v>
      </c>
      <c r="J377" s="38">
        <f t="shared" si="25"/>
        <v>17690</v>
      </c>
      <c r="K377" s="55" t="str">
        <f t="shared" si="26"/>
        <v>Venta Grande</v>
      </c>
      <c r="L377" s="58" t="str">
        <f>VLOOKUP(D377, AUXILIAR!$A$2:$B$16, 2, 0)</f>
        <v>LG Electronics</v>
      </c>
      <c r="M377" s="54" t="str">
        <f t="shared" si="29"/>
        <v>Prioridad Media</v>
      </c>
      <c r="N377" s="54" t="str">
        <f>VLOOKUP(E377, AUXILIAR!$E$2:$F$4, 2, FALSE)</f>
        <v>ALM-01</v>
      </c>
    </row>
    <row r="378" spans="1:14" ht="15.75" thickBot="1" x14ac:dyDescent="0.3">
      <c r="A378" s="35">
        <v>402</v>
      </c>
      <c r="B378" s="36">
        <v>45693</v>
      </c>
      <c r="C378" s="35" t="s">
        <v>11</v>
      </c>
      <c r="D378" s="35" t="s">
        <v>28</v>
      </c>
      <c r="E378" s="35" t="s">
        <v>17</v>
      </c>
      <c r="F378" s="35" t="s">
        <v>35</v>
      </c>
      <c r="G378" s="35">
        <v>20</v>
      </c>
      <c r="H378" s="37">
        <v>1760</v>
      </c>
      <c r="I378" s="35">
        <v>0.04</v>
      </c>
      <c r="J378" s="38">
        <f t="shared" si="25"/>
        <v>35200</v>
      </c>
      <c r="K378" s="55" t="str">
        <f t="shared" si="26"/>
        <v>Venta Grande</v>
      </c>
      <c r="L378" s="58" t="str">
        <f>VLOOKUP(D378, AUXILIAR!$A$2:$B$16, 2, 0)</f>
        <v>Samsung Oficial</v>
      </c>
      <c r="M378" s="54" t="str">
        <f t="shared" si="29"/>
        <v>Prioridad Media</v>
      </c>
      <c r="N378" s="54" t="str">
        <f>VLOOKUP(E378, AUXILIAR!$E$2:$F$4, 2, FALSE)</f>
        <v>ALM-02</v>
      </c>
    </row>
    <row r="379" spans="1:14" ht="15.75" thickBot="1" x14ac:dyDescent="0.3">
      <c r="A379" s="35">
        <v>279</v>
      </c>
      <c r="B379" s="36">
        <v>45570</v>
      </c>
      <c r="C379" s="35" t="s">
        <v>13</v>
      </c>
      <c r="D379" s="35" t="s">
        <v>26</v>
      </c>
      <c r="E379" s="35" t="s">
        <v>18</v>
      </c>
      <c r="F379" s="35" t="s">
        <v>37</v>
      </c>
      <c r="G379" s="35">
        <v>6</v>
      </c>
      <c r="H379" s="37">
        <v>1745</v>
      </c>
      <c r="I379" s="35">
        <v>0.12</v>
      </c>
      <c r="J379" s="38">
        <f t="shared" si="25"/>
        <v>10470</v>
      </c>
      <c r="K379" s="55" t="str">
        <f t="shared" si="26"/>
        <v>Venta Grande</v>
      </c>
      <c r="L379" s="58" t="str">
        <f>VLOOKUP(D379, AUXILIAR!$A$2:$B$16, 2, 0)</f>
        <v>Office Design</v>
      </c>
      <c r="M379" s="54" t="str">
        <f t="shared" si="29"/>
        <v>Prioridad Media</v>
      </c>
      <c r="N379" s="54" t="str">
        <f>VLOOKUP(E379, AUXILIAR!$E$2:$F$4, 2, FALSE)</f>
        <v>ALM-03</v>
      </c>
    </row>
    <row r="380" spans="1:14" ht="15.75" thickBot="1" x14ac:dyDescent="0.3">
      <c r="A380" s="35">
        <v>1</v>
      </c>
      <c r="B380" s="36">
        <v>45292</v>
      </c>
      <c r="C380" s="35" t="s">
        <v>10</v>
      </c>
      <c r="D380" s="35" t="s">
        <v>33</v>
      </c>
      <c r="E380" s="35" t="s">
        <v>16</v>
      </c>
      <c r="F380" s="35" t="s">
        <v>34</v>
      </c>
      <c r="G380" s="35">
        <v>11</v>
      </c>
      <c r="H380" s="37">
        <v>1725</v>
      </c>
      <c r="I380" s="35">
        <v>0.12</v>
      </c>
      <c r="J380" s="37">
        <f t="shared" si="25"/>
        <v>18975</v>
      </c>
      <c r="K380" s="55" t="str">
        <f t="shared" si="26"/>
        <v>Venta Grande</v>
      </c>
      <c r="L380" s="58" t="str">
        <f>VLOOKUP(D380, AUXILIAR!$A$2:$B$16, 2, 0)</f>
        <v>LG Electronics</v>
      </c>
      <c r="M380" s="54" t="str">
        <f t="shared" si="29"/>
        <v>Prioridad Media</v>
      </c>
      <c r="N380" s="54" t="str">
        <f>VLOOKUP(E380, AUXILIAR!$E$2:$F$4, 2, FALSE)</f>
        <v>ALM-01</v>
      </c>
    </row>
    <row r="381" spans="1:14" ht="15.75" thickBot="1" x14ac:dyDescent="0.3">
      <c r="A381" s="35">
        <v>486</v>
      </c>
      <c r="B381" s="36">
        <v>45777</v>
      </c>
      <c r="C381" s="35" t="s">
        <v>10</v>
      </c>
      <c r="D381" s="35" t="s">
        <v>24</v>
      </c>
      <c r="E381" s="35" t="s">
        <v>16</v>
      </c>
      <c r="F381" s="35" t="s">
        <v>34</v>
      </c>
      <c r="G381" s="35">
        <v>19</v>
      </c>
      <c r="H381" s="37">
        <v>1691</v>
      </c>
      <c r="I381" s="35">
        <v>0.01</v>
      </c>
      <c r="J381" s="38">
        <f t="shared" si="25"/>
        <v>32129</v>
      </c>
      <c r="K381" s="55" t="str">
        <f t="shared" si="26"/>
        <v>Venta Grande</v>
      </c>
      <c r="L381" s="58" t="str">
        <f>VLOOKUP(D381, AUXILIAR!$A$2:$B$16, 2, 0)</f>
        <v>Samsung Oficial</v>
      </c>
      <c r="M381" s="54" t="str">
        <f t="shared" si="29"/>
        <v>Prioridad Alta</v>
      </c>
      <c r="N381" s="54" t="str">
        <f>VLOOKUP(E381, AUXILIAR!$E$2:$F$4, 2, FALSE)</f>
        <v>ALM-01</v>
      </c>
    </row>
    <row r="382" spans="1:14" ht="15.75" thickBot="1" x14ac:dyDescent="0.3">
      <c r="A382" s="35">
        <v>499</v>
      </c>
      <c r="B382" s="36">
        <v>45790</v>
      </c>
      <c r="C382" s="35" t="s">
        <v>13</v>
      </c>
      <c r="D382" s="35" t="s">
        <v>26</v>
      </c>
      <c r="E382" s="35" t="s">
        <v>18</v>
      </c>
      <c r="F382" s="35" t="s">
        <v>37</v>
      </c>
      <c r="G382" s="35">
        <v>11</v>
      </c>
      <c r="H382" s="37">
        <v>1672</v>
      </c>
      <c r="I382" s="35">
        <v>0.13</v>
      </c>
      <c r="J382" s="38">
        <f t="shared" si="25"/>
        <v>18392</v>
      </c>
      <c r="K382" s="55" t="str">
        <f t="shared" si="26"/>
        <v>Venta Grande</v>
      </c>
      <c r="L382" s="58" t="str">
        <f>VLOOKUP(D382, AUXILIAR!$A$2:$B$16, 2, 0)</f>
        <v>Office Design</v>
      </c>
      <c r="M382" s="54" t="str">
        <f t="shared" si="29"/>
        <v>Prioridad Media</v>
      </c>
      <c r="N382" s="54" t="str">
        <f>VLOOKUP(E382, AUXILIAR!$E$2:$F$4, 2, FALSE)</f>
        <v>ALM-03</v>
      </c>
    </row>
    <row r="383" spans="1:14" ht="15.75" thickBot="1" x14ac:dyDescent="0.3">
      <c r="A383" s="35">
        <v>368</v>
      </c>
      <c r="B383" s="36">
        <v>45659</v>
      </c>
      <c r="C383" s="35" t="s">
        <v>12</v>
      </c>
      <c r="D383" s="35" t="s">
        <v>27</v>
      </c>
      <c r="E383" s="35" t="s">
        <v>16</v>
      </c>
      <c r="F383" s="35" t="s">
        <v>36</v>
      </c>
      <c r="G383" s="35">
        <v>20</v>
      </c>
      <c r="H383" s="37">
        <v>1652</v>
      </c>
      <c r="I383" s="35">
        <v>0.11</v>
      </c>
      <c r="J383" s="38">
        <f t="shared" si="25"/>
        <v>33040</v>
      </c>
      <c r="K383" s="55" t="str">
        <f t="shared" si="26"/>
        <v>Venta Grande</v>
      </c>
      <c r="L383" s="58" t="str">
        <f>VLOOKUP(D383, AUXILIAR!$A$2:$B$16, 2, 0)</f>
        <v>LG Electronics</v>
      </c>
      <c r="M383" s="54" t="str">
        <f t="shared" si="29"/>
        <v>Prioridad Alta</v>
      </c>
      <c r="N383" s="54" t="str">
        <f>VLOOKUP(E383, AUXILIAR!$E$2:$F$4, 2, FALSE)</f>
        <v>ALM-01</v>
      </c>
    </row>
    <row r="384" spans="1:14" ht="15.75" hidden="1" thickBot="1" x14ac:dyDescent="0.3">
      <c r="A384" s="28">
        <v>383</v>
      </c>
      <c r="B384" s="29">
        <v>45674</v>
      </c>
      <c r="C384" s="30" t="s">
        <v>12</v>
      </c>
      <c r="D384" s="31" t="s">
        <v>31</v>
      </c>
      <c r="E384" s="31" t="s">
        <v>17</v>
      </c>
      <c r="F384" s="31" t="s">
        <v>36</v>
      </c>
      <c r="G384" s="31">
        <v>2</v>
      </c>
      <c r="H384" s="32">
        <v>491</v>
      </c>
      <c r="I384" s="31">
        <v>0.05</v>
      </c>
      <c r="J384" s="33">
        <f t="shared" si="25"/>
        <v>982</v>
      </c>
      <c r="K384" s="34" t="str">
        <f t="shared" si="26"/>
        <v>Venta Normal</v>
      </c>
      <c r="L384" s="31" t="str">
        <f>VLOOKUP(D384, AUXILIAR!$A$2:$B$16, 2, 0)</f>
        <v>LG Electronics</v>
      </c>
      <c r="M384"/>
    </row>
    <row r="385" spans="1:14" ht="15.75" thickBot="1" x14ac:dyDescent="0.3">
      <c r="A385" s="35">
        <v>151</v>
      </c>
      <c r="B385" s="36">
        <v>45442</v>
      </c>
      <c r="C385" s="35" t="s">
        <v>10</v>
      </c>
      <c r="D385" s="35" t="s">
        <v>30</v>
      </c>
      <c r="E385" s="35" t="s">
        <v>16</v>
      </c>
      <c r="F385" s="35" t="s">
        <v>34</v>
      </c>
      <c r="G385" s="35">
        <v>6</v>
      </c>
      <c r="H385" s="37">
        <v>1637</v>
      </c>
      <c r="I385" s="35">
        <v>0.08</v>
      </c>
      <c r="J385" s="38">
        <f t="shared" si="25"/>
        <v>9822</v>
      </c>
      <c r="K385" s="55" t="str">
        <f t="shared" si="26"/>
        <v>Venta Grande</v>
      </c>
      <c r="L385" s="58" t="str">
        <f>VLOOKUP(D385, AUXILIAR!$A$2:$B$16, 2, 0)</f>
        <v>Office Design</v>
      </c>
      <c r="M385" s="54" t="str">
        <f>IF(AND(E385="Tecnología", J385&gt;20000), "Prioridad Alta", IF(J385&gt;5000, "Prioridad Media", "Prioridad Baja"))</f>
        <v>Prioridad Media</v>
      </c>
      <c r="N385" s="54" t="str">
        <f>VLOOKUP(E385, AUXILIAR!$E$2:$F$4, 2, FALSE)</f>
        <v>ALM-01</v>
      </c>
    </row>
    <row r="386" spans="1:14" ht="15.75" hidden="1" thickBot="1" x14ac:dyDescent="0.3">
      <c r="A386" s="28">
        <v>385</v>
      </c>
      <c r="B386" s="29">
        <v>45676</v>
      </c>
      <c r="C386" s="30" t="s">
        <v>14</v>
      </c>
      <c r="D386" s="31" t="s">
        <v>33</v>
      </c>
      <c r="E386" s="31" t="s">
        <v>16</v>
      </c>
      <c r="F386" s="31" t="s">
        <v>38</v>
      </c>
      <c r="G386" s="31">
        <v>4</v>
      </c>
      <c r="H386" s="32">
        <v>160</v>
      </c>
      <c r="I386" s="31">
        <v>0.15</v>
      </c>
      <c r="J386" s="33">
        <f t="shared" ref="J386:J449" si="30">G386*H386</f>
        <v>640</v>
      </c>
      <c r="K386" s="34" t="str">
        <f t="shared" ref="K386:K449" si="31">IF(J386&gt;5000, "Venta Grande", "Venta Normal")</f>
        <v>Venta Normal</v>
      </c>
      <c r="L386" s="31" t="str">
        <f>VLOOKUP(D386, AUXILIAR!$A$2:$B$16, 2, 0)</f>
        <v>LG Electronics</v>
      </c>
      <c r="M386"/>
    </row>
    <row r="387" spans="1:14" ht="15.75" thickBot="1" x14ac:dyDescent="0.3">
      <c r="A387" s="35">
        <v>472</v>
      </c>
      <c r="B387" s="36">
        <v>45763</v>
      </c>
      <c r="C387" s="35" t="s">
        <v>11</v>
      </c>
      <c r="D387" s="35" t="s">
        <v>32</v>
      </c>
      <c r="E387" s="35" t="s">
        <v>18</v>
      </c>
      <c r="F387" s="35" t="s">
        <v>35</v>
      </c>
      <c r="G387" s="35">
        <v>19</v>
      </c>
      <c r="H387" s="37">
        <v>1620</v>
      </c>
      <c r="I387" s="35">
        <v>0.13</v>
      </c>
      <c r="J387" s="38">
        <f t="shared" si="30"/>
        <v>30780</v>
      </c>
      <c r="K387" s="55" t="str">
        <f t="shared" si="31"/>
        <v>Venta Grande</v>
      </c>
      <c r="L387" s="58" t="str">
        <f>VLOOKUP(D387, AUXILIAR!$A$2:$B$16, 2, 0)</f>
        <v>Samsung Oficial</v>
      </c>
      <c r="M387" s="54" t="str">
        <f>IF(AND(E387="Tecnología", J387&gt;20000), "Prioridad Alta", IF(J387&gt;5000, "Prioridad Media", "Prioridad Baja"))</f>
        <v>Prioridad Media</v>
      </c>
      <c r="N387" s="54" t="str">
        <f>VLOOKUP(E387, AUXILIAR!$E$2:$F$4, 2, FALSE)</f>
        <v>ALM-03</v>
      </c>
    </row>
    <row r="388" spans="1:14" ht="15.75" thickBot="1" x14ac:dyDescent="0.3">
      <c r="A388" s="35">
        <v>133</v>
      </c>
      <c r="B388" s="36">
        <v>45424</v>
      </c>
      <c r="C388" s="35" t="s">
        <v>12</v>
      </c>
      <c r="D388" s="35" t="s">
        <v>33</v>
      </c>
      <c r="E388" s="35" t="s">
        <v>16</v>
      </c>
      <c r="F388" s="35" t="s">
        <v>36</v>
      </c>
      <c r="G388" s="35">
        <v>14</v>
      </c>
      <c r="H388" s="37">
        <v>1576</v>
      </c>
      <c r="I388" s="35">
        <v>0.06</v>
      </c>
      <c r="J388" s="38">
        <f t="shared" si="30"/>
        <v>22064</v>
      </c>
      <c r="K388" s="55" t="str">
        <f t="shared" si="31"/>
        <v>Venta Grande</v>
      </c>
      <c r="L388" s="58" t="str">
        <f>VLOOKUP(D388, AUXILIAR!$A$2:$B$16, 2, 0)</f>
        <v>LG Electronics</v>
      </c>
      <c r="M388" s="54" t="str">
        <f>IF(AND(E388="Tecnología", J388&gt;20000), "Prioridad Alta", IF(J388&gt;5000, "Prioridad Media", "Prioridad Baja"))</f>
        <v>Prioridad Alta</v>
      </c>
      <c r="N388" s="54" t="str">
        <f>VLOOKUP(E388, AUXILIAR!$E$2:$F$4, 2, FALSE)</f>
        <v>ALM-01</v>
      </c>
    </row>
    <row r="389" spans="1:14" ht="15.75" hidden="1" thickBot="1" x14ac:dyDescent="0.3">
      <c r="A389" s="28">
        <v>388</v>
      </c>
      <c r="B389" s="29">
        <v>45679</v>
      </c>
      <c r="C389" s="30" t="s">
        <v>12</v>
      </c>
      <c r="D389" s="31" t="s">
        <v>25</v>
      </c>
      <c r="E389" s="31" t="s">
        <v>17</v>
      </c>
      <c r="F389" s="31" t="s">
        <v>36</v>
      </c>
      <c r="G389" s="31">
        <v>3</v>
      </c>
      <c r="H389" s="32">
        <v>1486</v>
      </c>
      <c r="I389" s="31">
        <v>0.01</v>
      </c>
      <c r="J389" s="33">
        <f t="shared" si="30"/>
        <v>4458</v>
      </c>
      <c r="K389" s="34" t="str">
        <f t="shared" si="31"/>
        <v>Venta Normal</v>
      </c>
      <c r="L389" s="31" t="str">
        <f>VLOOKUP(D389, AUXILIAR!$A$2:$B$16, 2, 0)</f>
        <v>LG Electronics</v>
      </c>
      <c r="M389"/>
    </row>
    <row r="390" spans="1:14" ht="15.75" thickBot="1" x14ac:dyDescent="0.3">
      <c r="A390" s="35">
        <v>483</v>
      </c>
      <c r="B390" s="36">
        <v>45774</v>
      </c>
      <c r="C390" s="35" t="s">
        <v>12</v>
      </c>
      <c r="D390" s="35" t="s">
        <v>32</v>
      </c>
      <c r="E390" s="35" t="s">
        <v>18</v>
      </c>
      <c r="F390" s="35" t="s">
        <v>36</v>
      </c>
      <c r="G390" s="35">
        <v>11</v>
      </c>
      <c r="H390" s="37">
        <v>1576</v>
      </c>
      <c r="I390" s="35">
        <v>0.13</v>
      </c>
      <c r="J390" s="38">
        <f t="shared" si="30"/>
        <v>17336</v>
      </c>
      <c r="K390" s="55" t="str">
        <f t="shared" si="31"/>
        <v>Venta Grande</v>
      </c>
      <c r="L390" s="58" t="str">
        <f>VLOOKUP(D390, AUXILIAR!$A$2:$B$16, 2, 0)</f>
        <v>Samsung Oficial</v>
      </c>
      <c r="M390" s="54" t="str">
        <f>IF(AND(E390="Tecnología", J390&gt;20000), "Prioridad Alta", IF(J390&gt;5000, "Prioridad Media", "Prioridad Baja"))</f>
        <v>Prioridad Media</v>
      </c>
      <c r="N390" s="54" t="str">
        <f>VLOOKUP(E390, AUXILIAR!$E$2:$F$4, 2, FALSE)</f>
        <v>ALM-03</v>
      </c>
    </row>
    <row r="391" spans="1:14" ht="15.75" hidden="1" thickBot="1" x14ac:dyDescent="0.3">
      <c r="A391" s="28">
        <v>390</v>
      </c>
      <c r="B391" s="29">
        <v>45681</v>
      </c>
      <c r="C391" s="30" t="s">
        <v>14</v>
      </c>
      <c r="D391" s="31" t="s">
        <v>27</v>
      </c>
      <c r="E391" s="31" t="s">
        <v>16</v>
      </c>
      <c r="F391" s="31" t="s">
        <v>38</v>
      </c>
      <c r="G391" s="31">
        <v>8</v>
      </c>
      <c r="H391" s="32">
        <v>572</v>
      </c>
      <c r="I391" s="31">
        <v>0.13</v>
      </c>
      <c r="J391" s="33">
        <f t="shared" si="30"/>
        <v>4576</v>
      </c>
      <c r="K391" s="34" t="str">
        <f t="shared" si="31"/>
        <v>Venta Normal</v>
      </c>
      <c r="L391" s="31" t="str">
        <f>VLOOKUP(D391, AUXILIAR!$A$2:$B$16, 2, 0)</f>
        <v>LG Electronics</v>
      </c>
      <c r="M391"/>
    </row>
    <row r="392" spans="1:14" ht="15.75" thickBot="1" x14ac:dyDescent="0.3">
      <c r="A392" s="35">
        <v>356</v>
      </c>
      <c r="B392" s="36">
        <v>45647</v>
      </c>
      <c r="C392" s="35" t="s">
        <v>10</v>
      </c>
      <c r="D392" s="35" t="s">
        <v>26</v>
      </c>
      <c r="E392" s="35" t="s">
        <v>18</v>
      </c>
      <c r="F392" s="35" t="s">
        <v>34</v>
      </c>
      <c r="G392" s="35">
        <v>14</v>
      </c>
      <c r="H392" s="37">
        <v>1553</v>
      </c>
      <c r="I392" s="35">
        <v>0.11</v>
      </c>
      <c r="J392" s="38">
        <f t="shared" si="30"/>
        <v>21742</v>
      </c>
      <c r="K392" s="55" t="str">
        <f t="shared" si="31"/>
        <v>Venta Grande</v>
      </c>
      <c r="L392" s="58" t="str">
        <f>VLOOKUP(D392, AUXILIAR!$A$2:$B$16, 2, 0)</f>
        <v>Office Design</v>
      </c>
      <c r="M392" s="54" t="str">
        <f>IF(AND(E392="Tecnología", J392&gt;20000), "Prioridad Alta", IF(J392&gt;5000, "Prioridad Media", "Prioridad Baja"))</f>
        <v>Prioridad Media</v>
      </c>
      <c r="N392" s="54" t="str">
        <f>VLOOKUP(E392, AUXILIAR!$E$2:$F$4, 2, FALSE)</f>
        <v>ALM-03</v>
      </c>
    </row>
    <row r="393" spans="1:14" ht="15.75" thickBot="1" x14ac:dyDescent="0.3">
      <c r="A393" s="35">
        <v>352</v>
      </c>
      <c r="B393" s="36">
        <v>45643</v>
      </c>
      <c r="C393" s="35" t="s">
        <v>11</v>
      </c>
      <c r="D393" s="35" t="s">
        <v>33</v>
      </c>
      <c r="E393" s="35" t="s">
        <v>16</v>
      </c>
      <c r="F393" s="35" t="s">
        <v>35</v>
      </c>
      <c r="G393" s="35">
        <v>16</v>
      </c>
      <c r="H393" s="37">
        <v>1548</v>
      </c>
      <c r="I393" s="35">
        <v>0.04</v>
      </c>
      <c r="J393" s="38">
        <f t="shared" si="30"/>
        <v>24768</v>
      </c>
      <c r="K393" s="55" t="str">
        <f t="shared" si="31"/>
        <v>Venta Grande</v>
      </c>
      <c r="L393" s="58" t="str">
        <f>VLOOKUP(D393, AUXILIAR!$A$2:$B$16, 2, 0)</f>
        <v>LG Electronics</v>
      </c>
      <c r="M393" s="54" t="str">
        <f>IF(AND(E393="Tecnología", J393&gt;20000), "Prioridad Alta", IF(J393&gt;5000, "Prioridad Media", "Prioridad Baja"))</f>
        <v>Prioridad Alta</v>
      </c>
      <c r="N393" s="54" t="str">
        <f>VLOOKUP(E393, AUXILIAR!$E$2:$F$4, 2, FALSE)</f>
        <v>ALM-01</v>
      </c>
    </row>
    <row r="394" spans="1:14" ht="15.75" hidden="1" thickBot="1" x14ac:dyDescent="0.3">
      <c r="A394" s="21">
        <v>393</v>
      </c>
      <c r="B394" s="22">
        <v>45684</v>
      </c>
      <c r="C394" s="23" t="s">
        <v>12</v>
      </c>
      <c r="D394" s="24" t="s">
        <v>30</v>
      </c>
      <c r="E394" s="24" t="s">
        <v>16</v>
      </c>
      <c r="F394" s="24" t="s">
        <v>36</v>
      </c>
      <c r="G394" s="24">
        <v>2</v>
      </c>
      <c r="H394" s="25">
        <v>705</v>
      </c>
      <c r="I394" s="24">
        <v>0.12</v>
      </c>
      <c r="J394" s="26">
        <f t="shared" si="30"/>
        <v>1410</v>
      </c>
      <c r="K394" s="27" t="str">
        <f t="shared" si="31"/>
        <v>Venta Normal</v>
      </c>
      <c r="L394" s="24" t="str">
        <f>VLOOKUP(D394, AUXILIAR!$A$2:$B$16, 2, 0)</f>
        <v>Office Design</v>
      </c>
      <c r="M394"/>
    </row>
    <row r="395" spans="1:14" ht="15.75" hidden="1" thickBot="1" x14ac:dyDescent="0.3">
      <c r="A395" s="10">
        <v>394</v>
      </c>
      <c r="B395" s="11">
        <v>45685</v>
      </c>
      <c r="C395" s="5" t="s">
        <v>13</v>
      </c>
      <c r="D395" s="2" t="s">
        <v>31</v>
      </c>
      <c r="E395" s="2" t="s">
        <v>17</v>
      </c>
      <c r="F395" s="2" t="s">
        <v>37</v>
      </c>
      <c r="G395" s="2">
        <v>1</v>
      </c>
      <c r="H395" s="6">
        <v>4719</v>
      </c>
      <c r="I395" s="2">
        <v>0.13</v>
      </c>
      <c r="J395" s="8">
        <f t="shared" si="30"/>
        <v>4719</v>
      </c>
      <c r="K395" s="4" t="str">
        <f t="shared" si="31"/>
        <v>Venta Normal</v>
      </c>
      <c r="L395" s="2" t="str">
        <f>VLOOKUP(D395, AUXILIAR!$A$2:$B$16, 2, 0)</f>
        <v>LG Electronics</v>
      </c>
      <c r="M395"/>
    </row>
    <row r="396" spans="1:14" ht="15.75" hidden="1" thickBot="1" x14ac:dyDescent="0.3">
      <c r="A396" s="16">
        <v>395</v>
      </c>
      <c r="B396" s="17">
        <v>45686</v>
      </c>
      <c r="C396" s="15" t="s">
        <v>14</v>
      </c>
      <c r="D396" s="18" t="s">
        <v>32</v>
      </c>
      <c r="E396" s="18" t="s">
        <v>18</v>
      </c>
      <c r="F396" s="18" t="s">
        <v>38</v>
      </c>
      <c r="G396" s="18">
        <v>9</v>
      </c>
      <c r="H396" s="19">
        <v>348</v>
      </c>
      <c r="I396" s="18">
        <v>0.11</v>
      </c>
      <c r="J396" s="20">
        <f t="shared" si="30"/>
        <v>3132</v>
      </c>
      <c r="K396" s="14" t="str">
        <f t="shared" si="31"/>
        <v>Venta Normal</v>
      </c>
      <c r="L396" s="18" t="str">
        <f>VLOOKUP(D396, AUXILIAR!$A$2:$B$16, 2, 0)</f>
        <v>Samsung Oficial</v>
      </c>
      <c r="M396"/>
    </row>
    <row r="397" spans="1:14" ht="15.75" thickBot="1" x14ac:dyDescent="0.3">
      <c r="A397" s="35">
        <v>269</v>
      </c>
      <c r="B397" s="36">
        <v>45560</v>
      </c>
      <c r="C397" s="35" t="s">
        <v>13</v>
      </c>
      <c r="D397" s="35" t="s">
        <v>27</v>
      </c>
      <c r="E397" s="35" t="s">
        <v>16</v>
      </c>
      <c r="F397" s="35" t="s">
        <v>37</v>
      </c>
      <c r="G397" s="35">
        <v>9</v>
      </c>
      <c r="H397" s="37">
        <v>1492</v>
      </c>
      <c r="I397" s="35">
        <v>0.14000000000000001</v>
      </c>
      <c r="J397" s="38">
        <f t="shared" si="30"/>
        <v>13428</v>
      </c>
      <c r="K397" s="55" t="str">
        <f t="shared" si="31"/>
        <v>Venta Grande</v>
      </c>
      <c r="L397" s="58" t="str">
        <f>VLOOKUP(D397, AUXILIAR!$A$2:$B$16, 2, 0)</f>
        <v>LG Electronics</v>
      </c>
      <c r="M397" s="54" t="str">
        <f t="shared" ref="M397:M411" si="32">IF(AND(E397="Tecnología", J397&gt;20000), "Prioridad Alta", IF(J397&gt;5000, "Prioridad Media", "Prioridad Baja"))</f>
        <v>Prioridad Media</v>
      </c>
      <c r="N397" s="54" t="str">
        <f>VLOOKUP(E397, AUXILIAR!$E$2:$F$4, 2, FALSE)</f>
        <v>ALM-01</v>
      </c>
    </row>
    <row r="398" spans="1:14" ht="15.75" thickBot="1" x14ac:dyDescent="0.3">
      <c r="A398" s="35">
        <v>397</v>
      </c>
      <c r="B398" s="36">
        <v>45688</v>
      </c>
      <c r="C398" s="35" t="s">
        <v>11</v>
      </c>
      <c r="D398" s="35" t="s">
        <v>33</v>
      </c>
      <c r="E398" s="35" t="s">
        <v>16</v>
      </c>
      <c r="F398" s="35" t="s">
        <v>35</v>
      </c>
      <c r="G398" s="35">
        <v>17</v>
      </c>
      <c r="H398" s="37">
        <v>1482</v>
      </c>
      <c r="I398" s="35">
        <v>0.08</v>
      </c>
      <c r="J398" s="38">
        <f t="shared" si="30"/>
        <v>25194</v>
      </c>
      <c r="K398" s="55" t="str">
        <f t="shared" si="31"/>
        <v>Venta Grande</v>
      </c>
      <c r="L398" s="58" t="str">
        <f>VLOOKUP(D398, AUXILIAR!$A$2:$B$16, 2, 0)</f>
        <v>LG Electronics</v>
      </c>
      <c r="M398" s="54" t="str">
        <f t="shared" si="32"/>
        <v>Prioridad Alta</v>
      </c>
      <c r="N398" s="54" t="str">
        <f>VLOOKUP(E398, AUXILIAR!$E$2:$F$4, 2, FALSE)</f>
        <v>ALM-01</v>
      </c>
    </row>
    <row r="399" spans="1:14" ht="15.75" thickBot="1" x14ac:dyDescent="0.3">
      <c r="A399" s="35">
        <v>55</v>
      </c>
      <c r="B399" s="36">
        <v>45346</v>
      </c>
      <c r="C399" s="35" t="s">
        <v>14</v>
      </c>
      <c r="D399" s="35" t="s">
        <v>33</v>
      </c>
      <c r="E399" s="35" t="s">
        <v>16</v>
      </c>
      <c r="F399" s="35" t="s">
        <v>38</v>
      </c>
      <c r="G399" s="35">
        <v>5</v>
      </c>
      <c r="H399" s="37">
        <v>1470</v>
      </c>
      <c r="I399" s="35">
        <v>0.04</v>
      </c>
      <c r="J399" s="38">
        <f t="shared" si="30"/>
        <v>7350</v>
      </c>
      <c r="K399" s="55" t="str">
        <f t="shared" si="31"/>
        <v>Venta Grande</v>
      </c>
      <c r="L399" s="58" t="str">
        <f>VLOOKUP(D399, AUXILIAR!$A$2:$B$16, 2, 0)</f>
        <v>LG Electronics</v>
      </c>
      <c r="M399" s="54" t="str">
        <f t="shared" si="32"/>
        <v>Prioridad Media</v>
      </c>
      <c r="N399" s="54" t="str">
        <f>VLOOKUP(E399, AUXILIAR!$E$2:$F$4, 2, FALSE)</f>
        <v>ALM-01</v>
      </c>
    </row>
    <row r="400" spans="1:14" ht="15.75" thickBot="1" x14ac:dyDescent="0.3">
      <c r="A400" s="35">
        <v>335</v>
      </c>
      <c r="B400" s="36">
        <v>45626</v>
      </c>
      <c r="C400" s="35" t="s">
        <v>14</v>
      </c>
      <c r="D400" s="35" t="s">
        <v>27</v>
      </c>
      <c r="E400" s="35" t="s">
        <v>16</v>
      </c>
      <c r="F400" s="35" t="s">
        <v>38</v>
      </c>
      <c r="G400" s="35">
        <v>19</v>
      </c>
      <c r="H400" s="37">
        <v>1466</v>
      </c>
      <c r="I400" s="35">
        <v>0.01</v>
      </c>
      <c r="J400" s="38">
        <f t="shared" si="30"/>
        <v>27854</v>
      </c>
      <c r="K400" s="55" t="str">
        <f t="shared" si="31"/>
        <v>Venta Grande</v>
      </c>
      <c r="L400" s="58" t="str">
        <f>VLOOKUP(D400, AUXILIAR!$A$2:$B$16, 2, 0)</f>
        <v>LG Electronics</v>
      </c>
      <c r="M400" s="54" t="str">
        <f t="shared" si="32"/>
        <v>Prioridad Alta</v>
      </c>
      <c r="N400" s="54" t="str">
        <f>VLOOKUP(E400, AUXILIAR!$E$2:$F$4, 2, FALSE)</f>
        <v>ALM-01</v>
      </c>
    </row>
    <row r="401" spans="1:14" ht="15.75" thickBot="1" x14ac:dyDescent="0.3">
      <c r="A401" s="35">
        <v>236</v>
      </c>
      <c r="B401" s="36">
        <v>45527</v>
      </c>
      <c r="C401" s="35" t="s">
        <v>10</v>
      </c>
      <c r="D401" s="35" t="s">
        <v>27</v>
      </c>
      <c r="E401" s="35" t="s">
        <v>16</v>
      </c>
      <c r="F401" s="35" t="s">
        <v>34</v>
      </c>
      <c r="G401" s="35">
        <v>16</v>
      </c>
      <c r="H401" s="37">
        <v>1438</v>
      </c>
      <c r="I401" s="35">
        <v>0.08</v>
      </c>
      <c r="J401" s="38">
        <f t="shared" si="30"/>
        <v>23008</v>
      </c>
      <c r="K401" s="55" t="str">
        <f t="shared" si="31"/>
        <v>Venta Grande</v>
      </c>
      <c r="L401" s="58" t="str">
        <f>VLOOKUP(D401, AUXILIAR!$A$2:$B$16, 2, 0)</f>
        <v>LG Electronics</v>
      </c>
      <c r="M401" s="54" t="str">
        <f t="shared" si="32"/>
        <v>Prioridad Alta</v>
      </c>
      <c r="N401" s="54" t="str">
        <f>VLOOKUP(E401, AUXILIAR!$E$2:$F$4, 2, FALSE)</f>
        <v>ALM-01</v>
      </c>
    </row>
    <row r="402" spans="1:14" ht="15.75" thickBot="1" x14ac:dyDescent="0.3">
      <c r="A402" s="35">
        <v>56</v>
      </c>
      <c r="B402" s="36">
        <v>45347</v>
      </c>
      <c r="C402" s="35" t="s">
        <v>10</v>
      </c>
      <c r="D402" s="35" t="s">
        <v>33</v>
      </c>
      <c r="E402" s="35" t="s">
        <v>16</v>
      </c>
      <c r="F402" s="35" t="s">
        <v>34</v>
      </c>
      <c r="G402" s="35">
        <v>14</v>
      </c>
      <c r="H402" s="37">
        <v>1437</v>
      </c>
      <c r="I402" s="35">
        <v>0.04</v>
      </c>
      <c r="J402" s="38">
        <f t="shared" si="30"/>
        <v>20118</v>
      </c>
      <c r="K402" s="55" t="str">
        <f t="shared" si="31"/>
        <v>Venta Grande</v>
      </c>
      <c r="L402" s="58" t="str">
        <f>VLOOKUP(D402, AUXILIAR!$A$2:$B$16, 2, 0)</f>
        <v>LG Electronics</v>
      </c>
      <c r="M402" s="54" t="str">
        <f t="shared" si="32"/>
        <v>Prioridad Alta</v>
      </c>
      <c r="N402" s="54" t="str">
        <f>VLOOKUP(E402, AUXILIAR!$E$2:$F$4, 2, FALSE)</f>
        <v>ALM-01</v>
      </c>
    </row>
    <row r="403" spans="1:14" ht="15.75" thickBot="1" x14ac:dyDescent="0.3">
      <c r="A403" s="35">
        <v>391</v>
      </c>
      <c r="B403" s="36">
        <v>45682</v>
      </c>
      <c r="C403" s="35" t="s">
        <v>10</v>
      </c>
      <c r="D403" s="35" t="s">
        <v>28</v>
      </c>
      <c r="E403" s="35" t="s">
        <v>17</v>
      </c>
      <c r="F403" s="35" t="s">
        <v>34</v>
      </c>
      <c r="G403" s="35">
        <v>10</v>
      </c>
      <c r="H403" s="37">
        <v>1435</v>
      </c>
      <c r="I403" s="35">
        <v>0.12</v>
      </c>
      <c r="J403" s="38">
        <f t="shared" si="30"/>
        <v>14350</v>
      </c>
      <c r="K403" s="55" t="str">
        <f t="shared" si="31"/>
        <v>Venta Grande</v>
      </c>
      <c r="L403" s="58" t="str">
        <f>VLOOKUP(D403, AUXILIAR!$A$2:$B$16, 2, 0)</f>
        <v>Samsung Oficial</v>
      </c>
      <c r="M403" s="54" t="str">
        <f t="shared" si="32"/>
        <v>Prioridad Media</v>
      </c>
      <c r="N403" s="54" t="str">
        <f>VLOOKUP(E403, AUXILIAR!$E$2:$F$4, 2, FALSE)</f>
        <v>ALM-02</v>
      </c>
    </row>
    <row r="404" spans="1:14" ht="15.75" thickBot="1" x14ac:dyDescent="0.3">
      <c r="A404" s="35">
        <v>70</v>
      </c>
      <c r="B404" s="36">
        <v>45361</v>
      </c>
      <c r="C404" s="35" t="s">
        <v>14</v>
      </c>
      <c r="D404" s="35" t="s">
        <v>26</v>
      </c>
      <c r="E404" s="35" t="s">
        <v>18</v>
      </c>
      <c r="F404" s="35" t="s">
        <v>38</v>
      </c>
      <c r="G404" s="35">
        <v>13</v>
      </c>
      <c r="H404" s="37">
        <v>1431</v>
      </c>
      <c r="I404" s="35">
        <v>0.06</v>
      </c>
      <c r="J404" s="38">
        <f t="shared" si="30"/>
        <v>18603</v>
      </c>
      <c r="K404" s="55" t="str">
        <f t="shared" si="31"/>
        <v>Venta Grande</v>
      </c>
      <c r="L404" s="58" t="str">
        <f>VLOOKUP(D404, AUXILIAR!$A$2:$B$16, 2, 0)</f>
        <v>Office Design</v>
      </c>
      <c r="M404" s="54" t="str">
        <f t="shared" si="32"/>
        <v>Prioridad Media</v>
      </c>
      <c r="N404" s="54" t="str">
        <f>VLOOKUP(E404, AUXILIAR!$E$2:$F$4, 2, FALSE)</f>
        <v>ALM-03</v>
      </c>
    </row>
    <row r="405" spans="1:14" ht="15.75" thickBot="1" x14ac:dyDescent="0.3">
      <c r="A405" s="35">
        <v>190</v>
      </c>
      <c r="B405" s="36">
        <v>45481</v>
      </c>
      <c r="C405" s="35" t="s">
        <v>14</v>
      </c>
      <c r="D405" s="35" t="s">
        <v>25</v>
      </c>
      <c r="E405" s="35" t="s">
        <v>17</v>
      </c>
      <c r="F405" s="35" t="s">
        <v>38</v>
      </c>
      <c r="G405" s="35">
        <v>12</v>
      </c>
      <c r="H405" s="37">
        <v>1425</v>
      </c>
      <c r="I405" s="35">
        <v>0.14000000000000001</v>
      </c>
      <c r="J405" s="38">
        <f t="shared" si="30"/>
        <v>17100</v>
      </c>
      <c r="K405" s="55" t="str">
        <f t="shared" si="31"/>
        <v>Venta Grande</v>
      </c>
      <c r="L405" s="58" t="str">
        <f>VLOOKUP(D405, AUXILIAR!$A$2:$B$16, 2, 0)</f>
        <v>LG Electronics</v>
      </c>
      <c r="M405" s="54" t="str">
        <f t="shared" si="32"/>
        <v>Prioridad Media</v>
      </c>
      <c r="N405" s="54" t="str">
        <f>VLOOKUP(E405, AUXILIAR!$E$2:$F$4, 2, FALSE)</f>
        <v>ALM-02</v>
      </c>
    </row>
    <row r="406" spans="1:14" ht="15.75" thickBot="1" x14ac:dyDescent="0.3">
      <c r="A406" s="35">
        <v>387</v>
      </c>
      <c r="B406" s="36">
        <v>45678</v>
      </c>
      <c r="C406" s="35" t="s">
        <v>11</v>
      </c>
      <c r="D406" s="35" t="s">
        <v>24</v>
      </c>
      <c r="E406" s="35" t="s">
        <v>16</v>
      </c>
      <c r="F406" s="35" t="s">
        <v>35</v>
      </c>
      <c r="G406" s="35">
        <v>8</v>
      </c>
      <c r="H406" s="37">
        <v>1418</v>
      </c>
      <c r="I406" s="35">
        <v>0.02</v>
      </c>
      <c r="J406" s="38">
        <f t="shared" si="30"/>
        <v>11344</v>
      </c>
      <c r="K406" s="55" t="str">
        <f t="shared" si="31"/>
        <v>Venta Grande</v>
      </c>
      <c r="L406" s="58" t="str">
        <f>VLOOKUP(D406, AUXILIAR!$A$2:$B$16, 2, 0)</f>
        <v>Samsung Oficial</v>
      </c>
      <c r="M406" s="54" t="str">
        <f t="shared" si="32"/>
        <v>Prioridad Media</v>
      </c>
      <c r="N406" s="54" t="str">
        <f>VLOOKUP(E406, AUXILIAR!$E$2:$F$4, 2, FALSE)</f>
        <v>ALM-01</v>
      </c>
    </row>
    <row r="407" spans="1:14" ht="15.75" thickBot="1" x14ac:dyDescent="0.3">
      <c r="A407" s="35">
        <v>462</v>
      </c>
      <c r="B407" s="36">
        <v>45753</v>
      </c>
      <c r="C407" s="35" t="s">
        <v>11</v>
      </c>
      <c r="D407" s="35" t="s">
        <v>33</v>
      </c>
      <c r="E407" s="35" t="s">
        <v>16</v>
      </c>
      <c r="F407" s="35" t="s">
        <v>35</v>
      </c>
      <c r="G407" s="35">
        <v>17</v>
      </c>
      <c r="H407" s="37">
        <v>1402</v>
      </c>
      <c r="I407" s="35">
        <v>0.13</v>
      </c>
      <c r="J407" s="38">
        <f t="shared" si="30"/>
        <v>23834</v>
      </c>
      <c r="K407" s="55" t="str">
        <f t="shared" si="31"/>
        <v>Venta Grande</v>
      </c>
      <c r="L407" s="58" t="str">
        <f>VLOOKUP(D407, AUXILIAR!$A$2:$B$16, 2, 0)</f>
        <v>LG Electronics</v>
      </c>
      <c r="M407" s="54" t="str">
        <f t="shared" si="32"/>
        <v>Prioridad Alta</v>
      </c>
      <c r="N407" s="54" t="str">
        <f>VLOOKUP(E407, AUXILIAR!$E$2:$F$4, 2, FALSE)</f>
        <v>ALM-01</v>
      </c>
    </row>
    <row r="408" spans="1:14" ht="15.75" thickBot="1" x14ac:dyDescent="0.3">
      <c r="A408" s="35">
        <v>120</v>
      </c>
      <c r="B408" s="36">
        <v>45411</v>
      </c>
      <c r="C408" s="35" t="s">
        <v>14</v>
      </c>
      <c r="D408" s="35" t="s">
        <v>32</v>
      </c>
      <c r="E408" s="35" t="s">
        <v>18</v>
      </c>
      <c r="F408" s="35" t="s">
        <v>38</v>
      </c>
      <c r="G408" s="35">
        <v>12</v>
      </c>
      <c r="H408" s="37">
        <v>1398</v>
      </c>
      <c r="I408" s="35">
        <v>0.11</v>
      </c>
      <c r="J408" s="38">
        <f t="shared" si="30"/>
        <v>16776</v>
      </c>
      <c r="K408" s="55" t="str">
        <f t="shared" si="31"/>
        <v>Venta Grande</v>
      </c>
      <c r="L408" s="58" t="str">
        <f>VLOOKUP(D408, AUXILIAR!$A$2:$B$16, 2, 0)</f>
        <v>Samsung Oficial</v>
      </c>
      <c r="M408" s="54" t="str">
        <f t="shared" si="32"/>
        <v>Prioridad Media</v>
      </c>
      <c r="N408" s="54" t="str">
        <f>VLOOKUP(E408, AUXILIAR!$E$2:$F$4, 2, FALSE)</f>
        <v>ALM-03</v>
      </c>
    </row>
    <row r="409" spans="1:14" ht="15.75" thickBot="1" x14ac:dyDescent="0.3">
      <c r="A409" s="35">
        <v>300</v>
      </c>
      <c r="B409" s="36">
        <v>45591</v>
      </c>
      <c r="C409" s="35" t="s">
        <v>14</v>
      </c>
      <c r="D409" s="35" t="s">
        <v>25</v>
      </c>
      <c r="E409" s="35" t="s">
        <v>17</v>
      </c>
      <c r="F409" s="35" t="s">
        <v>38</v>
      </c>
      <c r="G409" s="35">
        <v>17</v>
      </c>
      <c r="H409" s="37">
        <v>1385</v>
      </c>
      <c r="I409" s="35">
        <v>7.0000000000000007E-2</v>
      </c>
      <c r="J409" s="38">
        <f t="shared" si="30"/>
        <v>23545</v>
      </c>
      <c r="K409" s="55" t="str">
        <f t="shared" si="31"/>
        <v>Venta Grande</v>
      </c>
      <c r="L409" s="58" t="str">
        <f>VLOOKUP(D409, AUXILIAR!$A$2:$B$16, 2, 0)</f>
        <v>LG Electronics</v>
      </c>
      <c r="M409" s="54" t="str">
        <f t="shared" si="32"/>
        <v>Prioridad Media</v>
      </c>
      <c r="N409" s="54" t="str">
        <f>VLOOKUP(E409, AUXILIAR!$E$2:$F$4, 2, FALSE)</f>
        <v>ALM-02</v>
      </c>
    </row>
    <row r="410" spans="1:14" ht="15.75" thickBot="1" x14ac:dyDescent="0.3">
      <c r="A410" s="35">
        <v>288</v>
      </c>
      <c r="B410" s="36">
        <v>45579</v>
      </c>
      <c r="C410" s="35" t="s">
        <v>12</v>
      </c>
      <c r="D410" s="35" t="s">
        <v>24</v>
      </c>
      <c r="E410" s="35" t="s">
        <v>16</v>
      </c>
      <c r="F410" s="35" t="s">
        <v>36</v>
      </c>
      <c r="G410" s="35">
        <v>7</v>
      </c>
      <c r="H410" s="37">
        <v>1362</v>
      </c>
      <c r="I410" s="35">
        <v>0.15</v>
      </c>
      <c r="J410" s="38">
        <f t="shared" si="30"/>
        <v>9534</v>
      </c>
      <c r="K410" s="55" t="str">
        <f t="shared" si="31"/>
        <v>Venta Grande</v>
      </c>
      <c r="L410" s="58" t="str">
        <f>VLOOKUP(D410, AUXILIAR!$A$2:$B$16, 2, 0)</f>
        <v>Samsung Oficial</v>
      </c>
      <c r="M410" s="54" t="str">
        <f t="shared" si="32"/>
        <v>Prioridad Media</v>
      </c>
      <c r="N410" s="54" t="str">
        <f>VLOOKUP(E410, AUXILIAR!$E$2:$F$4, 2, FALSE)</f>
        <v>ALM-01</v>
      </c>
    </row>
    <row r="411" spans="1:14" ht="15.75" thickBot="1" x14ac:dyDescent="0.3">
      <c r="A411" s="35">
        <v>240</v>
      </c>
      <c r="B411" s="36">
        <v>45531</v>
      </c>
      <c r="C411" s="35" t="s">
        <v>14</v>
      </c>
      <c r="D411" s="35" t="s">
        <v>31</v>
      </c>
      <c r="E411" s="35" t="s">
        <v>17</v>
      </c>
      <c r="F411" s="35" t="s">
        <v>38</v>
      </c>
      <c r="G411" s="35">
        <v>10</v>
      </c>
      <c r="H411" s="37">
        <v>1358</v>
      </c>
      <c r="I411" s="35">
        <v>0.02</v>
      </c>
      <c r="J411" s="38">
        <f t="shared" si="30"/>
        <v>13580</v>
      </c>
      <c r="K411" s="55" t="str">
        <f t="shared" si="31"/>
        <v>Venta Grande</v>
      </c>
      <c r="L411" s="58" t="str">
        <f>VLOOKUP(D411, AUXILIAR!$A$2:$B$16, 2, 0)</f>
        <v>LG Electronics</v>
      </c>
      <c r="M411" s="54" t="str">
        <f t="shared" si="32"/>
        <v>Prioridad Media</v>
      </c>
      <c r="N411" s="54" t="str">
        <f>VLOOKUP(E411, AUXILIAR!$E$2:$F$4, 2, FALSE)</f>
        <v>ALM-02</v>
      </c>
    </row>
    <row r="412" spans="1:14" ht="15.75" hidden="1" thickBot="1" x14ac:dyDescent="0.3">
      <c r="A412" s="21">
        <v>411</v>
      </c>
      <c r="B412" s="22">
        <v>45702</v>
      </c>
      <c r="C412" s="23" t="s">
        <v>10</v>
      </c>
      <c r="D412" s="24" t="s">
        <v>26</v>
      </c>
      <c r="E412" s="24" t="s">
        <v>18</v>
      </c>
      <c r="F412" s="24" t="s">
        <v>34</v>
      </c>
      <c r="G412" s="24">
        <v>7</v>
      </c>
      <c r="H412" s="25">
        <v>216</v>
      </c>
      <c r="I412" s="24">
        <v>0.1</v>
      </c>
      <c r="J412" s="26">
        <f t="shared" si="30"/>
        <v>1512</v>
      </c>
      <c r="K412" s="27" t="str">
        <f t="shared" si="31"/>
        <v>Venta Normal</v>
      </c>
      <c r="L412" s="24" t="str">
        <f>VLOOKUP(D412, AUXILIAR!$A$2:$B$16, 2, 0)</f>
        <v>Office Design</v>
      </c>
      <c r="M412"/>
    </row>
    <row r="413" spans="1:14" ht="15.75" hidden="1" thickBot="1" x14ac:dyDescent="0.3">
      <c r="A413" s="10">
        <v>412</v>
      </c>
      <c r="B413" s="11">
        <v>45703</v>
      </c>
      <c r="C413" s="5" t="s">
        <v>11</v>
      </c>
      <c r="D413" s="2" t="s">
        <v>27</v>
      </c>
      <c r="E413" s="2" t="s">
        <v>16</v>
      </c>
      <c r="F413" s="2" t="s">
        <v>35</v>
      </c>
      <c r="G413" s="2">
        <v>6</v>
      </c>
      <c r="H413" s="6">
        <v>286</v>
      </c>
      <c r="I413" s="2">
        <v>0.12</v>
      </c>
      <c r="J413" s="8">
        <f t="shared" si="30"/>
        <v>1716</v>
      </c>
      <c r="K413" s="4" t="str">
        <f t="shared" si="31"/>
        <v>Venta Normal</v>
      </c>
      <c r="L413" s="2" t="str">
        <f>VLOOKUP(D413, AUXILIAR!$A$2:$B$16, 2, 0)</f>
        <v>LG Electronics</v>
      </c>
      <c r="M413"/>
    </row>
    <row r="414" spans="1:14" ht="15.75" hidden="1" thickBot="1" x14ac:dyDescent="0.3">
      <c r="A414" s="16">
        <v>413</v>
      </c>
      <c r="B414" s="17">
        <v>45704</v>
      </c>
      <c r="C414" s="15" t="s">
        <v>12</v>
      </c>
      <c r="D414" s="18" t="s">
        <v>28</v>
      </c>
      <c r="E414" s="18" t="s">
        <v>17</v>
      </c>
      <c r="F414" s="18" t="s">
        <v>36</v>
      </c>
      <c r="G414" s="18">
        <v>1</v>
      </c>
      <c r="H414" s="19">
        <v>2578</v>
      </c>
      <c r="I414" s="18">
        <v>0.08</v>
      </c>
      <c r="J414" s="20">
        <f t="shared" si="30"/>
        <v>2578</v>
      </c>
      <c r="K414" s="14" t="str">
        <f t="shared" si="31"/>
        <v>Venta Normal</v>
      </c>
      <c r="L414" s="18" t="str">
        <f>VLOOKUP(D414, AUXILIAR!$A$2:$B$16, 2, 0)</f>
        <v>Samsung Oficial</v>
      </c>
      <c r="M414"/>
    </row>
    <row r="415" spans="1:14" ht="15.75" thickBot="1" x14ac:dyDescent="0.3">
      <c r="A415" s="35">
        <v>239</v>
      </c>
      <c r="B415" s="36">
        <v>45530</v>
      </c>
      <c r="C415" s="35" t="s">
        <v>13</v>
      </c>
      <c r="D415" s="35" t="s">
        <v>30</v>
      </c>
      <c r="E415" s="35" t="s">
        <v>16</v>
      </c>
      <c r="F415" s="35" t="s">
        <v>37</v>
      </c>
      <c r="G415" s="35">
        <v>4</v>
      </c>
      <c r="H415" s="37">
        <v>1352</v>
      </c>
      <c r="I415" s="35">
        <v>0.08</v>
      </c>
      <c r="J415" s="38">
        <f t="shared" si="30"/>
        <v>5408</v>
      </c>
      <c r="K415" s="55" t="str">
        <f t="shared" si="31"/>
        <v>Venta Grande</v>
      </c>
      <c r="L415" s="58" t="str">
        <f>VLOOKUP(D415, AUXILIAR!$A$2:$B$16, 2, 0)</f>
        <v>Office Design</v>
      </c>
      <c r="M415" s="54" t="str">
        <f t="shared" ref="M415:M420" si="33">IF(AND(E415="Tecnología", J415&gt;20000), "Prioridad Alta", IF(J415&gt;5000, "Prioridad Media", "Prioridad Baja"))</f>
        <v>Prioridad Media</v>
      </c>
      <c r="N415" s="54" t="str">
        <f>VLOOKUP(E415, AUXILIAR!$E$2:$F$4, 2, FALSE)</f>
        <v>ALM-01</v>
      </c>
    </row>
    <row r="416" spans="1:14" ht="15.75" thickBot="1" x14ac:dyDescent="0.3">
      <c r="A416" s="35">
        <v>8</v>
      </c>
      <c r="B416" s="36">
        <v>45299</v>
      </c>
      <c r="C416" s="35" t="s">
        <v>12</v>
      </c>
      <c r="D416" s="35" t="s">
        <v>30</v>
      </c>
      <c r="E416" s="35" t="s">
        <v>16</v>
      </c>
      <c r="F416" s="35" t="s">
        <v>36</v>
      </c>
      <c r="G416" s="35">
        <v>13</v>
      </c>
      <c r="H416" s="37">
        <v>1347</v>
      </c>
      <c r="I416" s="35">
        <v>7.0000000000000007E-2</v>
      </c>
      <c r="J416" s="38">
        <f t="shared" si="30"/>
        <v>17511</v>
      </c>
      <c r="K416" s="55" t="str">
        <f t="shared" si="31"/>
        <v>Venta Grande</v>
      </c>
      <c r="L416" s="58" t="str">
        <f>VLOOKUP(D416, AUXILIAR!$A$2:$B$16, 2, 0)</f>
        <v>Office Design</v>
      </c>
      <c r="M416" s="54" t="str">
        <f t="shared" si="33"/>
        <v>Prioridad Media</v>
      </c>
      <c r="N416" s="54" t="str">
        <f>VLOOKUP(E416, AUXILIAR!$E$2:$F$4, 2, FALSE)</f>
        <v>ALM-01</v>
      </c>
    </row>
    <row r="417" spans="1:14" ht="15.75" thickBot="1" x14ac:dyDescent="0.3">
      <c r="A417" s="35">
        <v>377</v>
      </c>
      <c r="B417" s="36">
        <v>45668</v>
      </c>
      <c r="C417" s="35" t="s">
        <v>11</v>
      </c>
      <c r="D417" s="35" t="s">
        <v>25</v>
      </c>
      <c r="E417" s="35" t="s">
        <v>17</v>
      </c>
      <c r="F417" s="35" t="s">
        <v>35</v>
      </c>
      <c r="G417" s="35">
        <v>18</v>
      </c>
      <c r="H417" s="37">
        <v>1335</v>
      </c>
      <c r="I417" s="35">
        <v>0.11</v>
      </c>
      <c r="J417" s="38">
        <f t="shared" si="30"/>
        <v>24030</v>
      </c>
      <c r="K417" s="55" t="str">
        <f t="shared" si="31"/>
        <v>Venta Grande</v>
      </c>
      <c r="L417" s="58" t="str">
        <f>VLOOKUP(D417, AUXILIAR!$A$2:$B$16, 2, 0)</f>
        <v>LG Electronics</v>
      </c>
      <c r="M417" s="54" t="str">
        <f t="shared" si="33"/>
        <v>Prioridad Media</v>
      </c>
      <c r="N417" s="54" t="str">
        <f>VLOOKUP(E417, AUXILIAR!$E$2:$F$4, 2, FALSE)</f>
        <v>ALM-02</v>
      </c>
    </row>
    <row r="418" spans="1:14" ht="15.75" thickBot="1" x14ac:dyDescent="0.3">
      <c r="A418" s="35">
        <v>205</v>
      </c>
      <c r="B418" s="36">
        <v>45496</v>
      </c>
      <c r="C418" s="35" t="s">
        <v>14</v>
      </c>
      <c r="D418" s="35" t="s">
        <v>29</v>
      </c>
      <c r="E418" s="35" t="s">
        <v>18</v>
      </c>
      <c r="F418" s="35" t="s">
        <v>38</v>
      </c>
      <c r="G418" s="35">
        <v>8</v>
      </c>
      <c r="H418" s="37">
        <v>1320</v>
      </c>
      <c r="I418" s="35">
        <v>0.05</v>
      </c>
      <c r="J418" s="38">
        <f t="shared" si="30"/>
        <v>10560</v>
      </c>
      <c r="K418" s="55" t="str">
        <f t="shared" si="31"/>
        <v>Venta Grande</v>
      </c>
      <c r="L418" s="58" t="str">
        <f>VLOOKUP(D418, AUXILIAR!$A$2:$B$16, 2, 0)</f>
        <v>LG Electronics</v>
      </c>
      <c r="M418" s="54" t="str">
        <f t="shared" si="33"/>
        <v>Prioridad Media</v>
      </c>
      <c r="N418" s="54" t="str">
        <f>VLOOKUP(E418, AUXILIAR!$E$2:$F$4, 2, FALSE)</f>
        <v>ALM-03</v>
      </c>
    </row>
    <row r="419" spans="1:14" ht="15.75" thickBot="1" x14ac:dyDescent="0.3">
      <c r="A419" s="35">
        <v>502</v>
      </c>
      <c r="B419" s="36">
        <v>45793</v>
      </c>
      <c r="C419" s="35" t="s">
        <v>11</v>
      </c>
      <c r="D419" s="35" t="s">
        <v>29</v>
      </c>
      <c r="E419" s="35" t="s">
        <v>18</v>
      </c>
      <c r="F419" s="35" t="s">
        <v>35</v>
      </c>
      <c r="G419" s="35">
        <v>12</v>
      </c>
      <c r="H419" s="37">
        <v>1313</v>
      </c>
      <c r="I419" s="35">
        <v>0.03</v>
      </c>
      <c r="J419" s="38">
        <f t="shared" si="30"/>
        <v>15756</v>
      </c>
      <c r="K419" s="55" t="str">
        <f t="shared" si="31"/>
        <v>Venta Grande</v>
      </c>
      <c r="L419" s="58" t="str">
        <f>VLOOKUP(D419, AUXILIAR!$A$2:$B$16, 2, 0)</f>
        <v>LG Electronics</v>
      </c>
      <c r="M419" s="54" t="str">
        <f t="shared" si="33"/>
        <v>Prioridad Media</v>
      </c>
      <c r="N419" s="54" t="str">
        <f>VLOOKUP(E419, AUXILIAR!$E$2:$F$4, 2, FALSE)</f>
        <v>ALM-03</v>
      </c>
    </row>
    <row r="420" spans="1:14" ht="15.75" thickBot="1" x14ac:dyDescent="0.3">
      <c r="A420" s="35">
        <v>52</v>
      </c>
      <c r="B420" s="36">
        <v>45343</v>
      </c>
      <c r="C420" s="35" t="s">
        <v>11</v>
      </c>
      <c r="D420" s="35" t="s">
        <v>30</v>
      </c>
      <c r="E420" s="35" t="s">
        <v>16</v>
      </c>
      <c r="F420" s="35" t="s">
        <v>35</v>
      </c>
      <c r="G420" s="35">
        <v>16</v>
      </c>
      <c r="H420" s="37">
        <v>1310</v>
      </c>
      <c r="I420" s="35">
        <v>0.09</v>
      </c>
      <c r="J420" s="38">
        <f t="shared" si="30"/>
        <v>20960</v>
      </c>
      <c r="K420" s="55" t="str">
        <f t="shared" si="31"/>
        <v>Venta Grande</v>
      </c>
      <c r="L420" s="58" t="str">
        <f>VLOOKUP(D420, AUXILIAR!$A$2:$B$16, 2, 0)</f>
        <v>Office Design</v>
      </c>
      <c r="M420" s="54" t="str">
        <f t="shared" si="33"/>
        <v>Prioridad Alta</v>
      </c>
      <c r="N420" s="54" t="str">
        <f>VLOOKUP(E420, AUXILIAR!$E$2:$F$4, 2, FALSE)</f>
        <v>ALM-01</v>
      </c>
    </row>
    <row r="421" spans="1:14" ht="15.75" hidden="1" thickBot="1" x14ac:dyDescent="0.3">
      <c r="A421" s="28">
        <v>420</v>
      </c>
      <c r="B421" s="29">
        <v>45711</v>
      </c>
      <c r="C421" s="30" t="s">
        <v>14</v>
      </c>
      <c r="D421" s="31" t="s">
        <v>24</v>
      </c>
      <c r="E421" s="31" t="s">
        <v>16</v>
      </c>
      <c r="F421" s="31" t="s">
        <v>38</v>
      </c>
      <c r="G421" s="31">
        <v>3</v>
      </c>
      <c r="H421" s="32">
        <v>515</v>
      </c>
      <c r="I421" s="31">
        <v>0.1</v>
      </c>
      <c r="J421" s="33">
        <f t="shared" si="30"/>
        <v>1545</v>
      </c>
      <c r="K421" s="34" t="str">
        <f t="shared" si="31"/>
        <v>Venta Normal</v>
      </c>
      <c r="L421" s="31" t="str">
        <f>VLOOKUP(D421, AUXILIAR!$A$2:$B$16, 2, 0)</f>
        <v>Samsung Oficial</v>
      </c>
      <c r="M421"/>
    </row>
    <row r="422" spans="1:14" ht="15.75" thickBot="1" x14ac:dyDescent="0.3">
      <c r="A422" s="35">
        <v>359</v>
      </c>
      <c r="B422" s="36">
        <v>45650</v>
      </c>
      <c r="C422" s="35" t="s">
        <v>13</v>
      </c>
      <c r="D422" s="35" t="s">
        <v>29</v>
      </c>
      <c r="E422" s="35" t="s">
        <v>18</v>
      </c>
      <c r="F422" s="35" t="s">
        <v>37</v>
      </c>
      <c r="G422" s="35">
        <v>12</v>
      </c>
      <c r="H422" s="37">
        <v>1307</v>
      </c>
      <c r="I422" s="35">
        <v>0.1</v>
      </c>
      <c r="J422" s="38">
        <f t="shared" si="30"/>
        <v>15684</v>
      </c>
      <c r="K422" s="55" t="str">
        <f t="shared" si="31"/>
        <v>Venta Grande</v>
      </c>
      <c r="L422" s="58" t="str">
        <f>VLOOKUP(D422, AUXILIAR!$A$2:$B$16, 2, 0)</f>
        <v>LG Electronics</v>
      </c>
      <c r="M422" s="54" t="str">
        <f t="shared" ref="M422:M428" si="34">IF(AND(E422="Tecnología", J422&gt;20000), "Prioridad Alta", IF(J422&gt;5000, "Prioridad Media", "Prioridad Baja"))</f>
        <v>Prioridad Media</v>
      </c>
      <c r="N422" s="54" t="str">
        <f>VLOOKUP(E422, AUXILIAR!$E$2:$F$4, 2, FALSE)</f>
        <v>ALM-03</v>
      </c>
    </row>
    <row r="423" spans="1:14" ht="15.75" thickBot="1" x14ac:dyDescent="0.3">
      <c r="A423" s="35">
        <v>268</v>
      </c>
      <c r="B423" s="36">
        <v>45559</v>
      </c>
      <c r="C423" s="35" t="s">
        <v>12</v>
      </c>
      <c r="D423" s="35" t="s">
        <v>26</v>
      </c>
      <c r="E423" s="35" t="s">
        <v>18</v>
      </c>
      <c r="F423" s="35" t="s">
        <v>36</v>
      </c>
      <c r="G423" s="35">
        <v>20</v>
      </c>
      <c r="H423" s="37">
        <v>1298</v>
      </c>
      <c r="I423" s="35">
        <v>7.0000000000000007E-2</v>
      </c>
      <c r="J423" s="38">
        <f t="shared" si="30"/>
        <v>25960</v>
      </c>
      <c r="K423" s="55" t="str">
        <f t="shared" si="31"/>
        <v>Venta Grande</v>
      </c>
      <c r="L423" s="58" t="str">
        <f>VLOOKUP(D423, AUXILIAR!$A$2:$B$16, 2, 0)</f>
        <v>Office Design</v>
      </c>
      <c r="M423" s="54" t="str">
        <f t="shared" si="34"/>
        <v>Prioridad Media</v>
      </c>
      <c r="N423" s="54" t="str">
        <f>VLOOKUP(E423, AUXILIAR!$E$2:$F$4, 2, FALSE)</f>
        <v>ALM-03</v>
      </c>
    </row>
    <row r="424" spans="1:14" ht="15.75" thickBot="1" x14ac:dyDescent="0.3">
      <c r="A424" s="35">
        <v>432</v>
      </c>
      <c r="B424" s="36">
        <v>45723</v>
      </c>
      <c r="C424" s="35" t="s">
        <v>11</v>
      </c>
      <c r="D424" s="35" t="s">
        <v>25</v>
      </c>
      <c r="E424" s="35" t="s">
        <v>17</v>
      </c>
      <c r="F424" s="35" t="s">
        <v>35</v>
      </c>
      <c r="G424" s="35">
        <v>9</v>
      </c>
      <c r="H424" s="37">
        <v>1297</v>
      </c>
      <c r="I424" s="35">
        <v>0.12</v>
      </c>
      <c r="J424" s="38">
        <f t="shared" si="30"/>
        <v>11673</v>
      </c>
      <c r="K424" s="55" t="str">
        <f t="shared" si="31"/>
        <v>Venta Grande</v>
      </c>
      <c r="L424" s="58" t="str">
        <f>VLOOKUP(D424, AUXILIAR!$A$2:$B$16, 2, 0)</f>
        <v>LG Electronics</v>
      </c>
      <c r="M424" s="54" t="str">
        <f t="shared" si="34"/>
        <v>Prioridad Media</v>
      </c>
      <c r="N424" s="54" t="str">
        <f>VLOOKUP(E424, AUXILIAR!$E$2:$F$4, 2, FALSE)</f>
        <v>ALM-02</v>
      </c>
    </row>
    <row r="425" spans="1:14" ht="15.75" thickBot="1" x14ac:dyDescent="0.3">
      <c r="A425" s="35">
        <v>207</v>
      </c>
      <c r="B425" s="36">
        <v>45498</v>
      </c>
      <c r="C425" s="35" t="s">
        <v>11</v>
      </c>
      <c r="D425" s="35" t="s">
        <v>31</v>
      </c>
      <c r="E425" s="35" t="s">
        <v>17</v>
      </c>
      <c r="F425" s="35" t="s">
        <v>35</v>
      </c>
      <c r="G425" s="35">
        <v>11</v>
      </c>
      <c r="H425" s="37">
        <v>1294</v>
      </c>
      <c r="I425" s="35">
        <v>0.15</v>
      </c>
      <c r="J425" s="38">
        <f t="shared" si="30"/>
        <v>14234</v>
      </c>
      <c r="K425" s="55" t="str">
        <f t="shared" si="31"/>
        <v>Venta Grande</v>
      </c>
      <c r="L425" s="58" t="str">
        <f>VLOOKUP(D425, AUXILIAR!$A$2:$B$16, 2, 0)</f>
        <v>LG Electronics</v>
      </c>
      <c r="M425" s="54" t="str">
        <f t="shared" si="34"/>
        <v>Prioridad Media</v>
      </c>
      <c r="N425" s="54" t="str">
        <f>VLOOKUP(E425, AUXILIAR!$E$2:$F$4, 2, FALSE)</f>
        <v>ALM-02</v>
      </c>
    </row>
    <row r="426" spans="1:14" ht="15.75" thickBot="1" x14ac:dyDescent="0.3">
      <c r="A426" s="35">
        <v>381</v>
      </c>
      <c r="B426" s="36">
        <v>45672</v>
      </c>
      <c r="C426" s="35" t="s">
        <v>10</v>
      </c>
      <c r="D426" s="35" t="s">
        <v>29</v>
      </c>
      <c r="E426" s="35" t="s">
        <v>18</v>
      </c>
      <c r="F426" s="35" t="s">
        <v>34</v>
      </c>
      <c r="G426" s="35">
        <v>20</v>
      </c>
      <c r="H426" s="37">
        <v>1275</v>
      </c>
      <c r="I426" s="35">
        <v>0.09</v>
      </c>
      <c r="J426" s="38">
        <f t="shared" si="30"/>
        <v>25500</v>
      </c>
      <c r="K426" s="55" t="str">
        <f t="shared" si="31"/>
        <v>Venta Grande</v>
      </c>
      <c r="L426" s="58" t="str">
        <f>VLOOKUP(D426, AUXILIAR!$A$2:$B$16, 2, 0)</f>
        <v>LG Electronics</v>
      </c>
      <c r="M426" s="54" t="str">
        <f t="shared" si="34"/>
        <v>Prioridad Media</v>
      </c>
      <c r="N426" s="54" t="str">
        <f>VLOOKUP(E426, AUXILIAR!$E$2:$F$4, 2, FALSE)</f>
        <v>ALM-03</v>
      </c>
    </row>
    <row r="427" spans="1:14" ht="15.75" thickBot="1" x14ac:dyDescent="0.3">
      <c r="A427" s="35">
        <v>261</v>
      </c>
      <c r="B427" s="36">
        <v>45552</v>
      </c>
      <c r="C427" s="35" t="s">
        <v>10</v>
      </c>
      <c r="D427" s="35" t="s">
        <v>30</v>
      </c>
      <c r="E427" s="35" t="s">
        <v>16</v>
      </c>
      <c r="F427" s="35" t="s">
        <v>34</v>
      </c>
      <c r="G427" s="35">
        <v>18</v>
      </c>
      <c r="H427" s="37">
        <v>1273</v>
      </c>
      <c r="I427" s="35">
        <v>0.05</v>
      </c>
      <c r="J427" s="38">
        <f t="shared" si="30"/>
        <v>22914</v>
      </c>
      <c r="K427" s="55" t="str">
        <f t="shared" si="31"/>
        <v>Venta Grande</v>
      </c>
      <c r="L427" s="58" t="str">
        <f>VLOOKUP(D427, AUXILIAR!$A$2:$B$16, 2, 0)</f>
        <v>Office Design</v>
      </c>
      <c r="M427" s="54" t="str">
        <f t="shared" si="34"/>
        <v>Prioridad Alta</v>
      </c>
      <c r="N427" s="54" t="str">
        <f>VLOOKUP(E427, AUXILIAR!$E$2:$F$4, 2, FALSE)</f>
        <v>ALM-01</v>
      </c>
    </row>
    <row r="428" spans="1:14" ht="15.75" thickBot="1" x14ac:dyDescent="0.3">
      <c r="A428" s="35">
        <v>475</v>
      </c>
      <c r="B428" s="36">
        <v>45766</v>
      </c>
      <c r="C428" s="35" t="s">
        <v>14</v>
      </c>
      <c r="D428" s="35" t="s">
        <v>24</v>
      </c>
      <c r="E428" s="35" t="s">
        <v>16</v>
      </c>
      <c r="F428" s="35" t="s">
        <v>38</v>
      </c>
      <c r="G428" s="35">
        <v>17</v>
      </c>
      <c r="H428" s="37">
        <v>1264</v>
      </c>
      <c r="I428" s="35">
        <v>0.11</v>
      </c>
      <c r="J428" s="38">
        <f t="shared" si="30"/>
        <v>21488</v>
      </c>
      <c r="K428" s="55" t="str">
        <f t="shared" si="31"/>
        <v>Venta Grande</v>
      </c>
      <c r="L428" s="58" t="str">
        <f>VLOOKUP(D428, AUXILIAR!$A$2:$B$16, 2, 0)</f>
        <v>Samsung Oficial</v>
      </c>
      <c r="M428" s="54" t="str">
        <f t="shared" si="34"/>
        <v>Prioridad Alta</v>
      </c>
      <c r="N428" s="54" t="str">
        <f>VLOOKUP(E428, AUXILIAR!$E$2:$F$4, 2, FALSE)</f>
        <v>ALM-01</v>
      </c>
    </row>
    <row r="429" spans="1:14" ht="15.75" hidden="1" thickBot="1" x14ac:dyDescent="0.3">
      <c r="A429" s="28">
        <v>428</v>
      </c>
      <c r="B429" s="29">
        <v>45719</v>
      </c>
      <c r="C429" s="30" t="s">
        <v>12</v>
      </c>
      <c r="D429" s="31" t="s">
        <v>32</v>
      </c>
      <c r="E429" s="31" t="s">
        <v>18</v>
      </c>
      <c r="F429" s="31" t="s">
        <v>36</v>
      </c>
      <c r="G429" s="31">
        <v>11</v>
      </c>
      <c r="H429" s="32">
        <v>248</v>
      </c>
      <c r="I429" s="31">
        <v>0.02</v>
      </c>
      <c r="J429" s="33">
        <f t="shared" si="30"/>
        <v>2728</v>
      </c>
      <c r="K429" s="34" t="str">
        <f t="shared" si="31"/>
        <v>Venta Normal</v>
      </c>
      <c r="L429" s="31" t="str">
        <f>VLOOKUP(D429, AUXILIAR!$A$2:$B$16, 2, 0)</f>
        <v>Samsung Oficial</v>
      </c>
      <c r="M429"/>
    </row>
    <row r="430" spans="1:14" ht="15.75" thickBot="1" x14ac:dyDescent="0.3">
      <c r="A430" s="35">
        <v>111</v>
      </c>
      <c r="B430" s="36">
        <v>45402</v>
      </c>
      <c r="C430" s="35" t="s">
        <v>10</v>
      </c>
      <c r="D430" s="35" t="s">
        <v>33</v>
      </c>
      <c r="E430" s="35" t="s">
        <v>16</v>
      </c>
      <c r="F430" s="35" t="s">
        <v>34</v>
      </c>
      <c r="G430" s="35">
        <v>16</v>
      </c>
      <c r="H430" s="37">
        <v>1263</v>
      </c>
      <c r="I430" s="35">
        <v>0.12</v>
      </c>
      <c r="J430" s="38">
        <f t="shared" si="30"/>
        <v>20208</v>
      </c>
      <c r="K430" s="55" t="str">
        <f t="shared" si="31"/>
        <v>Venta Grande</v>
      </c>
      <c r="L430" s="58" t="str">
        <f>VLOOKUP(D430, AUXILIAR!$A$2:$B$16, 2, 0)</f>
        <v>LG Electronics</v>
      </c>
      <c r="M430" s="54" t="str">
        <f t="shared" ref="M430:M442" si="35">IF(AND(E430="Tecnología", J430&gt;20000), "Prioridad Alta", IF(J430&gt;5000, "Prioridad Media", "Prioridad Baja"))</f>
        <v>Prioridad Alta</v>
      </c>
      <c r="N430" s="54" t="str">
        <f>VLOOKUP(E430, AUXILIAR!$E$2:$F$4, 2, FALSE)</f>
        <v>ALM-01</v>
      </c>
    </row>
    <row r="431" spans="1:14" ht="15.75" thickBot="1" x14ac:dyDescent="0.3">
      <c r="A431" s="35">
        <v>117</v>
      </c>
      <c r="B431" s="36">
        <v>45408</v>
      </c>
      <c r="C431" s="35" t="s">
        <v>11</v>
      </c>
      <c r="D431" s="35" t="s">
        <v>29</v>
      </c>
      <c r="E431" s="35" t="s">
        <v>18</v>
      </c>
      <c r="F431" s="35" t="s">
        <v>35</v>
      </c>
      <c r="G431" s="35">
        <v>6</v>
      </c>
      <c r="H431" s="37">
        <v>1259</v>
      </c>
      <c r="I431" s="35">
        <v>0.11</v>
      </c>
      <c r="J431" s="38">
        <f t="shared" si="30"/>
        <v>7554</v>
      </c>
      <c r="K431" s="55" t="str">
        <f t="shared" si="31"/>
        <v>Venta Grande</v>
      </c>
      <c r="L431" s="58" t="str">
        <f>VLOOKUP(D431, AUXILIAR!$A$2:$B$16, 2, 0)</f>
        <v>LG Electronics</v>
      </c>
      <c r="M431" s="54" t="str">
        <f t="shared" si="35"/>
        <v>Prioridad Media</v>
      </c>
      <c r="N431" s="54" t="str">
        <f>VLOOKUP(E431, AUXILIAR!$E$2:$F$4, 2, FALSE)</f>
        <v>ALM-03</v>
      </c>
    </row>
    <row r="432" spans="1:14" ht="15.75" thickBot="1" x14ac:dyDescent="0.3">
      <c r="A432" s="35">
        <v>79</v>
      </c>
      <c r="B432" s="36">
        <v>45370</v>
      </c>
      <c r="C432" s="35" t="s">
        <v>13</v>
      </c>
      <c r="D432" s="35" t="s">
        <v>24</v>
      </c>
      <c r="E432" s="35" t="s">
        <v>16</v>
      </c>
      <c r="F432" s="35" t="s">
        <v>37</v>
      </c>
      <c r="G432" s="35">
        <v>12</v>
      </c>
      <c r="H432" s="37">
        <v>1247</v>
      </c>
      <c r="I432" s="35">
        <v>0.06</v>
      </c>
      <c r="J432" s="38">
        <f t="shared" si="30"/>
        <v>14964</v>
      </c>
      <c r="K432" s="55" t="str">
        <f t="shared" si="31"/>
        <v>Venta Grande</v>
      </c>
      <c r="L432" s="58" t="str">
        <f>VLOOKUP(D432, AUXILIAR!$A$2:$B$16, 2, 0)</f>
        <v>Samsung Oficial</v>
      </c>
      <c r="M432" s="54" t="str">
        <f t="shared" si="35"/>
        <v>Prioridad Media</v>
      </c>
      <c r="N432" s="54" t="str">
        <f>VLOOKUP(E432, AUXILIAR!$E$2:$F$4, 2, FALSE)</f>
        <v>ALM-01</v>
      </c>
    </row>
    <row r="433" spans="1:14" ht="15.75" thickBot="1" x14ac:dyDescent="0.3">
      <c r="A433" s="35">
        <v>477</v>
      </c>
      <c r="B433" s="36">
        <v>45768</v>
      </c>
      <c r="C433" s="35" t="s">
        <v>11</v>
      </c>
      <c r="D433" s="35" t="s">
        <v>26</v>
      </c>
      <c r="E433" s="35" t="s">
        <v>18</v>
      </c>
      <c r="F433" s="35" t="s">
        <v>35</v>
      </c>
      <c r="G433" s="35">
        <v>6</v>
      </c>
      <c r="H433" s="37">
        <v>1246</v>
      </c>
      <c r="I433" s="35">
        <v>0.11</v>
      </c>
      <c r="J433" s="38">
        <f t="shared" si="30"/>
        <v>7476</v>
      </c>
      <c r="K433" s="55" t="str">
        <f t="shared" si="31"/>
        <v>Venta Grande</v>
      </c>
      <c r="L433" s="58" t="str">
        <f>VLOOKUP(D433, AUXILIAR!$A$2:$B$16, 2, 0)</f>
        <v>Office Design</v>
      </c>
      <c r="M433" s="54" t="str">
        <f t="shared" si="35"/>
        <v>Prioridad Media</v>
      </c>
      <c r="N433" s="54" t="str">
        <f>VLOOKUP(E433, AUXILIAR!$E$2:$F$4, 2, FALSE)</f>
        <v>ALM-03</v>
      </c>
    </row>
    <row r="434" spans="1:14" ht="15.75" thickBot="1" x14ac:dyDescent="0.3">
      <c r="A434" s="35">
        <v>115</v>
      </c>
      <c r="B434" s="36">
        <v>45406</v>
      </c>
      <c r="C434" s="35" t="s">
        <v>14</v>
      </c>
      <c r="D434" s="35" t="s">
        <v>27</v>
      </c>
      <c r="E434" s="35" t="s">
        <v>16</v>
      </c>
      <c r="F434" s="35" t="s">
        <v>38</v>
      </c>
      <c r="G434" s="35">
        <v>18</v>
      </c>
      <c r="H434" s="37">
        <v>1225</v>
      </c>
      <c r="I434" s="35">
        <v>0.03</v>
      </c>
      <c r="J434" s="38">
        <f t="shared" si="30"/>
        <v>22050</v>
      </c>
      <c r="K434" s="55" t="str">
        <f t="shared" si="31"/>
        <v>Venta Grande</v>
      </c>
      <c r="L434" s="58" t="str">
        <f>VLOOKUP(D434, AUXILIAR!$A$2:$B$16, 2, 0)</f>
        <v>LG Electronics</v>
      </c>
      <c r="M434" s="54" t="str">
        <f t="shared" si="35"/>
        <v>Prioridad Alta</v>
      </c>
      <c r="N434" s="54" t="str">
        <f>VLOOKUP(E434, AUXILIAR!$E$2:$F$4, 2, FALSE)</f>
        <v>ALM-01</v>
      </c>
    </row>
    <row r="435" spans="1:14" ht="15.75" thickBot="1" x14ac:dyDescent="0.3">
      <c r="A435" s="35">
        <v>48</v>
      </c>
      <c r="B435" s="36">
        <v>45339</v>
      </c>
      <c r="C435" s="35" t="s">
        <v>12</v>
      </c>
      <c r="D435" s="35" t="s">
        <v>26</v>
      </c>
      <c r="E435" s="35" t="s">
        <v>18</v>
      </c>
      <c r="F435" s="35" t="s">
        <v>36</v>
      </c>
      <c r="G435" s="35">
        <v>10</v>
      </c>
      <c r="H435" s="37">
        <v>1216</v>
      </c>
      <c r="I435" s="35">
        <v>0.01</v>
      </c>
      <c r="J435" s="38">
        <f t="shared" si="30"/>
        <v>12160</v>
      </c>
      <c r="K435" s="55" t="str">
        <f t="shared" si="31"/>
        <v>Venta Grande</v>
      </c>
      <c r="L435" s="58" t="str">
        <f>VLOOKUP(D435, AUXILIAR!$A$2:$B$16, 2, 0)</f>
        <v>Office Design</v>
      </c>
      <c r="M435" s="54" t="str">
        <f t="shared" si="35"/>
        <v>Prioridad Media</v>
      </c>
      <c r="N435" s="54" t="str">
        <f>VLOOKUP(E435, AUXILIAR!$E$2:$F$4, 2, FALSE)</f>
        <v>ALM-03</v>
      </c>
    </row>
    <row r="436" spans="1:14" ht="15.75" thickBot="1" x14ac:dyDescent="0.3">
      <c r="A436" s="35">
        <v>399</v>
      </c>
      <c r="B436" s="36">
        <v>45690</v>
      </c>
      <c r="C436" s="35" t="s">
        <v>13</v>
      </c>
      <c r="D436" s="35" t="s">
        <v>25</v>
      </c>
      <c r="E436" s="35" t="s">
        <v>17</v>
      </c>
      <c r="F436" s="35" t="s">
        <v>37</v>
      </c>
      <c r="G436" s="35">
        <v>14</v>
      </c>
      <c r="H436" s="37">
        <v>1216</v>
      </c>
      <c r="I436" s="35">
        <v>0.15</v>
      </c>
      <c r="J436" s="38">
        <f t="shared" si="30"/>
        <v>17024</v>
      </c>
      <c r="K436" s="55" t="str">
        <f t="shared" si="31"/>
        <v>Venta Grande</v>
      </c>
      <c r="L436" s="58" t="str">
        <f>VLOOKUP(D436, AUXILIAR!$A$2:$B$16, 2, 0)</f>
        <v>LG Electronics</v>
      </c>
      <c r="M436" s="54" t="str">
        <f t="shared" si="35"/>
        <v>Prioridad Media</v>
      </c>
      <c r="N436" s="54" t="str">
        <f>VLOOKUP(E436, AUXILIAR!$E$2:$F$4, 2, FALSE)</f>
        <v>ALM-02</v>
      </c>
    </row>
    <row r="437" spans="1:14" ht="15.75" thickBot="1" x14ac:dyDescent="0.3">
      <c r="A437" s="35">
        <v>444</v>
      </c>
      <c r="B437" s="36">
        <v>45735</v>
      </c>
      <c r="C437" s="35" t="s">
        <v>13</v>
      </c>
      <c r="D437" s="35" t="s">
        <v>26</v>
      </c>
      <c r="E437" s="35" t="s">
        <v>18</v>
      </c>
      <c r="F437" s="35" t="s">
        <v>37</v>
      </c>
      <c r="G437" s="35">
        <v>7</v>
      </c>
      <c r="H437" s="37">
        <v>1210</v>
      </c>
      <c r="I437" s="35">
        <v>0.05</v>
      </c>
      <c r="J437" s="38">
        <f t="shared" si="30"/>
        <v>8470</v>
      </c>
      <c r="K437" s="55" t="str">
        <f t="shared" si="31"/>
        <v>Venta Grande</v>
      </c>
      <c r="L437" s="58" t="str">
        <f>VLOOKUP(D437, AUXILIAR!$A$2:$B$16, 2, 0)</f>
        <v>Office Design</v>
      </c>
      <c r="M437" s="54" t="str">
        <f t="shared" si="35"/>
        <v>Prioridad Media</v>
      </c>
      <c r="N437" s="54" t="str">
        <f>VLOOKUP(E437, AUXILIAR!$E$2:$F$4, 2, FALSE)</f>
        <v>ALM-03</v>
      </c>
    </row>
    <row r="438" spans="1:14" ht="15.75" thickBot="1" x14ac:dyDescent="0.3">
      <c r="A438" s="35">
        <v>336</v>
      </c>
      <c r="B438" s="36">
        <v>45627</v>
      </c>
      <c r="C438" s="35" t="s">
        <v>10</v>
      </c>
      <c r="D438" s="35" t="s">
        <v>28</v>
      </c>
      <c r="E438" s="35" t="s">
        <v>17</v>
      </c>
      <c r="F438" s="35" t="s">
        <v>34</v>
      </c>
      <c r="G438" s="35">
        <v>12</v>
      </c>
      <c r="H438" s="37">
        <v>1190</v>
      </c>
      <c r="I438" s="35">
        <v>0.04</v>
      </c>
      <c r="J438" s="38">
        <f t="shared" si="30"/>
        <v>14280</v>
      </c>
      <c r="K438" s="55" t="str">
        <f t="shared" si="31"/>
        <v>Venta Grande</v>
      </c>
      <c r="L438" s="58" t="str">
        <f>VLOOKUP(D438, AUXILIAR!$A$2:$B$16, 2, 0)</f>
        <v>Samsung Oficial</v>
      </c>
      <c r="M438" s="54" t="str">
        <f t="shared" si="35"/>
        <v>Prioridad Media</v>
      </c>
      <c r="N438" s="54" t="str">
        <f>VLOOKUP(E438, AUXILIAR!$E$2:$F$4, 2, FALSE)</f>
        <v>ALM-02</v>
      </c>
    </row>
    <row r="439" spans="1:14" ht="15.75" thickBot="1" x14ac:dyDescent="0.3">
      <c r="A439" s="35">
        <v>182</v>
      </c>
      <c r="B439" s="36">
        <v>45473</v>
      </c>
      <c r="C439" s="35" t="s">
        <v>11</v>
      </c>
      <c r="D439" s="35" t="s">
        <v>28</v>
      </c>
      <c r="E439" s="35" t="s">
        <v>17</v>
      </c>
      <c r="F439" s="35" t="s">
        <v>35</v>
      </c>
      <c r="G439" s="35">
        <v>12</v>
      </c>
      <c r="H439" s="37">
        <v>1188</v>
      </c>
      <c r="I439" s="35">
        <v>0.05</v>
      </c>
      <c r="J439" s="38">
        <f t="shared" si="30"/>
        <v>14256</v>
      </c>
      <c r="K439" s="55" t="str">
        <f t="shared" si="31"/>
        <v>Venta Grande</v>
      </c>
      <c r="L439" s="58" t="str">
        <f>VLOOKUP(D439, AUXILIAR!$A$2:$B$16, 2, 0)</f>
        <v>Samsung Oficial</v>
      </c>
      <c r="M439" s="54" t="str">
        <f t="shared" si="35"/>
        <v>Prioridad Media</v>
      </c>
      <c r="N439" s="54" t="str">
        <f>VLOOKUP(E439, AUXILIAR!$E$2:$F$4, 2, FALSE)</f>
        <v>ALM-02</v>
      </c>
    </row>
    <row r="440" spans="1:14" ht="15.75" thickBot="1" x14ac:dyDescent="0.3">
      <c r="A440" s="35">
        <v>246</v>
      </c>
      <c r="B440" s="36">
        <v>45537</v>
      </c>
      <c r="C440" s="35" t="s">
        <v>10</v>
      </c>
      <c r="D440" s="35" t="s">
        <v>26</v>
      </c>
      <c r="E440" s="35" t="s">
        <v>18</v>
      </c>
      <c r="F440" s="35" t="s">
        <v>34</v>
      </c>
      <c r="G440" s="35">
        <v>20</v>
      </c>
      <c r="H440" s="37">
        <v>1163</v>
      </c>
      <c r="I440" s="35">
        <v>0.11</v>
      </c>
      <c r="J440" s="38">
        <f t="shared" si="30"/>
        <v>23260</v>
      </c>
      <c r="K440" s="55" t="str">
        <f t="shared" si="31"/>
        <v>Venta Grande</v>
      </c>
      <c r="L440" s="58" t="str">
        <f>VLOOKUP(D440, AUXILIAR!$A$2:$B$16, 2, 0)</f>
        <v>Office Design</v>
      </c>
      <c r="M440" s="54" t="str">
        <f t="shared" si="35"/>
        <v>Prioridad Media</v>
      </c>
      <c r="N440" s="54" t="str">
        <f>VLOOKUP(E440, AUXILIAR!$E$2:$F$4, 2, FALSE)</f>
        <v>ALM-03</v>
      </c>
    </row>
    <row r="441" spans="1:14" ht="15.75" thickBot="1" x14ac:dyDescent="0.3">
      <c r="A441" s="35">
        <v>40</v>
      </c>
      <c r="B441" s="36">
        <v>45331</v>
      </c>
      <c r="C441" s="35" t="s">
        <v>14</v>
      </c>
      <c r="D441" s="35" t="s">
        <v>29</v>
      </c>
      <c r="E441" s="35" t="s">
        <v>18</v>
      </c>
      <c r="F441" s="35" t="s">
        <v>38</v>
      </c>
      <c r="G441" s="35">
        <v>17</v>
      </c>
      <c r="H441" s="37">
        <v>1149</v>
      </c>
      <c r="I441" s="35">
        <v>0.05</v>
      </c>
      <c r="J441" s="38">
        <f t="shared" si="30"/>
        <v>19533</v>
      </c>
      <c r="K441" s="55" t="str">
        <f t="shared" si="31"/>
        <v>Venta Grande</v>
      </c>
      <c r="L441" s="58" t="str">
        <f>VLOOKUP(D441, AUXILIAR!$A$2:$B$16, 2, 0)</f>
        <v>LG Electronics</v>
      </c>
      <c r="M441" s="54" t="str">
        <f t="shared" si="35"/>
        <v>Prioridad Media</v>
      </c>
      <c r="N441" s="54" t="str">
        <f>VLOOKUP(E441, AUXILIAR!$E$2:$F$4, 2, FALSE)</f>
        <v>ALM-03</v>
      </c>
    </row>
    <row r="442" spans="1:14" ht="15.75" thickBot="1" x14ac:dyDescent="0.3">
      <c r="A442" s="35">
        <v>158</v>
      </c>
      <c r="B442" s="36">
        <v>45449</v>
      </c>
      <c r="C442" s="35" t="s">
        <v>12</v>
      </c>
      <c r="D442" s="35" t="s">
        <v>26</v>
      </c>
      <c r="E442" s="35" t="s">
        <v>18</v>
      </c>
      <c r="F442" s="35" t="s">
        <v>36</v>
      </c>
      <c r="G442" s="35">
        <v>14</v>
      </c>
      <c r="H442" s="37">
        <v>1076</v>
      </c>
      <c r="I442" s="35">
        <v>0.12</v>
      </c>
      <c r="J442" s="38">
        <f t="shared" si="30"/>
        <v>15064</v>
      </c>
      <c r="K442" s="55" t="str">
        <f t="shared" si="31"/>
        <v>Venta Grande</v>
      </c>
      <c r="L442" s="58" t="str">
        <f>VLOOKUP(D442, AUXILIAR!$A$2:$B$16, 2, 0)</f>
        <v>Office Design</v>
      </c>
      <c r="M442" s="54" t="str">
        <f t="shared" si="35"/>
        <v>Prioridad Media</v>
      </c>
      <c r="N442" s="54" t="str">
        <f>VLOOKUP(E442, AUXILIAR!$E$2:$F$4, 2, FALSE)</f>
        <v>ALM-03</v>
      </c>
    </row>
    <row r="443" spans="1:14" ht="15.75" hidden="1" thickBot="1" x14ac:dyDescent="0.3">
      <c r="A443" s="28">
        <v>442</v>
      </c>
      <c r="B443" s="29">
        <v>45733</v>
      </c>
      <c r="C443" s="30" t="s">
        <v>11</v>
      </c>
      <c r="D443" s="31" t="s">
        <v>24</v>
      </c>
      <c r="E443" s="31" t="s">
        <v>16</v>
      </c>
      <c r="F443" s="31" t="s">
        <v>35</v>
      </c>
      <c r="G443" s="31">
        <v>6</v>
      </c>
      <c r="H443" s="32">
        <v>634</v>
      </c>
      <c r="I443" s="31">
        <v>0.14000000000000001</v>
      </c>
      <c r="J443" s="33">
        <f t="shared" si="30"/>
        <v>3804</v>
      </c>
      <c r="K443" s="34" t="str">
        <f t="shared" si="31"/>
        <v>Venta Normal</v>
      </c>
      <c r="L443" s="31" t="str">
        <f>VLOOKUP(D443, AUXILIAR!$A$2:$B$16, 2, 0)</f>
        <v>Samsung Oficial</v>
      </c>
      <c r="M443"/>
    </row>
    <row r="444" spans="1:14" ht="15.75" thickBot="1" x14ac:dyDescent="0.3">
      <c r="A444" s="35">
        <v>11</v>
      </c>
      <c r="B444" s="36">
        <v>45302</v>
      </c>
      <c r="C444" s="35" t="s">
        <v>10</v>
      </c>
      <c r="D444" s="35" t="s">
        <v>33</v>
      </c>
      <c r="E444" s="35" t="s">
        <v>16</v>
      </c>
      <c r="F444" s="35" t="s">
        <v>34</v>
      </c>
      <c r="G444" s="35">
        <v>14</v>
      </c>
      <c r="H444" s="37">
        <v>1073</v>
      </c>
      <c r="I444" s="35">
        <v>7.0000000000000007E-2</v>
      </c>
      <c r="J444" s="38">
        <f t="shared" si="30"/>
        <v>15022</v>
      </c>
      <c r="K444" s="55" t="str">
        <f t="shared" si="31"/>
        <v>Venta Grande</v>
      </c>
      <c r="L444" s="58" t="str">
        <f>VLOOKUP(D444, AUXILIAR!$A$2:$B$16, 2, 0)</f>
        <v>LG Electronics</v>
      </c>
      <c r="M444" s="54" t="str">
        <f>IF(AND(E444="Tecnología", J444&gt;20000), "Prioridad Alta", IF(J444&gt;5000, "Prioridad Media", "Prioridad Baja"))</f>
        <v>Prioridad Media</v>
      </c>
      <c r="N444" s="54" t="str">
        <f>VLOOKUP(E444, AUXILIAR!$E$2:$F$4, 2, FALSE)</f>
        <v>ALM-01</v>
      </c>
    </row>
    <row r="445" spans="1:14" ht="15.75" thickBot="1" x14ac:dyDescent="0.3">
      <c r="A445" s="35">
        <v>431</v>
      </c>
      <c r="B445" s="36">
        <v>45722</v>
      </c>
      <c r="C445" s="35" t="s">
        <v>10</v>
      </c>
      <c r="D445" s="35" t="s">
        <v>24</v>
      </c>
      <c r="E445" s="35" t="s">
        <v>16</v>
      </c>
      <c r="F445" s="35" t="s">
        <v>34</v>
      </c>
      <c r="G445" s="35">
        <v>13</v>
      </c>
      <c r="H445" s="37">
        <v>1073</v>
      </c>
      <c r="I445" s="35">
        <v>0.11</v>
      </c>
      <c r="J445" s="38">
        <f t="shared" si="30"/>
        <v>13949</v>
      </c>
      <c r="K445" s="55" t="str">
        <f t="shared" si="31"/>
        <v>Venta Grande</v>
      </c>
      <c r="L445" s="58" t="str">
        <f>VLOOKUP(D445, AUXILIAR!$A$2:$B$16, 2, 0)</f>
        <v>Samsung Oficial</v>
      </c>
      <c r="M445" s="54" t="str">
        <f>IF(AND(E445="Tecnología", J445&gt;20000), "Prioridad Alta", IF(J445&gt;5000, "Prioridad Media", "Prioridad Baja"))</f>
        <v>Prioridad Media</v>
      </c>
      <c r="N445" s="54" t="str">
        <f>VLOOKUP(E445, AUXILIAR!$E$2:$F$4, 2, FALSE)</f>
        <v>ALM-01</v>
      </c>
    </row>
    <row r="446" spans="1:14" ht="15.75" thickBot="1" x14ac:dyDescent="0.3">
      <c r="A446" s="35">
        <v>15</v>
      </c>
      <c r="B446" s="36">
        <v>45306</v>
      </c>
      <c r="C446" s="35" t="s">
        <v>14</v>
      </c>
      <c r="D446" s="35" t="s">
        <v>26</v>
      </c>
      <c r="E446" s="35" t="s">
        <v>18</v>
      </c>
      <c r="F446" s="35" t="s">
        <v>38</v>
      </c>
      <c r="G446" s="35">
        <v>14</v>
      </c>
      <c r="H446" s="37">
        <v>1060</v>
      </c>
      <c r="I446" s="35">
        <v>0.1</v>
      </c>
      <c r="J446" s="38">
        <f t="shared" si="30"/>
        <v>14840</v>
      </c>
      <c r="K446" s="55" t="str">
        <f t="shared" si="31"/>
        <v>Venta Grande</v>
      </c>
      <c r="L446" s="58" t="str">
        <f>VLOOKUP(D446, AUXILIAR!$A$2:$B$16, 2, 0)</f>
        <v>Office Design</v>
      </c>
      <c r="M446" s="54" t="str">
        <f>IF(AND(E446="Tecnología", J446&gt;20000), "Prioridad Alta", IF(J446&gt;5000, "Prioridad Media", "Prioridad Baja"))</f>
        <v>Prioridad Media</v>
      </c>
      <c r="N446" s="54" t="str">
        <f>VLOOKUP(E446, AUXILIAR!$E$2:$F$4, 2, FALSE)</f>
        <v>ALM-03</v>
      </c>
    </row>
    <row r="447" spans="1:14" ht="15.75" thickBot="1" x14ac:dyDescent="0.3">
      <c r="A447" s="35">
        <v>452</v>
      </c>
      <c r="B447" s="36">
        <v>45743</v>
      </c>
      <c r="C447" s="35" t="s">
        <v>11</v>
      </c>
      <c r="D447" s="35" t="s">
        <v>33</v>
      </c>
      <c r="E447" s="35" t="s">
        <v>16</v>
      </c>
      <c r="F447" s="35" t="s">
        <v>35</v>
      </c>
      <c r="G447" s="35">
        <v>17</v>
      </c>
      <c r="H447" s="37">
        <v>1058</v>
      </c>
      <c r="I447" s="35">
        <v>0.15</v>
      </c>
      <c r="J447" s="38">
        <f t="shared" si="30"/>
        <v>17986</v>
      </c>
      <c r="K447" s="55" t="str">
        <f t="shared" si="31"/>
        <v>Venta Grande</v>
      </c>
      <c r="L447" s="58" t="str">
        <f>VLOOKUP(D447, AUXILIAR!$A$2:$B$16, 2, 0)</f>
        <v>LG Electronics</v>
      </c>
      <c r="M447" s="54" t="str">
        <f>IF(AND(E447="Tecnología", J447&gt;20000), "Prioridad Alta", IF(J447&gt;5000, "Prioridad Media", "Prioridad Baja"))</f>
        <v>Prioridad Media</v>
      </c>
      <c r="N447" s="54" t="str">
        <f>VLOOKUP(E447, AUXILIAR!$E$2:$F$4, 2, FALSE)</f>
        <v>ALM-01</v>
      </c>
    </row>
    <row r="448" spans="1:14" ht="15.75" thickBot="1" x14ac:dyDescent="0.3">
      <c r="A448" s="35">
        <v>64</v>
      </c>
      <c r="B448" s="36">
        <v>45355</v>
      </c>
      <c r="C448" s="35" t="s">
        <v>13</v>
      </c>
      <c r="D448" s="35" t="s">
        <v>31</v>
      </c>
      <c r="E448" s="35" t="s">
        <v>17</v>
      </c>
      <c r="F448" s="35" t="s">
        <v>37</v>
      </c>
      <c r="G448" s="35">
        <v>14</v>
      </c>
      <c r="H448" s="37">
        <v>1055</v>
      </c>
      <c r="I448" s="35">
        <v>0.12</v>
      </c>
      <c r="J448" s="38">
        <f t="shared" si="30"/>
        <v>14770</v>
      </c>
      <c r="K448" s="55" t="str">
        <f t="shared" si="31"/>
        <v>Venta Grande</v>
      </c>
      <c r="L448" s="58" t="str">
        <f>VLOOKUP(D448, AUXILIAR!$A$2:$B$16, 2, 0)</f>
        <v>LG Electronics</v>
      </c>
      <c r="M448" s="54" t="str">
        <f>IF(AND(E448="Tecnología", J448&gt;20000), "Prioridad Alta", IF(J448&gt;5000, "Prioridad Media", "Prioridad Baja"))</f>
        <v>Prioridad Media</v>
      </c>
      <c r="N448" s="54" t="str">
        <f>VLOOKUP(E448, AUXILIAR!$E$2:$F$4, 2, FALSE)</f>
        <v>ALM-02</v>
      </c>
    </row>
    <row r="449" spans="1:14" ht="15.75" hidden="1" thickBot="1" x14ac:dyDescent="0.3">
      <c r="A449" s="28">
        <v>448</v>
      </c>
      <c r="B449" s="29">
        <v>45739</v>
      </c>
      <c r="C449" s="30" t="s">
        <v>12</v>
      </c>
      <c r="D449" s="31" t="s">
        <v>30</v>
      </c>
      <c r="E449" s="31" t="s">
        <v>16</v>
      </c>
      <c r="F449" s="31" t="s">
        <v>36</v>
      </c>
      <c r="G449" s="31">
        <v>13</v>
      </c>
      <c r="H449" s="32">
        <v>145</v>
      </c>
      <c r="I449" s="31">
        <v>0.03</v>
      </c>
      <c r="J449" s="33">
        <f t="shared" si="30"/>
        <v>1885</v>
      </c>
      <c r="K449" s="34" t="str">
        <f t="shared" si="31"/>
        <v>Venta Normal</v>
      </c>
      <c r="L449" s="31" t="str">
        <f>VLOOKUP(D449, AUXILIAR!$A$2:$B$16, 2, 0)</f>
        <v>Office Design</v>
      </c>
      <c r="M449"/>
    </row>
    <row r="450" spans="1:14" ht="15.75" thickBot="1" x14ac:dyDescent="0.3">
      <c r="A450" s="35">
        <v>226</v>
      </c>
      <c r="B450" s="36">
        <v>45517</v>
      </c>
      <c r="C450" s="35" t="s">
        <v>10</v>
      </c>
      <c r="D450" s="35" t="s">
        <v>28</v>
      </c>
      <c r="E450" s="35" t="s">
        <v>17</v>
      </c>
      <c r="F450" s="35" t="s">
        <v>34</v>
      </c>
      <c r="G450" s="35">
        <v>14</v>
      </c>
      <c r="H450" s="37">
        <v>1044</v>
      </c>
      <c r="I450" s="35">
        <v>0.15</v>
      </c>
      <c r="J450" s="38">
        <f t="shared" ref="J450:J503" si="36">G450*H450</f>
        <v>14616</v>
      </c>
      <c r="K450" s="55" t="str">
        <f t="shared" ref="K450:K503" si="37">IF(J450&gt;5000, "Venta Grande", "Venta Normal")</f>
        <v>Venta Grande</v>
      </c>
      <c r="L450" s="58" t="str">
        <f>VLOOKUP(D450, AUXILIAR!$A$2:$B$16, 2, 0)</f>
        <v>Samsung Oficial</v>
      </c>
      <c r="M450" s="54" t="str">
        <f t="shared" ref="M450:M455" si="38">IF(AND(E450="Tecnología", J450&gt;20000), "Prioridad Alta", IF(J450&gt;5000, "Prioridad Media", "Prioridad Baja"))</f>
        <v>Prioridad Media</v>
      </c>
      <c r="N450" s="54" t="str">
        <f>VLOOKUP(E450, AUXILIAR!$E$2:$F$4, 2, FALSE)</f>
        <v>ALM-02</v>
      </c>
    </row>
    <row r="451" spans="1:14" ht="15.75" thickBot="1" x14ac:dyDescent="0.3">
      <c r="A451" s="35">
        <v>250</v>
      </c>
      <c r="B451" s="36">
        <v>45541</v>
      </c>
      <c r="C451" s="35" t="s">
        <v>14</v>
      </c>
      <c r="D451" s="35" t="s">
        <v>30</v>
      </c>
      <c r="E451" s="35" t="s">
        <v>16</v>
      </c>
      <c r="F451" s="35" t="s">
        <v>38</v>
      </c>
      <c r="G451" s="35">
        <v>7</v>
      </c>
      <c r="H451" s="37">
        <v>1026</v>
      </c>
      <c r="I451" s="35">
        <v>0.03</v>
      </c>
      <c r="J451" s="38">
        <f t="shared" si="36"/>
        <v>7182</v>
      </c>
      <c r="K451" s="55" t="str">
        <f t="shared" si="37"/>
        <v>Venta Grande</v>
      </c>
      <c r="L451" s="58" t="str">
        <f>VLOOKUP(D451, AUXILIAR!$A$2:$B$16, 2, 0)</f>
        <v>Office Design</v>
      </c>
      <c r="M451" s="54" t="str">
        <f t="shared" si="38"/>
        <v>Prioridad Media</v>
      </c>
      <c r="N451" s="54" t="str">
        <f>VLOOKUP(E451, AUXILIAR!$E$2:$F$4, 2, FALSE)</f>
        <v>ALM-01</v>
      </c>
    </row>
    <row r="452" spans="1:14" ht="15.75" thickBot="1" x14ac:dyDescent="0.3">
      <c r="A452" s="35">
        <v>316</v>
      </c>
      <c r="B452" s="36">
        <v>45607</v>
      </c>
      <c r="C452" s="35" t="s">
        <v>10</v>
      </c>
      <c r="D452" s="35" t="s">
        <v>30</v>
      </c>
      <c r="E452" s="35" t="s">
        <v>16</v>
      </c>
      <c r="F452" s="35" t="s">
        <v>34</v>
      </c>
      <c r="G452" s="35">
        <v>16</v>
      </c>
      <c r="H452" s="37">
        <v>1012</v>
      </c>
      <c r="I452" s="35">
        <v>0.05</v>
      </c>
      <c r="J452" s="38">
        <f t="shared" si="36"/>
        <v>16192</v>
      </c>
      <c r="K452" s="55" t="str">
        <f t="shared" si="37"/>
        <v>Venta Grande</v>
      </c>
      <c r="L452" s="58" t="str">
        <f>VLOOKUP(D452, AUXILIAR!$A$2:$B$16, 2, 0)</f>
        <v>Office Design</v>
      </c>
      <c r="M452" s="54" t="str">
        <f t="shared" si="38"/>
        <v>Prioridad Media</v>
      </c>
      <c r="N452" s="54" t="str">
        <f>VLOOKUP(E452, AUXILIAR!$E$2:$F$4, 2, FALSE)</f>
        <v>ALM-01</v>
      </c>
    </row>
    <row r="453" spans="1:14" ht="15.75" thickBot="1" x14ac:dyDescent="0.3">
      <c r="A453" s="35">
        <v>118</v>
      </c>
      <c r="B453" s="36">
        <v>45409</v>
      </c>
      <c r="C453" s="35" t="s">
        <v>12</v>
      </c>
      <c r="D453" s="35" t="s">
        <v>30</v>
      </c>
      <c r="E453" s="35" t="s">
        <v>16</v>
      </c>
      <c r="F453" s="35" t="s">
        <v>36</v>
      </c>
      <c r="G453" s="35">
        <v>18</v>
      </c>
      <c r="H453" s="37">
        <v>1005</v>
      </c>
      <c r="I453" s="35">
        <v>0.05</v>
      </c>
      <c r="J453" s="38">
        <f t="shared" si="36"/>
        <v>18090</v>
      </c>
      <c r="K453" s="55" t="str">
        <f t="shared" si="37"/>
        <v>Venta Grande</v>
      </c>
      <c r="L453" s="58" t="str">
        <f>VLOOKUP(D453, AUXILIAR!$A$2:$B$16, 2, 0)</f>
        <v>Office Design</v>
      </c>
      <c r="M453" s="54" t="str">
        <f t="shared" si="38"/>
        <v>Prioridad Media</v>
      </c>
      <c r="N453" s="54" t="str">
        <f>VLOOKUP(E453, AUXILIAR!$E$2:$F$4, 2, FALSE)</f>
        <v>ALM-01</v>
      </c>
    </row>
    <row r="454" spans="1:14" ht="15.75" thickBot="1" x14ac:dyDescent="0.3">
      <c r="A454" s="35">
        <v>479</v>
      </c>
      <c r="B454" s="36">
        <v>45770</v>
      </c>
      <c r="C454" s="35" t="s">
        <v>13</v>
      </c>
      <c r="D454" s="35" t="s">
        <v>28</v>
      </c>
      <c r="E454" s="35" t="s">
        <v>17</v>
      </c>
      <c r="F454" s="35" t="s">
        <v>37</v>
      </c>
      <c r="G454" s="35">
        <v>20</v>
      </c>
      <c r="H454" s="37">
        <v>981</v>
      </c>
      <c r="I454" s="35">
        <v>0.08</v>
      </c>
      <c r="J454" s="38">
        <f t="shared" si="36"/>
        <v>19620</v>
      </c>
      <c r="K454" s="55" t="str">
        <f t="shared" si="37"/>
        <v>Venta Grande</v>
      </c>
      <c r="L454" s="58" t="str">
        <f>VLOOKUP(D454, AUXILIAR!$A$2:$B$16, 2, 0)</f>
        <v>Samsung Oficial</v>
      </c>
      <c r="M454" s="54" t="str">
        <f t="shared" si="38"/>
        <v>Prioridad Media</v>
      </c>
      <c r="N454" s="54" t="str">
        <f>VLOOKUP(E454, AUXILIAR!$E$2:$F$4, 2, FALSE)</f>
        <v>ALM-02</v>
      </c>
    </row>
    <row r="455" spans="1:14" ht="15.75" thickBot="1" x14ac:dyDescent="0.3">
      <c r="A455" s="35">
        <v>66</v>
      </c>
      <c r="B455" s="36">
        <v>45357</v>
      </c>
      <c r="C455" s="35" t="s">
        <v>10</v>
      </c>
      <c r="D455" s="35" t="s">
        <v>33</v>
      </c>
      <c r="E455" s="35" t="s">
        <v>16</v>
      </c>
      <c r="F455" s="35" t="s">
        <v>34</v>
      </c>
      <c r="G455" s="35">
        <v>16</v>
      </c>
      <c r="H455" s="37">
        <v>974</v>
      </c>
      <c r="I455" s="35">
        <v>0.05</v>
      </c>
      <c r="J455" s="38">
        <f t="shared" si="36"/>
        <v>15584</v>
      </c>
      <c r="K455" s="55" t="str">
        <f t="shared" si="37"/>
        <v>Venta Grande</v>
      </c>
      <c r="L455" s="58" t="str">
        <f>VLOOKUP(D455, AUXILIAR!$A$2:$B$16, 2, 0)</f>
        <v>LG Electronics</v>
      </c>
      <c r="M455" s="54" t="str">
        <f t="shared" si="38"/>
        <v>Prioridad Media</v>
      </c>
      <c r="N455" s="54" t="str">
        <f>VLOOKUP(E455, AUXILIAR!$E$2:$F$4, 2, FALSE)</f>
        <v>ALM-01</v>
      </c>
    </row>
    <row r="456" spans="1:14" ht="15.75" hidden="1" thickBot="1" x14ac:dyDescent="0.3">
      <c r="A456" s="28">
        <v>455</v>
      </c>
      <c r="B456" s="29">
        <v>45746</v>
      </c>
      <c r="C456" s="30" t="s">
        <v>14</v>
      </c>
      <c r="D456" s="31" t="s">
        <v>26</v>
      </c>
      <c r="E456" s="31" t="s">
        <v>18</v>
      </c>
      <c r="F456" s="31" t="s">
        <v>38</v>
      </c>
      <c r="G456" s="31">
        <v>17</v>
      </c>
      <c r="H456" s="32">
        <v>111</v>
      </c>
      <c r="I456" s="31">
        <v>0.04</v>
      </c>
      <c r="J456" s="33">
        <f t="shared" si="36"/>
        <v>1887</v>
      </c>
      <c r="K456" s="34" t="str">
        <f t="shared" si="37"/>
        <v>Venta Normal</v>
      </c>
      <c r="L456" s="31" t="str">
        <f>VLOOKUP(D456, AUXILIAR!$A$2:$B$16, 2, 0)</f>
        <v>Office Design</v>
      </c>
      <c r="M456"/>
    </row>
    <row r="457" spans="1:14" ht="15.75" thickBot="1" x14ac:dyDescent="0.3">
      <c r="A457" s="35">
        <v>173</v>
      </c>
      <c r="B457" s="36">
        <v>45464</v>
      </c>
      <c r="C457" s="35" t="s">
        <v>12</v>
      </c>
      <c r="D457" s="35" t="s">
        <v>30</v>
      </c>
      <c r="E457" s="35" t="s">
        <v>16</v>
      </c>
      <c r="F457" s="35" t="s">
        <v>36</v>
      </c>
      <c r="G457" s="35">
        <v>18</v>
      </c>
      <c r="H457" s="37">
        <v>968</v>
      </c>
      <c r="I457" s="35">
        <v>0.02</v>
      </c>
      <c r="J457" s="38">
        <f t="shared" si="36"/>
        <v>17424</v>
      </c>
      <c r="K457" s="55" t="str">
        <f t="shared" si="37"/>
        <v>Venta Grande</v>
      </c>
      <c r="L457" s="58" t="str">
        <f>VLOOKUP(D457, AUXILIAR!$A$2:$B$16, 2, 0)</f>
        <v>Office Design</v>
      </c>
      <c r="M457" s="54" t="str">
        <f t="shared" ref="M457:M463" si="39">IF(AND(E457="Tecnología", J457&gt;20000), "Prioridad Alta", IF(J457&gt;5000, "Prioridad Media", "Prioridad Baja"))</f>
        <v>Prioridad Media</v>
      </c>
      <c r="N457" s="54" t="str">
        <f>VLOOKUP(E457, AUXILIAR!$E$2:$F$4, 2, FALSE)</f>
        <v>ALM-01</v>
      </c>
    </row>
    <row r="458" spans="1:14" ht="15.75" thickBot="1" x14ac:dyDescent="0.3">
      <c r="A458" s="35">
        <v>215</v>
      </c>
      <c r="B458" s="36">
        <v>45506</v>
      </c>
      <c r="C458" s="35" t="s">
        <v>14</v>
      </c>
      <c r="D458" s="35" t="s">
        <v>28</v>
      </c>
      <c r="E458" s="35" t="s">
        <v>17</v>
      </c>
      <c r="F458" s="35" t="s">
        <v>38</v>
      </c>
      <c r="G458" s="35">
        <v>12</v>
      </c>
      <c r="H458" s="37">
        <v>960</v>
      </c>
      <c r="I458" s="35">
        <v>0.09</v>
      </c>
      <c r="J458" s="38">
        <f t="shared" si="36"/>
        <v>11520</v>
      </c>
      <c r="K458" s="55" t="str">
        <f t="shared" si="37"/>
        <v>Venta Grande</v>
      </c>
      <c r="L458" s="58" t="str">
        <f>VLOOKUP(D458, AUXILIAR!$A$2:$B$16, 2, 0)</f>
        <v>Samsung Oficial</v>
      </c>
      <c r="M458" s="54" t="str">
        <f t="shared" si="39"/>
        <v>Prioridad Media</v>
      </c>
      <c r="N458" s="54" t="str">
        <f>VLOOKUP(E458, AUXILIAR!$E$2:$F$4, 2, FALSE)</f>
        <v>ALM-02</v>
      </c>
    </row>
    <row r="459" spans="1:14" ht="15.75" thickBot="1" x14ac:dyDescent="0.3">
      <c r="A459" s="35">
        <v>280</v>
      </c>
      <c r="B459" s="36">
        <v>45571</v>
      </c>
      <c r="C459" s="35" t="s">
        <v>14</v>
      </c>
      <c r="D459" s="35" t="s">
        <v>27</v>
      </c>
      <c r="E459" s="35" t="s">
        <v>16</v>
      </c>
      <c r="F459" s="35" t="s">
        <v>38</v>
      </c>
      <c r="G459" s="35">
        <v>9</v>
      </c>
      <c r="H459" s="37">
        <v>936</v>
      </c>
      <c r="I459" s="35">
        <v>0.08</v>
      </c>
      <c r="J459" s="38">
        <f t="shared" si="36"/>
        <v>8424</v>
      </c>
      <c r="K459" s="55" t="str">
        <f t="shared" si="37"/>
        <v>Venta Grande</v>
      </c>
      <c r="L459" s="58" t="str">
        <f>VLOOKUP(D459, AUXILIAR!$A$2:$B$16, 2, 0)</f>
        <v>LG Electronics</v>
      </c>
      <c r="M459" s="54" t="str">
        <f t="shared" si="39"/>
        <v>Prioridad Media</v>
      </c>
      <c r="N459" s="54" t="str">
        <f>VLOOKUP(E459, AUXILIAR!$E$2:$F$4, 2, FALSE)</f>
        <v>ALM-01</v>
      </c>
    </row>
    <row r="460" spans="1:14" ht="15.75" thickBot="1" x14ac:dyDescent="0.3">
      <c r="A460" s="35">
        <v>430</v>
      </c>
      <c r="B460" s="36">
        <v>45721</v>
      </c>
      <c r="C460" s="35" t="s">
        <v>14</v>
      </c>
      <c r="D460" s="35" t="s">
        <v>33</v>
      </c>
      <c r="E460" s="35" t="s">
        <v>16</v>
      </c>
      <c r="F460" s="35" t="s">
        <v>38</v>
      </c>
      <c r="G460" s="35">
        <v>19</v>
      </c>
      <c r="H460" s="37">
        <v>936</v>
      </c>
      <c r="I460" s="35">
        <v>0.11</v>
      </c>
      <c r="J460" s="38">
        <f t="shared" si="36"/>
        <v>17784</v>
      </c>
      <c r="K460" s="55" t="str">
        <f t="shared" si="37"/>
        <v>Venta Grande</v>
      </c>
      <c r="L460" s="58" t="str">
        <f>VLOOKUP(D460, AUXILIAR!$A$2:$B$16, 2, 0)</f>
        <v>LG Electronics</v>
      </c>
      <c r="M460" s="54" t="str">
        <f t="shared" si="39"/>
        <v>Prioridad Media</v>
      </c>
      <c r="N460" s="54" t="str">
        <f>VLOOKUP(E460, AUXILIAR!$E$2:$F$4, 2, FALSE)</f>
        <v>ALM-01</v>
      </c>
    </row>
    <row r="461" spans="1:14" ht="15.75" thickBot="1" x14ac:dyDescent="0.3">
      <c r="A461" s="35">
        <v>340</v>
      </c>
      <c r="B461" s="36">
        <v>45631</v>
      </c>
      <c r="C461" s="35" t="s">
        <v>14</v>
      </c>
      <c r="D461" s="35" t="s">
        <v>32</v>
      </c>
      <c r="E461" s="35" t="s">
        <v>18</v>
      </c>
      <c r="F461" s="35" t="s">
        <v>38</v>
      </c>
      <c r="G461" s="35">
        <v>12</v>
      </c>
      <c r="H461" s="37">
        <v>921</v>
      </c>
      <c r="I461" s="35">
        <v>0.06</v>
      </c>
      <c r="J461" s="38">
        <f t="shared" si="36"/>
        <v>11052</v>
      </c>
      <c r="K461" s="55" t="str">
        <f t="shared" si="37"/>
        <v>Venta Grande</v>
      </c>
      <c r="L461" s="58" t="str">
        <f>VLOOKUP(D461, AUXILIAR!$A$2:$B$16, 2, 0)</f>
        <v>Samsung Oficial</v>
      </c>
      <c r="M461" s="54" t="str">
        <f t="shared" si="39"/>
        <v>Prioridad Media</v>
      </c>
      <c r="N461" s="54" t="str">
        <f>VLOOKUP(E461, AUXILIAR!$E$2:$F$4, 2, FALSE)</f>
        <v>ALM-03</v>
      </c>
    </row>
    <row r="462" spans="1:14" ht="15.75" thickBot="1" x14ac:dyDescent="0.3">
      <c r="A462" s="35">
        <v>252</v>
      </c>
      <c r="B462" s="36">
        <v>45543</v>
      </c>
      <c r="C462" s="35" t="s">
        <v>11</v>
      </c>
      <c r="D462" s="35" t="s">
        <v>32</v>
      </c>
      <c r="E462" s="35" t="s">
        <v>18</v>
      </c>
      <c r="F462" s="35" t="s">
        <v>35</v>
      </c>
      <c r="G462" s="35">
        <v>9</v>
      </c>
      <c r="H462" s="37">
        <v>917</v>
      </c>
      <c r="I462" s="35">
        <v>0.02</v>
      </c>
      <c r="J462" s="38">
        <f t="shared" si="36"/>
        <v>8253</v>
      </c>
      <c r="K462" s="55" t="str">
        <f t="shared" si="37"/>
        <v>Venta Grande</v>
      </c>
      <c r="L462" s="58" t="str">
        <f>VLOOKUP(D462, AUXILIAR!$A$2:$B$16, 2, 0)</f>
        <v>Samsung Oficial</v>
      </c>
      <c r="M462" s="54" t="str">
        <f t="shared" si="39"/>
        <v>Prioridad Media</v>
      </c>
      <c r="N462" s="54" t="str">
        <f>VLOOKUP(E462, AUXILIAR!$E$2:$F$4, 2, FALSE)</f>
        <v>ALM-03</v>
      </c>
    </row>
    <row r="463" spans="1:14" ht="15.75" thickBot="1" x14ac:dyDescent="0.3">
      <c r="A463" s="35">
        <v>286</v>
      </c>
      <c r="B463" s="36">
        <v>45577</v>
      </c>
      <c r="C463" s="35" t="s">
        <v>10</v>
      </c>
      <c r="D463" s="35" t="s">
        <v>33</v>
      </c>
      <c r="E463" s="35" t="s">
        <v>16</v>
      </c>
      <c r="F463" s="35" t="s">
        <v>34</v>
      </c>
      <c r="G463" s="35">
        <v>9</v>
      </c>
      <c r="H463" s="37">
        <v>906</v>
      </c>
      <c r="I463" s="35">
        <v>0.04</v>
      </c>
      <c r="J463" s="38">
        <f t="shared" si="36"/>
        <v>8154</v>
      </c>
      <c r="K463" s="55" t="str">
        <f t="shared" si="37"/>
        <v>Venta Grande</v>
      </c>
      <c r="L463" s="58" t="str">
        <f>VLOOKUP(D463, AUXILIAR!$A$2:$B$16, 2, 0)</f>
        <v>LG Electronics</v>
      </c>
      <c r="M463" s="54" t="str">
        <f t="shared" si="39"/>
        <v>Prioridad Media</v>
      </c>
      <c r="N463" s="54" t="str">
        <f>VLOOKUP(E463, AUXILIAR!$E$2:$F$4, 2, FALSE)</f>
        <v>ALM-01</v>
      </c>
    </row>
    <row r="464" spans="1:14" ht="15.75" hidden="1" thickBot="1" x14ac:dyDescent="0.3">
      <c r="A464" s="21">
        <v>463</v>
      </c>
      <c r="B464" s="22">
        <v>45754</v>
      </c>
      <c r="C464" s="23" t="s">
        <v>12</v>
      </c>
      <c r="D464" s="24" t="s">
        <v>33</v>
      </c>
      <c r="E464" s="24" t="s">
        <v>16</v>
      </c>
      <c r="F464" s="24" t="s">
        <v>36</v>
      </c>
      <c r="G464" s="24">
        <v>2</v>
      </c>
      <c r="H464" s="25">
        <v>2047</v>
      </c>
      <c r="I464" s="24">
        <v>0.05</v>
      </c>
      <c r="J464" s="26">
        <f t="shared" si="36"/>
        <v>4094</v>
      </c>
      <c r="K464" s="27" t="str">
        <f t="shared" si="37"/>
        <v>Venta Normal</v>
      </c>
      <c r="L464" s="24" t="str">
        <f>VLOOKUP(D464, AUXILIAR!$A$2:$B$16, 2, 0)</f>
        <v>LG Electronics</v>
      </c>
      <c r="M464"/>
    </row>
    <row r="465" spans="1:14" ht="15.75" hidden="1" thickBot="1" x14ac:dyDescent="0.3">
      <c r="A465" s="16">
        <v>464</v>
      </c>
      <c r="B465" s="17">
        <v>45755</v>
      </c>
      <c r="C465" s="15" t="s">
        <v>13</v>
      </c>
      <c r="D465" s="18" t="s">
        <v>24</v>
      </c>
      <c r="E465" s="18" t="s">
        <v>16</v>
      </c>
      <c r="F465" s="18" t="s">
        <v>37</v>
      </c>
      <c r="G465" s="18">
        <v>2</v>
      </c>
      <c r="H465" s="19">
        <v>1011</v>
      </c>
      <c r="I465" s="18">
        <v>0.08</v>
      </c>
      <c r="J465" s="20">
        <f t="shared" si="36"/>
        <v>2022</v>
      </c>
      <c r="K465" s="14" t="str">
        <f t="shared" si="37"/>
        <v>Venta Normal</v>
      </c>
      <c r="L465" s="18" t="str">
        <f>VLOOKUP(D465, AUXILIAR!$A$2:$B$16, 2, 0)</f>
        <v>Samsung Oficial</v>
      </c>
      <c r="M465"/>
    </row>
    <row r="466" spans="1:14" ht="15.75" thickBot="1" x14ac:dyDescent="0.3">
      <c r="A466" s="35">
        <v>153</v>
      </c>
      <c r="B466" s="36">
        <v>45444</v>
      </c>
      <c r="C466" s="35" t="s">
        <v>12</v>
      </c>
      <c r="D466" s="35" t="s">
        <v>32</v>
      </c>
      <c r="E466" s="35" t="s">
        <v>18</v>
      </c>
      <c r="F466" s="35" t="s">
        <v>36</v>
      </c>
      <c r="G466" s="35">
        <v>6</v>
      </c>
      <c r="H466" s="37">
        <v>883</v>
      </c>
      <c r="I466" s="35">
        <v>0.06</v>
      </c>
      <c r="J466" s="38">
        <f t="shared" si="36"/>
        <v>5298</v>
      </c>
      <c r="K466" s="55" t="str">
        <f t="shared" si="37"/>
        <v>Venta Grande</v>
      </c>
      <c r="L466" s="58" t="str">
        <f>VLOOKUP(D466, AUXILIAR!$A$2:$B$16, 2, 0)</f>
        <v>Samsung Oficial</v>
      </c>
      <c r="M466" s="54" t="str">
        <f t="shared" ref="M466:M473" si="40">IF(AND(E466="Tecnología", J466&gt;20000), "Prioridad Alta", IF(J466&gt;5000, "Prioridad Media", "Prioridad Baja"))</f>
        <v>Prioridad Media</v>
      </c>
      <c r="N466" s="54" t="str">
        <f>VLOOKUP(E466, AUXILIAR!$E$2:$F$4, 2, FALSE)</f>
        <v>ALM-03</v>
      </c>
    </row>
    <row r="467" spans="1:14" ht="15.75" thickBot="1" x14ac:dyDescent="0.3">
      <c r="A467" s="35">
        <v>451</v>
      </c>
      <c r="B467" s="36">
        <v>45742</v>
      </c>
      <c r="C467" s="35" t="s">
        <v>10</v>
      </c>
      <c r="D467" s="35" t="s">
        <v>33</v>
      </c>
      <c r="E467" s="35" t="s">
        <v>16</v>
      </c>
      <c r="F467" s="35" t="s">
        <v>34</v>
      </c>
      <c r="G467" s="35">
        <v>20</v>
      </c>
      <c r="H467" s="37">
        <v>848</v>
      </c>
      <c r="I467" s="35">
        <v>7.0000000000000007E-2</v>
      </c>
      <c r="J467" s="38">
        <f t="shared" si="36"/>
        <v>16960</v>
      </c>
      <c r="K467" s="55" t="str">
        <f t="shared" si="37"/>
        <v>Venta Grande</v>
      </c>
      <c r="L467" s="58" t="str">
        <f>VLOOKUP(D467, AUXILIAR!$A$2:$B$16, 2, 0)</f>
        <v>LG Electronics</v>
      </c>
      <c r="M467" s="54" t="str">
        <f t="shared" si="40"/>
        <v>Prioridad Media</v>
      </c>
      <c r="N467" s="54" t="str">
        <f>VLOOKUP(E467, AUXILIAR!$E$2:$F$4, 2, FALSE)</f>
        <v>ALM-01</v>
      </c>
    </row>
    <row r="468" spans="1:14" ht="15.75" thickBot="1" x14ac:dyDescent="0.3">
      <c r="A468" s="35">
        <v>29</v>
      </c>
      <c r="B468" s="36">
        <v>45320</v>
      </c>
      <c r="C468" s="35" t="s">
        <v>13</v>
      </c>
      <c r="D468" s="35" t="s">
        <v>29</v>
      </c>
      <c r="E468" s="35" t="s">
        <v>18</v>
      </c>
      <c r="F468" s="35" t="s">
        <v>37</v>
      </c>
      <c r="G468" s="35">
        <v>15</v>
      </c>
      <c r="H468" s="37">
        <v>845</v>
      </c>
      <c r="I468" s="35">
        <v>0.09</v>
      </c>
      <c r="J468" s="38">
        <f t="shared" si="36"/>
        <v>12675</v>
      </c>
      <c r="K468" s="55" t="str">
        <f t="shared" si="37"/>
        <v>Venta Grande</v>
      </c>
      <c r="L468" s="58" t="str">
        <f>VLOOKUP(D468, AUXILIAR!$A$2:$B$16, 2, 0)</f>
        <v>LG Electronics</v>
      </c>
      <c r="M468" s="54" t="str">
        <f t="shared" si="40"/>
        <v>Prioridad Media</v>
      </c>
      <c r="N468" s="54" t="str">
        <f>VLOOKUP(E468, AUXILIAR!$E$2:$F$4, 2, FALSE)</f>
        <v>ALM-03</v>
      </c>
    </row>
    <row r="469" spans="1:14" ht="15.75" thickBot="1" x14ac:dyDescent="0.3">
      <c r="A469" s="35">
        <v>481</v>
      </c>
      <c r="B469" s="36">
        <v>45772</v>
      </c>
      <c r="C469" s="35" t="s">
        <v>10</v>
      </c>
      <c r="D469" s="35" t="s">
        <v>30</v>
      </c>
      <c r="E469" s="35" t="s">
        <v>16</v>
      </c>
      <c r="F469" s="35" t="s">
        <v>34</v>
      </c>
      <c r="G469" s="35">
        <v>8</v>
      </c>
      <c r="H469" s="37">
        <v>844</v>
      </c>
      <c r="I469" s="35">
        <v>0.1</v>
      </c>
      <c r="J469" s="38">
        <f t="shared" si="36"/>
        <v>6752</v>
      </c>
      <c r="K469" s="55" t="str">
        <f t="shared" si="37"/>
        <v>Venta Grande</v>
      </c>
      <c r="L469" s="58" t="str">
        <f>VLOOKUP(D469, AUXILIAR!$A$2:$B$16, 2, 0)</f>
        <v>Office Design</v>
      </c>
      <c r="M469" s="54" t="str">
        <f t="shared" si="40"/>
        <v>Prioridad Media</v>
      </c>
      <c r="N469" s="54" t="str">
        <f>VLOOKUP(E469, AUXILIAR!$E$2:$F$4, 2, FALSE)</f>
        <v>ALM-01</v>
      </c>
    </row>
    <row r="470" spans="1:14" ht="15.75" thickBot="1" x14ac:dyDescent="0.3">
      <c r="A470" s="35">
        <v>357</v>
      </c>
      <c r="B470" s="36">
        <v>45648</v>
      </c>
      <c r="C470" s="35" t="s">
        <v>11</v>
      </c>
      <c r="D470" s="35" t="s">
        <v>27</v>
      </c>
      <c r="E470" s="35" t="s">
        <v>16</v>
      </c>
      <c r="F470" s="35" t="s">
        <v>35</v>
      </c>
      <c r="G470" s="35">
        <v>11</v>
      </c>
      <c r="H470" s="37">
        <v>830</v>
      </c>
      <c r="I470" s="35">
        <v>0.04</v>
      </c>
      <c r="J470" s="38">
        <f t="shared" si="36"/>
        <v>9130</v>
      </c>
      <c r="K470" s="55" t="str">
        <f t="shared" si="37"/>
        <v>Venta Grande</v>
      </c>
      <c r="L470" s="58" t="str">
        <f>VLOOKUP(D470, AUXILIAR!$A$2:$B$16, 2, 0)</f>
        <v>LG Electronics</v>
      </c>
      <c r="M470" s="54" t="str">
        <f t="shared" si="40"/>
        <v>Prioridad Media</v>
      </c>
      <c r="N470" s="54" t="str">
        <f>VLOOKUP(E470, AUXILIAR!$E$2:$F$4, 2, FALSE)</f>
        <v>ALM-01</v>
      </c>
    </row>
    <row r="471" spans="1:14" ht="15.75" thickBot="1" x14ac:dyDescent="0.3">
      <c r="A471" s="35">
        <v>338</v>
      </c>
      <c r="B471" s="36">
        <v>45629</v>
      </c>
      <c r="C471" s="35" t="s">
        <v>12</v>
      </c>
      <c r="D471" s="35" t="s">
        <v>30</v>
      </c>
      <c r="E471" s="35" t="s">
        <v>16</v>
      </c>
      <c r="F471" s="35" t="s">
        <v>36</v>
      </c>
      <c r="G471" s="35">
        <v>20</v>
      </c>
      <c r="H471" s="37">
        <v>821</v>
      </c>
      <c r="I471" s="35">
        <v>0.14000000000000001</v>
      </c>
      <c r="J471" s="38">
        <f t="shared" si="36"/>
        <v>16420</v>
      </c>
      <c r="K471" s="55" t="str">
        <f t="shared" si="37"/>
        <v>Venta Grande</v>
      </c>
      <c r="L471" s="58" t="str">
        <f>VLOOKUP(D471, AUXILIAR!$A$2:$B$16, 2, 0)</f>
        <v>Office Design</v>
      </c>
      <c r="M471" s="54" t="str">
        <f t="shared" si="40"/>
        <v>Prioridad Media</v>
      </c>
      <c r="N471" s="54" t="str">
        <f>VLOOKUP(E471, AUXILIAR!$E$2:$F$4, 2, FALSE)</f>
        <v>ALM-01</v>
      </c>
    </row>
    <row r="472" spans="1:14" ht="15.75" thickBot="1" x14ac:dyDescent="0.3">
      <c r="A472" s="35">
        <v>175</v>
      </c>
      <c r="B472" s="36">
        <v>45466</v>
      </c>
      <c r="C472" s="35" t="s">
        <v>14</v>
      </c>
      <c r="D472" s="35" t="s">
        <v>32</v>
      </c>
      <c r="E472" s="35" t="s">
        <v>18</v>
      </c>
      <c r="F472" s="35" t="s">
        <v>38</v>
      </c>
      <c r="G472" s="35">
        <v>10</v>
      </c>
      <c r="H472" s="37">
        <v>801</v>
      </c>
      <c r="I472" s="35">
        <v>0.08</v>
      </c>
      <c r="J472" s="38">
        <f t="shared" si="36"/>
        <v>8010</v>
      </c>
      <c r="K472" s="55" t="str">
        <f t="shared" si="37"/>
        <v>Venta Grande</v>
      </c>
      <c r="L472" s="58" t="str">
        <f>VLOOKUP(D472, AUXILIAR!$A$2:$B$16, 2, 0)</f>
        <v>Samsung Oficial</v>
      </c>
      <c r="M472" s="54" t="str">
        <f t="shared" si="40"/>
        <v>Prioridad Media</v>
      </c>
      <c r="N472" s="54" t="str">
        <f>VLOOKUP(E472, AUXILIAR!$E$2:$F$4, 2, FALSE)</f>
        <v>ALM-03</v>
      </c>
    </row>
    <row r="473" spans="1:14" ht="15.75" thickBot="1" x14ac:dyDescent="0.3">
      <c r="A473" s="35">
        <v>440</v>
      </c>
      <c r="B473" s="36">
        <v>45731</v>
      </c>
      <c r="C473" s="35" t="s">
        <v>14</v>
      </c>
      <c r="D473" s="35" t="s">
        <v>33</v>
      </c>
      <c r="E473" s="35" t="s">
        <v>16</v>
      </c>
      <c r="F473" s="35" t="s">
        <v>38</v>
      </c>
      <c r="G473" s="35">
        <v>20</v>
      </c>
      <c r="H473" s="37">
        <v>800</v>
      </c>
      <c r="I473" s="35">
        <v>0.04</v>
      </c>
      <c r="J473" s="38">
        <f t="shared" si="36"/>
        <v>16000</v>
      </c>
      <c r="K473" s="55" t="str">
        <f t="shared" si="37"/>
        <v>Venta Grande</v>
      </c>
      <c r="L473" s="58" t="str">
        <f>VLOOKUP(D473, AUXILIAR!$A$2:$B$16, 2, 0)</f>
        <v>LG Electronics</v>
      </c>
      <c r="M473" s="54" t="str">
        <f t="shared" si="40"/>
        <v>Prioridad Media</v>
      </c>
      <c r="N473" s="54" t="str">
        <f>VLOOKUP(E473, AUXILIAR!$E$2:$F$4, 2, FALSE)</f>
        <v>ALM-01</v>
      </c>
    </row>
    <row r="474" spans="1:14" ht="15.75" hidden="1" thickBot="1" x14ac:dyDescent="0.3">
      <c r="A474" s="28">
        <v>473</v>
      </c>
      <c r="B474" s="29">
        <v>45764</v>
      </c>
      <c r="C474" s="30" t="s">
        <v>12</v>
      </c>
      <c r="D474" s="31" t="s">
        <v>33</v>
      </c>
      <c r="E474" s="31" t="s">
        <v>16</v>
      </c>
      <c r="F474" s="31" t="s">
        <v>36</v>
      </c>
      <c r="G474" s="31">
        <v>4</v>
      </c>
      <c r="H474" s="32">
        <v>301</v>
      </c>
      <c r="I474" s="31">
        <v>0.08</v>
      </c>
      <c r="J474" s="33">
        <f t="shared" si="36"/>
        <v>1204</v>
      </c>
      <c r="K474" s="34" t="str">
        <f t="shared" si="37"/>
        <v>Venta Normal</v>
      </c>
      <c r="L474" s="31" t="str">
        <f>VLOOKUP(D474, AUXILIAR!$A$2:$B$16, 2, 0)</f>
        <v>LG Electronics</v>
      </c>
      <c r="M474"/>
    </row>
    <row r="475" spans="1:14" ht="15.75" thickBot="1" x14ac:dyDescent="0.3">
      <c r="A475" s="35">
        <v>222</v>
      </c>
      <c r="B475" s="36">
        <v>45513</v>
      </c>
      <c r="C475" s="35" t="s">
        <v>11</v>
      </c>
      <c r="D475" s="35" t="s">
        <v>24</v>
      </c>
      <c r="E475" s="35" t="s">
        <v>16</v>
      </c>
      <c r="F475" s="35" t="s">
        <v>35</v>
      </c>
      <c r="G475" s="35">
        <v>17</v>
      </c>
      <c r="H475" s="37">
        <v>788</v>
      </c>
      <c r="I475" s="35">
        <v>0.11</v>
      </c>
      <c r="J475" s="38">
        <f t="shared" si="36"/>
        <v>13396</v>
      </c>
      <c r="K475" s="55" t="str">
        <f t="shared" si="37"/>
        <v>Venta Grande</v>
      </c>
      <c r="L475" s="58" t="str">
        <f>VLOOKUP(D475, AUXILIAR!$A$2:$B$16, 2, 0)</f>
        <v>Samsung Oficial</v>
      </c>
      <c r="M475" s="54" t="str">
        <f>IF(AND(E475="Tecnología", J475&gt;20000), "Prioridad Alta", IF(J475&gt;5000, "Prioridad Media", "Prioridad Baja"))</f>
        <v>Prioridad Media</v>
      </c>
      <c r="N475" s="54" t="str">
        <f>VLOOKUP(E475, AUXILIAR!$E$2:$F$4, 2, FALSE)</f>
        <v>ALM-01</v>
      </c>
    </row>
    <row r="476" spans="1:14" ht="15.75" thickBot="1" x14ac:dyDescent="0.3">
      <c r="A476" s="35">
        <v>445</v>
      </c>
      <c r="B476" s="36">
        <v>45736</v>
      </c>
      <c r="C476" s="35" t="s">
        <v>14</v>
      </c>
      <c r="D476" s="35" t="s">
        <v>27</v>
      </c>
      <c r="E476" s="35" t="s">
        <v>16</v>
      </c>
      <c r="F476" s="35" t="s">
        <v>38</v>
      </c>
      <c r="G476" s="35">
        <v>14</v>
      </c>
      <c r="H476" s="37">
        <v>769</v>
      </c>
      <c r="I476" s="35">
        <v>0.15</v>
      </c>
      <c r="J476" s="38">
        <f t="shared" si="36"/>
        <v>10766</v>
      </c>
      <c r="K476" s="55" t="str">
        <f t="shared" si="37"/>
        <v>Venta Grande</v>
      </c>
      <c r="L476" s="58" t="str">
        <f>VLOOKUP(D476, AUXILIAR!$A$2:$B$16, 2, 0)</f>
        <v>LG Electronics</v>
      </c>
      <c r="M476" s="54" t="str">
        <f>IF(AND(E476="Tecnología", J476&gt;20000), "Prioridad Alta", IF(J476&gt;5000, "Prioridad Media", "Prioridad Baja"))</f>
        <v>Prioridad Media</v>
      </c>
      <c r="N476" s="54" t="str">
        <f>VLOOKUP(E476, AUXILIAR!$E$2:$F$4, 2, FALSE)</f>
        <v>ALM-01</v>
      </c>
    </row>
    <row r="477" spans="1:14" ht="15.75" hidden="1" thickBot="1" x14ac:dyDescent="0.3">
      <c r="A477" s="28">
        <v>476</v>
      </c>
      <c r="B477" s="29">
        <v>45767</v>
      </c>
      <c r="C477" s="30" t="s">
        <v>10</v>
      </c>
      <c r="D477" s="31" t="s">
        <v>25</v>
      </c>
      <c r="E477" s="31" t="s">
        <v>17</v>
      </c>
      <c r="F477" s="31" t="s">
        <v>34</v>
      </c>
      <c r="G477" s="31">
        <v>1</v>
      </c>
      <c r="H477" s="32">
        <v>983</v>
      </c>
      <c r="I477" s="31">
        <v>0.06</v>
      </c>
      <c r="J477" s="33">
        <f t="shared" si="36"/>
        <v>983</v>
      </c>
      <c r="K477" s="34" t="str">
        <f t="shared" si="37"/>
        <v>Venta Normal</v>
      </c>
      <c r="L477" s="31" t="str">
        <f>VLOOKUP(D477, AUXILIAR!$A$2:$B$16, 2, 0)</f>
        <v>LG Electronics</v>
      </c>
      <c r="M477"/>
    </row>
    <row r="478" spans="1:14" ht="15.75" thickBot="1" x14ac:dyDescent="0.3">
      <c r="A478" s="35">
        <v>443</v>
      </c>
      <c r="B478" s="36">
        <v>45734</v>
      </c>
      <c r="C478" s="35" t="s">
        <v>12</v>
      </c>
      <c r="D478" s="35" t="s">
        <v>25</v>
      </c>
      <c r="E478" s="35" t="s">
        <v>17</v>
      </c>
      <c r="F478" s="35" t="s">
        <v>36</v>
      </c>
      <c r="G478" s="35">
        <v>16</v>
      </c>
      <c r="H478" s="37">
        <v>748</v>
      </c>
      <c r="I478" s="35">
        <v>0.06</v>
      </c>
      <c r="J478" s="38">
        <f t="shared" si="36"/>
        <v>11968</v>
      </c>
      <c r="K478" s="55" t="str">
        <f t="shared" si="37"/>
        <v>Venta Grande</v>
      </c>
      <c r="L478" s="58" t="str">
        <f>VLOOKUP(D478, AUXILIAR!$A$2:$B$16, 2, 0)</f>
        <v>LG Electronics</v>
      </c>
      <c r="M478" s="54" t="str">
        <f>IF(AND(E478="Tecnología", J478&gt;20000), "Prioridad Alta", IF(J478&gt;5000, "Prioridad Media", "Prioridad Baja"))</f>
        <v>Prioridad Media</v>
      </c>
      <c r="N478" s="54" t="str">
        <f>VLOOKUP(E478, AUXILIAR!$E$2:$F$4, 2, FALSE)</f>
        <v>ALM-02</v>
      </c>
    </row>
    <row r="479" spans="1:14" ht="15.75" thickBot="1" x14ac:dyDescent="0.3">
      <c r="A479" s="35">
        <v>363</v>
      </c>
      <c r="B479" s="36">
        <v>45654</v>
      </c>
      <c r="C479" s="35" t="s">
        <v>12</v>
      </c>
      <c r="D479" s="35" t="s">
        <v>33</v>
      </c>
      <c r="E479" s="35" t="s">
        <v>16</v>
      </c>
      <c r="F479" s="35" t="s">
        <v>36</v>
      </c>
      <c r="G479" s="35">
        <v>20</v>
      </c>
      <c r="H479" s="37">
        <v>738</v>
      </c>
      <c r="I479" s="35">
        <v>0.11</v>
      </c>
      <c r="J479" s="38">
        <f t="shared" si="36"/>
        <v>14760</v>
      </c>
      <c r="K479" s="55" t="str">
        <f t="shared" si="37"/>
        <v>Venta Grande</v>
      </c>
      <c r="L479" s="58" t="str">
        <f>VLOOKUP(D479, AUXILIAR!$A$2:$B$16, 2, 0)</f>
        <v>LG Electronics</v>
      </c>
      <c r="M479" s="54" t="str">
        <f>IF(AND(E479="Tecnología", J479&gt;20000), "Prioridad Alta", IF(J479&gt;5000, "Prioridad Media", "Prioridad Baja"))</f>
        <v>Prioridad Media</v>
      </c>
      <c r="N479" s="54" t="str">
        <f>VLOOKUP(E479, AUXILIAR!$E$2:$F$4, 2, FALSE)</f>
        <v>ALM-01</v>
      </c>
    </row>
    <row r="480" spans="1:14" ht="15.75" thickBot="1" x14ac:dyDescent="0.3">
      <c r="A480" s="35">
        <v>244</v>
      </c>
      <c r="B480" s="36">
        <v>45535</v>
      </c>
      <c r="C480" s="35" t="s">
        <v>13</v>
      </c>
      <c r="D480" s="35" t="s">
        <v>24</v>
      </c>
      <c r="E480" s="35" t="s">
        <v>16</v>
      </c>
      <c r="F480" s="35" t="s">
        <v>37</v>
      </c>
      <c r="G480" s="35">
        <v>17</v>
      </c>
      <c r="H480" s="37">
        <v>724</v>
      </c>
      <c r="I480" s="35">
        <v>0.05</v>
      </c>
      <c r="J480" s="38">
        <f t="shared" si="36"/>
        <v>12308</v>
      </c>
      <c r="K480" s="55" t="str">
        <f t="shared" si="37"/>
        <v>Venta Grande</v>
      </c>
      <c r="L480" s="58" t="str">
        <f>VLOOKUP(D480, AUXILIAR!$A$2:$B$16, 2, 0)</f>
        <v>Samsung Oficial</v>
      </c>
      <c r="M480" s="54" t="str">
        <f>IF(AND(E480="Tecnología", J480&gt;20000), "Prioridad Alta", IF(J480&gt;5000, "Prioridad Media", "Prioridad Baja"))</f>
        <v>Prioridad Media</v>
      </c>
      <c r="N480" s="54" t="str">
        <f>VLOOKUP(E480, AUXILIAR!$E$2:$F$4, 2, FALSE)</f>
        <v>ALM-01</v>
      </c>
    </row>
    <row r="481" spans="1:14" ht="15.75" hidden="1" thickBot="1" x14ac:dyDescent="0.3">
      <c r="A481" s="28">
        <v>480</v>
      </c>
      <c r="B481" s="29">
        <v>45771</v>
      </c>
      <c r="C481" s="30" t="s">
        <v>14</v>
      </c>
      <c r="D481" s="31" t="s">
        <v>29</v>
      </c>
      <c r="E481" s="31" t="s">
        <v>18</v>
      </c>
      <c r="F481" s="31" t="s">
        <v>38</v>
      </c>
      <c r="G481" s="31">
        <v>3</v>
      </c>
      <c r="H481" s="32">
        <v>1014</v>
      </c>
      <c r="I481" s="31">
        <v>0.06</v>
      </c>
      <c r="J481" s="33">
        <f t="shared" si="36"/>
        <v>3042</v>
      </c>
      <c r="K481" s="34" t="str">
        <f t="shared" si="37"/>
        <v>Venta Normal</v>
      </c>
      <c r="L481" s="31" t="str">
        <f>VLOOKUP(D481, AUXILIAR!$A$2:$B$16, 2, 0)</f>
        <v>LG Electronics</v>
      </c>
      <c r="M481"/>
    </row>
    <row r="482" spans="1:14" ht="15.75" thickBot="1" x14ac:dyDescent="0.3">
      <c r="A482" s="35">
        <v>484</v>
      </c>
      <c r="B482" s="36">
        <v>45775</v>
      </c>
      <c r="C482" s="35" t="s">
        <v>13</v>
      </c>
      <c r="D482" s="35" t="s">
        <v>33</v>
      </c>
      <c r="E482" s="35" t="s">
        <v>16</v>
      </c>
      <c r="F482" s="35" t="s">
        <v>37</v>
      </c>
      <c r="G482" s="35">
        <v>14</v>
      </c>
      <c r="H482" s="37">
        <v>701</v>
      </c>
      <c r="I482" s="35">
        <v>0.12</v>
      </c>
      <c r="J482" s="38">
        <f t="shared" si="36"/>
        <v>9814</v>
      </c>
      <c r="K482" s="55" t="str">
        <f t="shared" si="37"/>
        <v>Venta Grande</v>
      </c>
      <c r="L482" s="58" t="str">
        <f>VLOOKUP(D482, AUXILIAR!$A$2:$B$16, 2, 0)</f>
        <v>LG Electronics</v>
      </c>
      <c r="M482" s="54" t="str">
        <f t="shared" ref="M482:M495" si="41">IF(AND(E482="Tecnología", J482&gt;20000), "Prioridad Alta", IF(J482&gt;5000, "Prioridad Media", "Prioridad Baja"))</f>
        <v>Prioridad Media</v>
      </c>
      <c r="N482" s="54" t="str">
        <f>VLOOKUP(E482, AUXILIAR!$E$2:$F$4, 2, FALSE)</f>
        <v>ALM-01</v>
      </c>
    </row>
    <row r="483" spans="1:14" ht="15.75" thickBot="1" x14ac:dyDescent="0.3">
      <c r="A483" s="35">
        <v>177</v>
      </c>
      <c r="B483" s="36">
        <v>45468</v>
      </c>
      <c r="C483" s="35" t="s">
        <v>11</v>
      </c>
      <c r="D483" s="35" t="s">
        <v>33</v>
      </c>
      <c r="E483" s="35" t="s">
        <v>16</v>
      </c>
      <c r="F483" s="35" t="s">
        <v>35</v>
      </c>
      <c r="G483" s="35">
        <v>9</v>
      </c>
      <c r="H483" s="37">
        <v>700</v>
      </c>
      <c r="I483" s="35">
        <v>0.04</v>
      </c>
      <c r="J483" s="38">
        <f t="shared" si="36"/>
        <v>6300</v>
      </c>
      <c r="K483" s="55" t="str">
        <f t="shared" si="37"/>
        <v>Venta Grande</v>
      </c>
      <c r="L483" s="58" t="str">
        <f>VLOOKUP(D483, AUXILIAR!$A$2:$B$16, 2, 0)</f>
        <v>LG Electronics</v>
      </c>
      <c r="M483" s="54" t="str">
        <f t="shared" si="41"/>
        <v>Prioridad Media</v>
      </c>
      <c r="N483" s="54" t="str">
        <f>VLOOKUP(E483, AUXILIAR!$E$2:$F$4, 2, FALSE)</f>
        <v>ALM-01</v>
      </c>
    </row>
    <row r="484" spans="1:14" ht="15.75" thickBot="1" x14ac:dyDescent="0.3">
      <c r="A484" s="35">
        <v>89</v>
      </c>
      <c r="B484" s="36">
        <v>45380</v>
      </c>
      <c r="C484" s="35" t="s">
        <v>13</v>
      </c>
      <c r="D484" s="35" t="s">
        <v>33</v>
      </c>
      <c r="E484" s="35" t="s">
        <v>16</v>
      </c>
      <c r="F484" s="35" t="s">
        <v>37</v>
      </c>
      <c r="G484" s="35">
        <v>9</v>
      </c>
      <c r="H484" s="37">
        <v>675</v>
      </c>
      <c r="I484" s="35">
        <v>0.01</v>
      </c>
      <c r="J484" s="38">
        <f t="shared" si="36"/>
        <v>6075</v>
      </c>
      <c r="K484" s="55" t="str">
        <f t="shared" si="37"/>
        <v>Venta Grande</v>
      </c>
      <c r="L484" s="58" t="str">
        <f>VLOOKUP(D484, AUXILIAR!$A$2:$B$16, 2, 0)</f>
        <v>LG Electronics</v>
      </c>
      <c r="M484" s="54" t="str">
        <f t="shared" si="41"/>
        <v>Prioridad Media</v>
      </c>
      <c r="N484" s="54" t="str">
        <f>VLOOKUP(E484, AUXILIAR!$E$2:$F$4, 2, FALSE)</f>
        <v>ALM-01</v>
      </c>
    </row>
    <row r="485" spans="1:14" ht="15.75" thickBot="1" x14ac:dyDescent="0.3">
      <c r="A485" s="35">
        <v>61</v>
      </c>
      <c r="B485" s="36">
        <v>45352</v>
      </c>
      <c r="C485" s="35" t="s">
        <v>10</v>
      </c>
      <c r="D485" s="35" t="s">
        <v>28</v>
      </c>
      <c r="E485" s="35" t="s">
        <v>17</v>
      </c>
      <c r="F485" s="35" t="s">
        <v>34</v>
      </c>
      <c r="G485" s="35">
        <v>15</v>
      </c>
      <c r="H485" s="37">
        <v>639</v>
      </c>
      <c r="I485" s="35">
        <v>0.12</v>
      </c>
      <c r="J485" s="38">
        <f t="shared" si="36"/>
        <v>9585</v>
      </c>
      <c r="K485" s="55" t="str">
        <f t="shared" si="37"/>
        <v>Venta Grande</v>
      </c>
      <c r="L485" s="58" t="str">
        <f>VLOOKUP(D485, AUXILIAR!$A$2:$B$16, 2, 0)</f>
        <v>Samsung Oficial</v>
      </c>
      <c r="M485" s="54" t="str">
        <f t="shared" si="41"/>
        <v>Prioridad Media</v>
      </c>
      <c r="N485" s="54" t="str">
        <f>VLOOKUP(E485, AUXILIAR!$E$2:$F$4, 2, FALSE)</f>
        <v>ALM-02</v>
      </c>
    </row>
    <row r="486" spans="1:14" ht="15.75" thickBot="1" x14ac:dyDescent="0.3">
      <c r="A486" s="35">
        <v>132</v>
      </c>
      <c r="B486" s="36">
        <v>45423</v>
      </c>
      <c r="C486" s="35" t="s">
        <v>11</v>
      </c>
      <c r="D486" s="35" t="s">
        <v>33</v>
      </c>
      <c r="E486" s="35" t="s">
        <v>16</v>
      </c>
      <c r="F486" s="35" t="s">
        <v>35</v>
      </c>
      <c r="G486" s="35">
        <v>15</v>
      </c>
      <c r="H486" s="37">
        <v>636</v>
      </c>
      <c r="I486" s="35">
        <v>0.01</v>
      </c>
      <c r="J486" s="38">
        <f t="shared" si="36"/>
        <v>9540</v>
      </c>
      <c r="K486" s="55" t="str">
        <f t="shared" si="37"/>
        <v>Venta Grande</v>
      </c>
      <c r="L486" s="58" t="str">
        <f>VLOOKUP(D486, AUXILIAR!$A$2:$B$16, 2, 0)</f>
        <v>LG Electronics</v>
      </c>
      <c r="M486" s="54" t="str">
        <f t="shared" si="41"/>
        <v>Prioridad Media</v>
      </c>
      <c r="N486" s="54" t="str">
        <f>VLOOKUP(E486, AUXILIAR!$E$2:$F$4, 2, FALSE)</f>
        <v>ALM-01</v>
      </c>
    </row>
    <row r="487" spans="1:14" ht="15.75" thickBot="1" x14ac:dyDescent="0.3">
      <c r="A487" s="35">
        <v>369</v>
      </c>
      <c r="B487" s="36">
        <v>45660</v>
      </c>
      <c r="C487" s="35" t="s">
        <v>13</v>
      </c>
      <c r="D487" s="35" t="s">
        <v>28</v>
      </c>
      <c r="E487" s="35" t="s">
        <v>17</v>
      </c>
      <c r="F487" s="35" t="s">
        <v>37</v>
      </c>
      <c r="G487" s="35">
        <v>18</v>
      </c>
      <c r="H487" s="37">
        <v>635</v>
      </c>
      <c r="I487" s="35">
        <v>0.1</v>
      </c>
      <c r="J487" s="38">
        <f t="shared" si="36"/>
        <v>11430</v>
      </c>
      <c r="K487" s="55" t="str">
        <f t="shared" si="37"/>
        <v>Venta Grande</v>
      </c>
      <c r="L487" s="58" t="str">
        <f>VLOOKUP(D487, AUXILIAR!$A$2:$B$16, 2, 0)</f>
        <v>Samsung Oficial</v>
      </c>
      <c r="M487" s="54" t="str">
        <f t="shared" si="41"/>
        <v>Prioridad Media</v>
      </c>
      <c r="N487" s="54" t="str">
        <f>VLOOKUP(E487, AUXILIAR!$E$2:$F$4, 2, FALSE)</f>
        <v>ALM-02</v>
      </c>
    </row>
    <row r="488" spans="1:14" ht="15.75" thickBot="1" x14ac:dyDescent="0.3">
      <c r="A488" s="35">
        <v>230</v>
      </c>
      <c r="B488" s="36">
        <v>45521</v>
      </c>
      <c r="C488" s="35" t="s">
        <v>14</v>
      </c>
      <c r="D488" s="35" t="s">
        <v>32</v>
      </c>
      <c r="E488" s="35" t="s">
        <v>18</v>
      </c>
      <c r="F488" s="35" t="s">
        <v>38</v>
      </c>
      <c r="G488" s="35">
        <v>11</v>
      </c>
      <c r="H488" s="37">
        <v>597</v>
      </c>
      <c r="I488" s="35">
        <v>0.06</v>
      </c>
      <c r="J488" s="38">
        <f t="shared" si="36"/>
        <v>6567</v>
      </c>
      <c r="K488" s="55" t="str">
        <f t="shared" si="37"/>
        <v>Venta Grande</v>
      </c>
      <c r="L488" s="58" t="str">
        <f>VLOOKUP(D488, AUXILIAR!$A$2:$B$16, 2, 0)</f>
        <v>Samsung Oficial</v>
      </c>
      <c r="M488" s="54" t="str">
        <f t="shared" si="41"/>
        <v>Prioridad Media</v>
      </c>
      <c r="N488" s="54" t="str">
        <f>VLOOKUP(E488, AUXILIAR!$E$2:$F$4, 2, FALSE)</f>
        <v>ALM-03</v>
      </c>
    </row>
    <row r="489" spans="1:14" ht="15.75" thickBot="1" x14ac:dyDescent="0.3">
      <c r="A489" s="35">
        <v>384</v>
      </c>
      <c r="B489" s="36">
        <v>45675</v>
      </c>
      <c r="C489" s="35" t="s">
        <v>13</v>
      </c>
      <c r="D489" s="35" t="s">
        <v>32</v>
      </c>
      <c r="E489" s="35" t="s">
        <v>18</v>
      </c>
      <c r="F489" s="35" t="s">
        <v>37</v>
      </c>
      <c r="G489" s="35">
        <v>11</v>
      </c>
      <c r="H489" s="37">
        <v>543</v>
      </c>
      <c r="I489" s="35">
        <v>0.03</v>
      </c>
      <c r="J489" s="38">
        <f t="shared" si="36"/>
        <v>5973</v>
      </c>
      <c r="K489" s="55" t="str">
        <f t="shared" si="37"/>
        <v>Venta Grande</v>
      </c>
      <c r="L489" s="58" t="str">
        <f>VLOOKUP(D489, AUXILIAR!$A$2:$B$16, 2, 0)</f>
        <v>Samsung Oficial</v>
      </c>
      <c r="M489" s="54" t="str">
        <f t="shared" si="41"/>
        <v>Prioridad Media</v>
      </c>
      <c r="N489" s="54" t="str">
        <f>VLOOKUP(E489, AUXILIAR!$E$2:$F$4, 2, FALSE)</f>
        <v>ALM-03</v>
      </c>
    </row>
    <row r="490" spans="1:14" ht="15.75" thickBot="1" x14ac:dyDescent="0.3">
      <c r="A490" s="35">
        <v>12</v>
      </c>
      <c r="B490" s="36">
        <v>45303</v>
      </c>
      <c r="C490" s="35" t="s">
        <v>11</v>
      </c>
      <c r="D490" s="35" t="s">
        <v>33</v>
      </c>
      <c r="E490" s="35" t="s">
        <v>16</v>
      </c>
      <c r="F490" s="35" t="s">
        <v>35</v>
      </c>
      <c r="G490" s="35">
        <v>16</v>
      </c>
      <c r="H490" s="37">
        <v>524</v>
      </c>
      <c r="I490" s="35">
        <v>0.09</v>
      </c>
      <c r="J490" s="38">
        <f t="shared" si="36"/>
        <v>8384</v>
      </c>
      <c r="K490" s="55" t="str">
        <f t="shared" si="37"/>
        <v>Venta Grande</v>
      </c>
      <c r="L490" s="58" t="str">
        <f>VLOOKUP(D490, AUXILIAR!$A$2:$B$16, 2, 0)</f>
        <v>LG Electronics</v>
      </c>
      <c r="M490" s="54" t="str">
        <f t="shared" si="41"/>
        <v>Prioridad Media</v>
      </c>
      <c r="N490" s="54" t="str">
        <f>VLOOKUP(E490, AUXILIAR!$E$2:$F$4, 2, FALSE)</f>
        <v>ALM-01</v>
      </c>
    </row>
    <row r="491" spans="1:14" ht="15.75" thickBot="1" x14ac:dyDescent="0.3">
      <c r="A491" s="35">
        <v>16</v>
      </c>
      <c r="B491" s="36">
        <v>45307</v>
      </c>
      <c r="C491" s="35" t="s">
        <v>10</v>
      </c>
      <c r="D491" s="35" t="s">
        <v>27</v>
      </c>
      <c r="E491" s="35" t="s">
        <v>16</v>
      </c>
      <c r="F491" s="35" t="s">
        <v>34</v>
      </c>
      <c r="G491" s="35">
        <v>11</v>
      </c>
      <c r="H491" s="37">
        <v>520</v>
      </c>
      <c r="I491" s="35">
        <v>0.15</v>
      </c>
      <c r="J491" s="38">
        <f t="shared" si="36"/>
        <v>5720</v>
      </c>
      <c r="K491" s="55" t="str">
        <f t="shared" si="37"/>
        <v>Venta Grande</v>
      </c>
      <c r="L491" s="58" t="str">
        <f>VLOOKUP(D491, AUXILIAR!$A$2:$B$16, 2, 0)</f>
        <v>LG Electronics</v>
      </c>
      <c r="M491" s="54" t="str">
        <f t="shared" si="41"/>
        <v>Prioridad Media</v>
      </c>
      <c r="N491" s="54" t="str">
        <f>VLOOKUP(E491, AUXILIAR!$E$2:$F$4, 2, FALSE)</f>
        <v>ALM-01</v>
      </c>
    </row>
    <row r="492" spans="1:14" ht="15.75" thickBot="1" x14ac:dyDescent="0.3">
      <c r="A492" s="35">
        <v>264</v>
      </c>
      <c r="B492" s="36">
        <v>45555</v>
      </c>
      <c r="C492" s="35" t="s">
        <v>13</v>
      </c>
      <c r="D492" s="35" t="s">
        <v>33</v>
      </c>
      <c r="E492" s="35" t="s">
        <v>16</v>
      </c>
      <c r="F492" s="35" t="s">
        <v>37</v>
      </c>
      <c r="G492" s="35">
        <v>15</v>
      </c>
      <c r="H492" s="37">
        <v>509</v>
      </c>
      <c r="I492" s="35">
        <v>0.04</v>
      </c>
      <c r="J492" s="38">
        <f t="shared" si="36"/>
        <v>7635</v>
      </c>
      <c r="K492" s="55" t="str">
        <f t="shared" si="37"/>
        <v>Venta Grande</v>
      </c>
      <c r="L492" s="58" t="str">
        <f>VLOOKUP(D492, AUXILIAR!$A$2:$B$16, 2, 0)</f>
        <v>LG Electronics</v>
      </c>
      <c r="M492" s="54" t="str">
        <f t="shared" si="41"/>
        <v>Prioridad Media</v>
      </c>
      <c r="N492" s="54" t="str">
        <f>VLOOKUP(E492, AUXILIAR!$E$2:$F$4, 2, FALSE)</f>
        <v>ALM-01</v>
      </c>
    </row>
    <row r="493" spans="1:14" ht="15.75" thickBot="1" x14ac:dyDescent="0.3">
      <c r="A493" s="35">
        <v>54</v>
      </c>
      <c r="B493" s="36">
        <v>45345</v>
      </c>
      <c r="C493" s="35" t="s">
        <v>13</v>
      </c>
      <c r="D493" s="35" t="s">
        <v>32</v>
      </c>
      <c r="E493" s="35" t="s">
        <v>18</v>
      </c>
      <c r="F493" s="35" t="s">
        <v>37</v>
      </c>
      <c r="G493" s="35">
        <v>14</v>
      </c>
      <c r="H493" s="37">
        <v>507</v>
      </c>
      <c r="I493" s="35">
        <v>0.08</v>
      </c>
      <c r="J493" s="38">
        <f t="shared" si="36"/>
        <v>7098</v>
      </c>
      <c r="K493" s="55" t="str">
        <f t="shared" si="37"/>
        <v>Venta Grande</v>
      </c>
      <c r="L493" s="58" t="str">
        <f>VLOOKUP(D493, AUXILIAR!$A$2:$B$16, 2, 0)</f>
        <v>Samsung Oficial</v>
      </c>
      <c r="M493" s="54" t="str">
        <f t="shared" si="41"/>
        <v>Prioridad Media</v>
      </c>
      <c r="N493" s="54" t="str">
        <f>VLOOKUP(E493, AUXILIAR!$E$2:$F$4, 2, FALSE)</f>
        <v>ALM-03</v>
      </c>
    </row>
    <row r="494" spans="1:14" ht="15.75" thickBot="1" x14ac:dyDescent="0.3">
      <c r="A494" s="35">
        <v>301</v>
      </c>
      <c r="B494" s="36">
        <v>45592</v>
      </c>
      <c r="C494" s="35" t="s">
        <v>10</v>
      </c>
      <c r="D494" s="35" t="s">
        <v>26</v>
      </c>
      <c r="E494" s="35" t="s">
        <v>18</v>
      </c>
      <c r="F494" s="35" t="s">
        <v>34</v>
      </c>
      <c r="G494" s="35">
        <v>14</v>
      </c>
      <c r="H494" s="37">
        <v>494</v>
      </c>
      <c r="I494" s="35">
        <v>7.0000000000000007E-2</v>
      </c>
      <c r="J494" s="38">
        <f t="shared" si="36"/>
        <v>6916</v>
      </c>
      <c r="K494" s="55" t="str">
        <f t="shared" si="37"/>
        <v>Venta Grande</v>
      </c>
      <c r="L494" s="58" t="str">
        <f>VLOOKUP(D494, AUXILIAR!$A$2:$B$16, 2, 0)</f>
        <v>Office Design</v>
      </c>
      <c r="M494" s="54" t="str">
        <f t="shared" si="41"/>
        <v>Prioridad Media</v>
      </c>
      <c r="N494" s="54" t="str">
        <f>VLOOKUP(E494, AUXILIAR!$E$2:$F$4, 2, FALSE)</f>
        <v>ALM-03</v>
      </c>
    </row>
    <row r="495" spans="1:14" ht="15.75" thickBot="1" x14ac:dyDescent="0.3">
      <c r="A495" s="35">
        <v>181</v>
      </c>
      <c r="B495" s="36">
        <v>45472</v>
      </c>
      <c r="C495" s="35" t="s">
        <v>10</v>
      </c>
      <c r="D495" s="35" t="s">
        <v>27</v>
      </c>
      <c r="E495" s="35" t="s">
        <v>16</v>
      </c>
      <c r="F495" s="35" t="s">
        <v>34</v>
      </c>
      <c r="G495" s="35">
        <v>18</v>
      </c>
      <c r="H495" s="37">
        <v>442</v>
      </c>
      <c r="I495" s="35">
        <v>0.02</v>
      </c>
      <c r="J495" s="38">
        <f t="shared" si="36"/>
        <v>7956</v>
      </c>
      <c r="K495" s="55" t="str">
        <f t="shared" si="37"/>
        <v>Venta Grande</v>
      </c>
      <c r="L495" s="58" t="str">
        <f>VLOOKUP(D495, AUXILIAR!$A$2:$B$16, 2, 0)</f>
        <v>LG Electronics</v>
      </c>
      <c r="M495" s="54" t="str">
        <f t="shared" si="41"/>
        <v>Prioridad Media</v>
      </c>
      <c r="N495" s="54" t="str">
        <f>VLOOKUP(E495, AUXILIAR!$E$2:$F$4, 2, FALSE)</f>
        <v>ALM-01</v>
      </c>
    </row>
    <row r="496" spans="1:14" ht="15.75" hidden="1" thickBot="1" x14ac:dyDescent="0.3">
      <c r="A496" s="28">
        <v>495</v>
      </c>
      <c r="B496" s="29">
        <v>45786</v>
      </c>
      <c r="C496" s="30" t="s">
        <v>14</v>
      </c>
      <c r="D496" s="31" t="s">
        <v>33</v>
      </c>
      <c r="E496" s="31" t="s">
        <v>16</v>
      </c>
      <c r="F496" s="31" t="s">
        <v>38</v>
      </c>
      <c r="G496" s="31">
        <v>2</v>
      </c>
      <c r="H496" s="32">
        <v>1183</v>
      </c>
      <c r="I496" s="31">
        <v>0.05</v>
      </c>
      <c r="J496" s="33">
        <f t="shared" si="36"/>
        <v>2366</v>
      </c>
      <c r="K496" s="34" t="str">
        <f t="shared" si="37"/>
        <v>Venta Normal</v>
      </c>
      <c r="L496" s="31" t="str">
        <f>VLOOKUP(D496, AUXILIAR!$A$2:$B$16, 2, 0)</f>
        <v>LG Electronics</v>
      </c>
      <c r="M496"/>
    </row>
    <row r="497" spans="1:14" ht="15.75" thickBot="1" x14ac:dyDescent="0.3">
      <c r="A497" s="35">
        <v>309</v>
      </c>
      <c r="B497" s="36">
        <v>45600</v>
      </c>
      <c r="C497" s="35" t="s">
        <v>13</v>
      </c>
      <c r="D497" s="35" t="s">
        <v>33</v>
      </c>
      <c r="E497" s="35" t="s">
        <v>16</v>
      </c>
      <c r="F497" s="35" t="s">
        <v>37</v>
      </c>
      <c r="G497" s="35">
        <v>19</v>
      </c>
      <c r="H497" s="37">
        <v>421</v>
      </c>
      <c r="I497" s="35">
        <v>0.04</v>
      </c>
      <c r="J497" s="38">
        <f t="shared" si="36"/>
        <v>7999</v>
      </c>
      <c r="K497" s="55" t="str">
        <f t="shared" si="37"/>
        <v>Venta Grande</v>
      </c>
      <c r="L497" s="58" t="str">
        <f>VLOOKUP(D497, AUXILIAR!$A$2:$B$16, 2, 0)</f>
        <v>LG Electronics</v>
      </c>
      <c r="M497" s="54" t="str">
        <f>IF(AND(E497="Tecnología", J497&gt;20000), "Prioridad Alta", IF(J497&gt;5000, "Prioridad Media", "Prioridad Baja"))</f>
        <v>Prioridad Media</v>
      </c>
      <c r="N497" s="54" t="str">
        <f>VLOOKUP(E497, AUXILIAR!$E$2:$F$4, 2, FALSE)</f>
        <v>ALM-01</v>
      </c>
    </row>
    <row r="498" spans="1:14" ht="15.75" thickBot="1" x14ac:dyDescent="0.3">
      <c r="A498" s="35">
        <v>234</v>
      </c>
      <c r="B498" s="36">
        <v>45525</v>
      </c>
      <c r="C498" s="35" t="s">
        <v>13</v>
      </c>
      <c r="D498" s="35" t="s">
        <v>25</v>
      </c>
      <c r="E498" s="35" t="s">
        <v>17</v>
      </c>
      <c r="F498" s="35" t="s">
        <v>37</v>
      </c>
      <c r="G498" s="35">
        <v>17</v>
      </c>
      <c r="H498" s="37">
        <v>400</v>
      </c>
      <c r="I498" s="35">
        <v>0.1</v>
      </c>
      <c r="J498" s="38">
        <f t="shared" si="36"/>
        <v>6800</v>
      </c>
      <c r="K498" s="55" t="str">
        <f t="shared" si="37"/>
        <v>Venta Grande</v>
      </c>
      <c r="L498" s="58" t="str">
        <f>VLOOKUP(D498, AUXILIAR!$A$2:$B$16, 2, 0)</f>
        <v>LG Electronics</v>
      </c>
      <c r="M498" s="54" t="str">
        <f>IF(AND(E498="Tecnología", J498&gt;20000), "Prioridad Alta", IF(J498&gt;5000, "Prioridad Media", "Prioridad Baja"))</f>
        <v>Prioridad Media</v>
      </c>
      <c r="N498" s="54" t="str">
        <f>VLOOKUP(E498, AUXILIAR!$E$2:$F$4, 2, FALSE)</f>
        <v>ALM-02</v>
      </c>
    </row>
    <row r="499" spans="1:14" ht="15.75" thickBot="1" x14ac:dyDescent="0.3">
      <c r="A499" s="35">
        <v>101</v>
      </c>
      <c r="B499" s="36">
        <v>45392</v>
      </c>
      <c r="C499" s="35" t="s">
        <v>10</v>
      </c>
      <c r="D499" s="35" t="s">
        <v>24</v>
      </c>
      <c r="E499" s="35" t="s">
        <v>16</v>
      </c>
      <c r="F499" s="35" t="s">
        <v>34</v>
      </c>
      <c r="G499" s="35">
        <v>15</v>
      </c>
      <c r="H499" s="37">
        <v>390</v>
      </c>
      <c r="I499" s="35">
        <v>0.06</v>
      </c>
      <c r="J499" s="38">
        <f t="shared" si="36"/>
        <v>5850</v>
      </c>
      <c r="K499" s="55" t="str">
        <f t="shared" si="37"/>
        <v>Venta Grande</v>
      </c>
      <c r="L499" s="58" t="str">
        <f>VLOOKUP(D499, AUXILIAR!$A$2:$B$16, 2, 0)</f>
        <v>Samsung Oficial</v>
      </c>
      <c r="M499" s="54" t="str">
        <f>IF(AND(E499="Tecnología", J499&gt;20000), "Prioridad Alta", IF(J499&gt;5000, "Prioridad Media", "Prioridad Baja"))</f>
        <v>Prioridad Media</v>
      </c>
      <c r="N499" s="54" t="str">
        <f>VLOOKUP(E499, AUXILIAR!$E$2:$F$4, 2, FALSE)</f>
        <v>ALM-01</v>
      </c>
    </row>
    <row r="500" spans="1:14" ht="15.75" thickBot="1" x14ac:dyDescent="0.3">
      <c r="A500" s="35">
        <v>380</v>
      </c>
      <c r="B500" s="36">
        <v>45671</v>
      </c>
      <c r="C500" s="35" t="s">
        <v>14</v>
      </c>
      <c r="D500" s="35" t="s">
        <v>28</v>
      </c>
      <c r="E500" s="35" t="s">
        <v>17</v>
      </c>
      <c r="F500" s="35" t="s">
        <v>38</v>
      </c>
      <c r="G500" s="35">
        <v>17</v>
      </c>
      <c r="H500" s="37">
        <v>389</v>
      </c>
      <c r="I500" s="35">
        <v>0.04</v>
      </c>
      <c r="J500" s="38">
        <f t="shared" si="36"/>
        <v>6613</v>
      </c>
      <c r="K500" s="55" t="str">
        <f t="shared" si="37"/>
        <v>Venta Grande</v>
      </c>
      <c r="L500" s="58" t="str">
        <f>VLOOKUP(D500, AUXILIAR!$A$2:$B$16, 2, 0)</f>
        <v>Samsung Oficial</v>
      </c>
      <c r="M500" s="54" t="str">
        <f>IF(AND(E500="Tecnología", J500&gt;20000), "Prioridad Alta", IF(J500&gt;5000, "Prioridad Media", "Prioridad Baja"))</f>
        <v>Prioridad Media</v>
      </c>
      <c r="N500" s="54" t="str">
        <f>VLOOKUP(E500, AUXILIAR!$E$2:$F$4, 2, FALSE)</f>
        <v>ALM-02</v>
      </c>
    </row>
    <row r="501" spans="1:14" ht="15.75" hidden="1" thickBot="1" x14ac:dyDescent="0.3">
      <c r="A501" s="31">
        <v>500</v>
      </c>
      <c r="B501" s="29">
        <v>45791</v>
      </c>
      <c r="C501" s="30" t="s">
        <v>14</v>
      </c>
      <c r="D501" s="31" t="s">
        <v>27</v>
      </c>
      <c r="E501" s="31" t="s">
        <v>16</v>
      </c>
      <c r="F501" s="31" t="s">
        <v>38</v>
      </c>
      <c r="G501" s="31">
        <v>2</v>
      </c>
      <c r="H501" s="32">
        <v>2199</v>
      </c>
      <c r="I501" s="31">
        <v>0.08</v>
      </c>
      <c r="J501" s="33">
        <f t="shared" si="36"/>
        <v>4398</v>
      </c>
      <c r="K501" s="34" t="str">
        <f t="shared" si="37"/>
        <v>Venta Normal</v>
      </c>
      <c r="L501" s="31" t="str">
        <f>VLOOKUP(D501, AUXILIAR!$A$2:$B$16, 2, 0)</f>
        <v>LG Electronics</v>
      </c>
      <c r="M501"/>
    </row>
    <row r="502" spans="1:14" ht="15.75" thickBot="1" x14ac:dyDescent="0.3">
      <c r="A502" s="35">
        <v>427</v>
      </c>
      <c r="B502" s="36">
        <v>45718</v>
      </c>
      <c r="C502" s="35" t="s">
        <v>11</v>
      </c>
      <c r="D502" s="35" t="s">
        <v>31</v>
      </c>
      <c r="E502" s="35" t="s">
        <v>17</v>
      </c>
      <c r="F502" s="35" t="s">
        <v>35</v>
      </c>
      <c r="G502" s="35">
        <v>14</v>
      </c>
      <c r="H502" s="37">
        <v>362</v>
      </c>
      <c r="I502" s="35">
        <v>0.13</v>
      </c>
      <c r="J502" s="38">
        <f t="shared" si="36"/>
        <v>5068</v>
      </c>
      <c r="K502" s="55" t="str">
        <f t="shared" si="37"/>
        <v>Venta Grande</v>
      </c>
      <c r="L502" s="58" t="str">
        <f>VLOOKUP(D502, AUXILIAR!$A$2:$B$16, 2, 0)</f>
        <v>LG Electronics</v>
      </c>
      <c r="M502" s="54" t="str">
        <f>IF(AND(E502="Tecnología", J502&gt;20000), "Prioridad Alta", IF(J502&gt;5000, "Prioridad Media", "Prioridad Baja"))</f>
        <v>Prioridad Media</v>
      </c>
      <c r="N502" s="54" t="str">
        <f>VLOOKUP(E502, AUXILIAR!$E$2:$F$4, 2, FALSE)</f>
        <v>ALM-02</v>
      </c>
    </row>
    <row r="503" spans="1:14" ht="15.75" thickBot="1" x14ac:dyDescent="0.3">
      <c r="A503" s="35">
        <v>389</v>
      </c>
      <c r="B503" s="36">
        <v>45680</v>
      </c>
      <c r="C503" s="35" t="s">
        <v>13</v>
      </c>
      <c r="D503" s="35" t="s">
        <v>26</v>
      </c>
      <c r="E503" s="35" t="s">
        <v>18</v>
      </c>
      <c r="F503" s="35" t="s">
        <v>37</v>
      </c>
      <c r="G503" s="35">
        <v>20</v>
      </c>
      <c r="H503" s="37">
        <v>360</v>
      </c>
      <c r="I503" s="35">
        <v>0.01</v>
      </c>
      <c r="J503" s="38">
        <f t="shared" si="36"/>
        <v>7200</v>
      </c>
      <c r="K503" s="55" t="str">
        <f t="shared" si="37"/>
        <v>Venta Grande</v>
      </c>
      <c r="L503" s="58" t="str">
        <f>VLOOKUP(D503, AUXILIAR!$A$2:$B$16, 2, 0)</f>
        <v>Office Design</v>
      </c>
      <c r="M503" s="54" t="str">
        <f>IF(AND(E503="Tecnología", J503&gt;20000), "Prioridad Alta", IF(J503&gt;5000, "Prioridad Media", "Prioridad Baja"))</f>
        <v>Prioridad Media</v>
      </c>
      <c r="N503" s="54" t="str">
        <f>VLOOKUP(E503, AUXILIAR!$E$2:$F$4, 2, FALSE)</f>
        <v>ALM-03</v>
      </c>
    </row>
    <row r="504" spans="1:14" ht="15.75" hidden="1" x14ac:dyDescent="0.25">
      <c r="B504"/>
      <c r="J504" s="12">
        <f>SUM(J2:J503)</f>
        <v>13564993</v>
      </c>
      <c r="M504"/>
    </row>
    <row r="505" spans="1:14" ht="15" x14ac:dyDescent="0.25">
      <c r="B505"/>
      <c r="M505"/>
    </row>
    <row r="506" spans="1:14" ht="15" x14ac:dyDescent="0.25">
      <c r="B506"/>
      <c r="M506"/>
    </row>
    <row r="507" spans="1:14" ht="15" x14ac:dyDescent="0.25">
      <c r="B507"/>
      <c r="M507"/>
    </row>
    <row r="508" spans="1:14" ht="15" x14ac:dyDescent="0.25">
      <c r="B508"/>
      <c r="M508"/>
    </row>
    <row r="509" spans="1:14" ht="15" x14ac:dyDescent="0.25">
      <c r="B509"/>
      <c r="M509"/>
    </row>
    <row r="510" spans="1:14" ht="15" x14ac:dyDescent="0.25">
      <c r="B510"/>
      <c r="M510"/>
    </row>
    <row r="511" spans="1:14" ht="15" x14ac:dyDescent="0.25">
      <c r="B511"/>
      <c r="M511"/>
    </row>
    <row r="512" spans="1:14" ht="15" x14ac:dyDescent="0.25">
      <c r="B512"/>
      <c r="M512"/>
    </row>
    <row r="513" spans="2:13" ht="15" x14ac:dyDescent="0.25">
      <c r="B513"/>
      <c r="M513"/>
    </row>
    <row r="514" spans="2:13" ht="15" x14ac:dyDescent="0.25">
      <c r="B514"/>
      <c r="M514"/>
    </row>
    <row r="515" spans="2:13" ht="15" x14ac:dyDescent="0.25">
      <c r="B515"/>
      <c r="M515"/>
    </row>
    <row r="516" spans="2:13" ht="15" x14ac:dyDescent="0.25">
      <c r="B516"/>
      <c r="M516"/>
    </row>
    <row r="517" spans="2:13" ht="15" x14ac:dyDescent="0.25">
      <c r="B517"/>
      <c r="M517"/>
    </row>
    <row r="518" spans="2:13" ht="15" x14ac:dyDescent="0.25">
      <c r="B518"/>
      <c r="M518"/>
    </row>
    <row r="519" spans="2:13" ht="15" x14ac:dyDescent="0.25">
      <c r="B519"/>
      <c r="M519"/>
    </row>
    <row r="520" spans="2:13" ht="15" x14ac:dyDescent="0.25">
      <c r="B520"/>
      <c r="M520"/>
    </row>
    <row r="521" spans="2:13" ht="15" x14ac:dyDescent="0.25">
      <c r="B521"/>
      <c r="M521"/>
    </row>
    <row r="522" spans="2:13" ht="15" x14ac:dyDescent="0.25">
      <c r="B522"/>
      <c r="M522"/>
    </row>
    <row r="523" spans="2:13" ht="15" x14ac:dyDescent="0.25">
      <c r="B523"/>
      <c r="M523"/>
    </row>
    <row r="524" spans="2:13" ht="15" x14ac:dyDescent="0.25">
      <c r="B524"/>
      <c r="M524"/>
    </row>
    <row r="525" spans="2:13" ht="15" x14ac:dyDescent="0.25">
      <c r="B525"/>
      <c r="M525"/>
    </row>
    <row r="526" spans="2:13" ht="15" x14ac:dyDescent="0.25">
      <c r="B526"/>
      <c r="M526"/>
    </row>
    <row r="527" spans="2:13" ht="15" x14ac:dyDescent="0.25">
      <c r="B527"/>
      <c r="M527"/>
    </row>
    <row r="528" spans="2:13" ht="15" x14ac:dyDescent="0.25">
      <c r="B528"/>
      <c r="M528"/>
    </row>
    <row r="529" spans="2:13" ht="15" x14ac:dyDescent="0.25">
      <c r="B529"/>
      <c r="M529"/>
    </row>
    <row r="530" spans="2:13" ht="15" x14ac:dyDescent="0.25">
      <c r="B530"/>
      <c r="M530"/>
    </row>
    <row r="531" spans="2:13" ht="15" x14ac:dyDescent="0.25">
      <c r="B531"/>
      <c r="M531"/>
    </row>
    <row r="532" spans="2:13" ht="15" x14ac:dyDescent="0.25">
      <c r="B532"/>
      <c r="M532"/>
    </row>
    <row r="533" spans="2:13" ht="15" x14ac:dyDescent="0.25">
      <c r="B533"/>
      <c r="M533"/>
    </row>
    <row r="534" spans="2:13" ht="15" x14ac:dyDescent="0.25">
      <c r="B534"/>
      <c r="M534"/>
    </row>
    <row r="535" spans="2:13" ht="15" x14ac:dyDescent="0.25">
      <c r="B535"/>
      <c r="M535"/>
    </row>
    <row r="536" spans="2:13" ht="15" x14ac:dyDescent="0.25">
      <c r="B536"/>
      <c r="M536"/>
    </row>
    <row r="537" spans="2:13" ht="15" x14ac:dyDescent="0.25">
      <c r="B537"/>
      <c r="M537"/>
    </row>
    <row r="538" spans="2:13" ht="15" x14ac:dyDescent="0.25">
      <c r="B538"/>
      <c r="M538"/>
    </row>
    <row r="539" spans="2:13" ht="15" x14ac:dyDescent="0.25">
      <c r="B539"/>
      <c r="M539"/>
    </row>
    <row r="540" spans="2:13" ht="15" x14ac:dyDescent="0.25">
      <c r="B540"/>
      <c r="M540"/>
    </row>
    <row r="541" spans="2:13" ht="15" x14ac:dyDescent="0.25">
      <c r="B541"/>
      <c r="M541"/>
    </row>
    <row r="542" spans="2:13" ht="15" x14ac:dyDescent="0.25">
      <c r="B542"/>
      <c r="M542"/>
    </row>
    <row r="543" spans="2:13" ht="15" x14ac:dyDescent="0.25">
      <c r="B543"/>
      <c r="M543"/>
    </row>
    <row r="544" spans="2:13" ht="15" x14ac:dyDescent="0.25">
      <c r="B544"/>
      <c r="M544"/>
    </row>
    <row r="545" spans="2:13" ht="15" x14ac:dyDescent="0.25">
      <c r="B545"/>
      <c r="M545"/>
    </row>
    <row r="546" spans="2:13" ht="15" x14ac:dyDescent="0.25">
      <c r="B546"/>
      <c r="M546"/>
    </row>
    <row r="547" spans="2:13" ht="15" x14ac:dyDescent="0.25">
      <c r="B547"/>
      <c r="M547"/>
    </row>
    <row r="548" spans="2:13" ht="15" x14ac:dyDescent="0.25">
      <c r="B548"/>
      <c r="M548"/>
    </row>
    <row r="549" spans="2:13" ht="15" x14ac:dyDescent="0.25">
      <c r="B549"/>
      <c r="M549"/>
    </row>
    <row r="550" spans="2:13" ht="15" x14ac:dyDescent="0.25">
      <c r="B550"/>
      <c r="M550"/>
    </row>
    <row r="551" spans="2:13" ht="15" x14ac:dyDescent="0.25">
      <c r="B551"/>
      <c r="M551"/>
    </row>
    <row r="552" spans="2:13" ht="15" x14ac:dyDescent="0.25">
      <c r="B552"/>
      <c r="M552"/>
    </row>
    <row r="553" spans="2:13" ht="15" x14ac:dyDescent="0.25">
      <c r="B553"/>
      <c r="M553"/>
    </row>
    <row r="554" spans="2:13" ht="15" x14ac:dyDescent="0.25">
      <c r="B554"/>
      <c r="M554"/>
    </row>
    <row r="555" spans="2:13" ht="15" x14ac:dyDescent="0.25">
      <c r="B555"/>
      <c r="M555"/>
    </row>
    <row r="556" spans="2:13" ht="15" x14ac:dyDescent="0.25">
      <c r="B556"/>
      <c r="M556"/>
    </row>
    <row r="557" spans="2:13" ht="15" x14ac:dyDescent="0.25">
      <c r="B557"/>
      <c r="M557"/>
    </row>
    <row r="558" spans="2:13" ht="15" x14ac:dyDescent="0.25">
      <c r="B558"/>
      <c r="M558"/>
    </row>
    <row r="559" spans="2:13" ht="15" x14ac:dyDescent="0.25">
      <c r="B559"/>
      <c r="M559"/>
    </row>
    <row r="560" spans="2:13" ht="15" x14ac:dyDescent="0.25">
      <c r="B560"/>
      <c r="M560"/>
    </row>
    <row r="561" spans="2:13" ht="15" x14ac:dyDescent="0.25">
      <c r="B561"/>
      <c r="M561"/>
    </row>
    <row r="562" spans="2:13" ht="15" x14ac:dyDescent="0.25">
      <c r="B562"/>
      <c r="M562"/>
    </row>
    <row r="563" spans="2:13" ht="15" x14ac:dyDescent="0.25">
      <c r="B563"/>
      <c r="M563"/>
    </row>
    <row r="564" spans="2:13" ht="15" x14ac:dyDescent="0.25">
      <c r="B564"/>
      <c r="M564"/>
    </row>
    <row r="565" spans="2:13" ht="15" x14ac:dyDescent="0.25">
      <c r="B565"/>
      <c r="M565"/>
    </row>
    <row r="566" spans="2:13" ht="15" x14ac:dyDescent="0.25">
      <c r="B566"/>
      <c r="M566"/>
    </row>
    <row r="567" spans="2:13" ht="15" x14ac:dyDescent="0.25">
      <c r="B567"/>
      <c r="M567"/>
    </row>
    <row r="568" spans="2:13" ht="15" x14ac:dyDescent="0.25">
      <c r="B568"/>
      <c r="M568"/>
    </row>
    <row r="569" spans="2:13" ht="15" x14ac:dyDescent="0.25">
      <c r="B569"/>
      <c r="M569"/>
    </row>
    <row r="570" spans="2:13" ht="15" x14ac:dyDescent="0.25">
      <c r="B570"/>
      <c r="M570"/>
    </row>
    <row r="571" spans="2:13" ht="15" x14ac:dyDescent="0.25">
      <c r="B571"/>
      <c r="M571"/>
    </row>
    <row r="572" spans="2:13" ht="15" x14ac:dyDescent="0.25">
      <c r="B572"/>
      <c r="M572"/>
    </row>
    <row r="573" spans="2:13" ht="15" x14ac:dyDescent="0.25">
      <c r="B573"/>
      <c r="M573"/>
    </row>
    <row r="574" spans="2:13" ht="15" x14ac:dyDescent="0.25">
      <c r="B574"/>
      <c r="M574"/>
    </row>
    <row r="575" spans="2:13" ht="15" x14ac:dyDescent="0.25">
      <c r="B575"/>
      <c r="M575"/>
    </row>
    <row r="576" spans="2:13" ht="15" x14ac:dyDescent="0.25">
      <c r="B576"/>
      <c r="M576"/>
    </row>
    <row r="577" spans="2:13" ht="15" x14ac:dyDescent="0.25">
      <c r="B577"/>
      <c r="M577"/>
    </row>
    <row r="578" spans="2:13" ht="15" x14ac:dyDescent="0.25">
      <c r="B578"/>
      <c r="M578"/>
    </row>
    <row r="579" spans="2:13" ht="15" x14ac:dyDescent="0.25">
      <c r="B579"/>
      <c r="M579"/>
    </row>
    <row r="580" spans="2:13" ht="15" x14ac:dyDescent="0.25">
      <c r="B580"/>
      <c r="M580"/>
    </row>
    <row r="581" spans="2:13" ht="15" x14ac:dyDescent="0.25">
      <c r="B581"/>
      <c r="M581"/>
    </row>
    <row r="582" spans="2:13" ht="15" x14ac:dyDescent="0.25">
      <c r="B582"/>
      <c r="M582"/>
    </row>
    <row r="583" spans="2:13" ht="15" x14ac:dyDescent="0.25">
      <c r="B583"/>
      <c r="M583"/>
    </row>
    <row r="584" spans="2:13" ht="15" x14ac:dyDescent="0.25">
      <c r="B584"/>
      <c r="M584"/>
    </row>
    <row r="585" spans="2:13" ht="15" x14ac:dyDescent="0.25">
      <c r="B585"/>
      <c r="M585"/>
    </row>
    <row r="586" spans="2:13" ht="15" x14ac:dyDescent="0.25">
      <c r="B586"/>
      <c r="M586"/>
    </row>
    <row r="587" spans="2:13" ht="15" x14ac:dyDescent="0.25">
      <c r="B587"/>
      <c r="M587"/>
    </row>
    <row r="588" spans="2:13" ht="15" x14ac:dyDescent="0.25">
      <c r="B588"/>
      <c r="M588"/>
    </row>
    <row r="589" spans="2:13" ht="15" x14ac:dyDescent="0.25">
      <c r="B589"/>
      <c r="M589"/>
    </row>
    <row r="590" spans="2:13" ht="15" x14ac:dyDescent="0.25">
      <c r="B590"/>
      <c r="M590"/>
    </row>
    <row r="591" spans="2:13" ht="15" x14ac:dyDescent="0.25">
      <c r="B591"/>
      <c r="M591"/>
    </row>
    <row r="592" spans="2:13" ht="15" x14ac:dyDescent="0.25">
      <c r="B592"/>
      <c r="M592"/>
    </row>
    <row r="593" spans="2:13" ht="15" x14ac:dyDescent="0.25">
      <c r="B593"/>
      <c r="M593"/>
    </row>
    <row r="594" spans="2:13" ht="15" x14ac:dyDescent="0.25">
      <c r="B594"/>
      <c r="M594"/>
    </row>
    <row r="595" spans="2:13" ht="15" x14ac:dyDescent="0.25">
      <c r="B595"/>
      <c r="M595"/>
    </row>
    <row r="596" spans="2:13" ht="15" x14ac:dyDescent="0.25">
      <c r="B596"/>
      <c r="M596"/>
    </row>
    <row r="597" spans="2:13" ht="15" x14ac:dyDescent="0.25">
      <c r="B597"/>
      <c r="M597"/>
    </row>
    <row r="598" spans="2:13" ht="15" x14ac:dyDescent="0.25">
      <c r="B598"/>
      <c r="M598"/>
    </row>
    <row r="599" spans="2:13" ht="15" x14ac:dyDescent="0.25">
      <c r="B599"/>
      <c r="M599"/>
    </row>
    <row r="600" spans="2:13" ht="15" x14ac:dyDescent="0.25">
      <c r="B600"/>
      <c r="M600"/>
    </row>
    <row r="601" spans="2:13" ht="15" x14ac:dyDescent="0.25">
      <c r="B601"/>
      <c r="M601"/>
    </row>
    <row r="602" spans="2:13" ht="15" x14ac:dyDescent="0.25">
      <c r="B602"/>
      <c r="M602"/>
    </row>
    <row r="603" spans="2:13" ht="15" x14ac:dyDescent="0.25">
      <c r="B603"/>
      <c r="M603"/>
    </row>
    <row r="604" spans="2:13" ht="15" x14ac:dyDescent="0.25">
      <c r="B604"/>
      <c r="M604"/>
    </row>
    <row r="605" spans="2:13" ht="15" x14ac:dyDescent="0.25">
      <c r="B605"/>
      <c r="M605"/>
    </row>
    <row r="606" spans="2:13" ht="15" x14ac:dyDescent="0.25">
      <c r="B606"/>
      <c r="M606"/>
    </row>
    <row r="607" spans="2:13" ht="15" x14ac:dyDescent="0.25">
      <c r="B607"/>
      <c r="M607"/>
    </row>
    <row r="608" spans="2:13" ht="15" x14ac:dyDescent="0.25">
      <c r="B608"/>
      <c r="M608"/>
    </row>
    <row r="609" spans="2:13" ht="15" x14ac:dyDescent="0.25">
      <c r="B609"/>
      <c r="M609"/>
    </row>
    <row r="610" spans="2:13" ht="15" x14ac:dyDescent="0.25">
      <c r="B610"/>
      <c r="M610"/>
    </row>
    <row r="611" spans="2:13" ht="15" x14ac:dyDescent="0.25">
      <c r="B611"/>
      <c r="M611"/>
    </row>
    <row r="612" spans="2:13" ht="15" x14ac:dyDescent="0.25">
      <c r="B612"/>
      <c r="M612"/>
    </row>
    <row r="613" spans="2:13" ht="15" x14ac:dyDescent="0.25">
      <c r="B613"/>
      <c r="M613"/>
    </row>
    <row r="614" spans="2:13" ht="15" x14ac:dyDescent="0.25">
      <c r="B614"/>
      <c r="M614"/>
    </row>
    <row r="615" spans="2:13" ht="15" x14ac:dyDescent="0.25">
      <c r="B615"/>
      <c r="M615"/>
    </row>
    <row r="616" spans="2:13" ht="15" x14ac:dyDescent="0.25">
      <c r="B616"/>
      <c r="M616"/>
    </row>
    <row r="617" spans="2:13" ht="15" x14ac:dyDescent="0.25">
      <c r="B617"/>
      <c r="M617"/>
    </row>
    <row r="618" spans="2:13" ht="15" x14ac:dyDescent="0.25">
      <c r="B618"/>
      <c r="M618"/>
    </row>
    <row r="619" spans="2:13" ht="15" x14ac:dyDescent="0.25">
      <c r="B619"/>
      <c r="M619"/>
    </row>
    <row r="620" spans="2:13" ht="15" x14ac:dyDescent="0.25">
      <c r="B620"/>
      <c r="M620"/>
    </row>
    <row r="621" spans="2:13" ht="15" x14ac:dyDescent="0.25">
      <c r="B621"/>
      <c r="M621"/>
    </row>
    <row r="622" spans="2:13" ht="15" x14ac:dyDescent="0.25">
      <c r="B622"/>
      <c r="M622"/>
    </row>
    <row r="623" spans="2:13" ht="15" x14ac:dyDescent="0.25">
      <c r="B623"/>
      <c r="M623"/>
    </row>
    <row r="624" spans="2:13" ht="15" x14ac:dyDescent="0.25">
      <c r="B624"/>
      <c r="M624"/>
    </row>
    <row r="625" spans="2:13" ht="15" x14ac:dyDescent="0.25">
      <c r="B625"/>
      <c r="M625"/>
    </row>
    <row r="626" spans="2:13" ht="15" x14ac:dyDescent="0.25">
      <c r="B626"/>
      <c r="M626"/>
    </row>
    <row r="627" spans="2:13" ht="15" x14ac:dyDescent="0.25">
      <c r="B627"/>
      <c r="M627"/>
    </row>
    <row r="628" spans="2:13" ht="15" x14ac:dyDescent="0.25">
      <c r="B628"/>
      <c r="M628"/>
    </row>
    <row r="629" spans="2:13" ht="15" x14ac:dyDescent="0.25">
      <c r="B629"/>
      <c r="M629"/>
    </row>
    <row r="630" spans="2:13" ht="15" x14ac:dyDescent="0.25">
      <c r="B630"/>
      <c r="M630"/>
    </row>
    <row r="631" spans="2:13" ht="15" x14ac:dyDescent="0.25">
      <c r="B631"/>
      <c r="M631"/>
    </row>
    <row r="632" spans="2:13" ht="15" x14ac:dyDescent="0.25">
      <c r="B632"/>
      <c r="M632"/>
    </row>
    <row r="633" spans="2:13" ht="15" x14ac:dyDescent="0.25">
      <c r="B633"/>
      <c r="M633"/>
    </row>
    <row r="634" spans="2:13" ht="15" x14ac:dyDescent="0.25">
      <c r="B634"/>
      <c r="M634"/>
    </row>
    <row r="635" spans="2:13" ht="15" x14ac:dyDescent="0.25">
      <c r="B635"/>
      <c r="M635"/>
    </row>
    <row r="636" spans="2:13" ht="15" x14ac:dyDescent="0.25">
      <c r="B636"/>
      <c r="M636"/>
    </row>
    <row r="637" spans="2:13" ht="15" x14ac:dyDescent="0.25">
      <c r="B637"/>
      <c r="M637"/>
    </row>
    <row r="638" spans="2:13" ht="15" x14ac:dyDescent="0.25">
      <c r="B638"/>
      <c r="M638"/>
    </row>
    <row r="639" spans="2:13" ht="15" x14ac:dyDescent="0.25">
      <c r="B639"/>
      <c r="M639"/>
    </row>
    <row r="640" spans="2:13" ht="15" x14ac:dyDescent="0.25">
      <c r="B640"/>
      <c r="M640"/>
    </row>
    <row r="641" spans="2:13" ht="15" x14ac:dyDescent="0.25">
      <c r="B641"/>
      <c r="M641"/>
    </row>
    <row r="642" spans="2:13" ht="15" x14ac:dyDescent="0.25">
      <c r="B642"/>
      <c r="M642"/>
    </row>
    <row r="643" spans="2:13" ht="15" x14ac:dyDescent="0.25">
      <c r="B643"/>
      <c r="M643"/>
    </row>
    <row r="644" spans="2:13" ht="15" x14ac:dyDescent="0.25">
      <c r="B644"/>
      <c r="M644"/>
    </row>
    <row r="645" spans="2:13" ht="15" x14ac:dyDescent="0.25">
      <c r="B645"/>
      <c r="M645"/>
    </row>
    <row r="646" spans="2:13" ht="15" x14ac:dyDescent="0.25">
      <c r="B646"/>
      <c r="M646"/>
    </row>
    <row r="647" spans="2:13" ht="15" x14ac:dyDescent="0.25">
      <c r="B647"/>
      <c r="M647"/>
    </row>
    <row r="648" spans="2:13" ht="15" x14ac:dyDescent="0.25">
      <c r="B648"/>
      <c r="M648"/>
    </row>
    <row r="649" spans="2:13" ht="15" x14ac:dyDescent="0.25">
      <c r="B649"/>
      <c r="M649"/>
    </row>
    <row r="650" spans="2:13" ht="15" x14ac:dyDescent="0.25">
      <c r="B650"/>
      <c r="M650"/>
    </row>
    <row r="651" spans="2:13" ht="15" x14ac:dyDescent="0.25">
      <c r="B651"/>
      <c r="M651"/>
    </row>
    <row r="652" spans="2:13" ht="15" x14ac:dyDescent="0.25">
      <c r="B652"/>
      <c r="M652"/>
    </row>
    <row r="653" spans="2:13" ht="15" x14ac:dyDescent="0.25">
      <c r="B653"/>
      <c r="M653"/>
    </row>
    <row r="654" spans="2:13" ht="15" x14ac:dyDescent="0.25">
      <c r="B654"/>
      <c r="M654"/>
    </row>
    <row r="655" spans="2:13" ht="15" x14ac:dyDescent="0.25">
      <c r="B655"/>
      <c r="M655"/>
    </row>
    <row r="656" spans="2:13" ht="15" x14ac:dyDescent="0.25">
      <c r="B656"/>
      <c r="M656"/>
    </row>
    <row r="657" spans="2:13" ht="15" x14ac:dyDescent="0.25">
      <c r="B657"/>
      <c r="M657"/>
    </row>
    <row r="658" spans="2:13" ht="15" x14ac:dyDescent="0.25">
      <c r="B658"/>
      <c r="M658"/>
    </row>
    <row r="659" spans="2:13" ht="15" x14ac:dyDescent="0.25">
      <c r="B659"/>
      <c r="M659"/>
    </row>
    <row r="660" spans="2:13" ht="15" x14ac:dyDescent="0.25">
      <c r="B660"/>
      <c r="M660"/>
    </row>
    <row r="661" spans="2:13" ht="15" x14ac:dyDescent="0.25">
      <c r="B661"/>
      <c r="M661"/>
    </row>
    <row r="662" spans="2:13" ht="15" x14ac:dyDescent="0.25">
      <c r="B662"/>
      <c r="M662"/>
    </row>
    <row r="663" spans="2:13" ht="15" x14ac:dyDescent="0.25">
      <c r="B663"/>
      <c r="M663"/>
    </row>
    <row r="664" spans="2:13" ht="15" x14ac:dyDescent="0.25">
      <c r="B664"/>
      <c r="M664"/>
    </row>
    <row r="665" spans="2:13" ht="15" x14ac:dyDescent="0.25">
      <c r="B665"/>
      <c r="M665"/>
    </row>
    <row r="666" spans="2:13" ht="15" x14ac:dyDescent="0.25">
      <c r="B666"/>
      <c r="M666"/>
    </row>
    <row r="667" spans="2:13" ht="15" x14ac:dyDescent="0.25">
      <c r="B667"/>
      <c r="M667"/>
    </row>
    <row r="668" spans="2:13" ht="15" x14ac:dyDescent="0.25">
      <c r="B668"/>
      <c r="M668"/>
    </row>
    <row r="669" spans="2:13" ht="15" x14ac:dyDescent="0.25">
      <c r="B669"/>
      <c r="M669"/>
    </row>
    <row r="670" spans="2:13" ht="15" x14ac:dyDescent="0.25">
      <c r="B670"/>
      <c r="M670"/>
    </row>
    <row r="671" spans="2:13" ht="15" x14ac:dyDescent="0.25">
      <c r="B671"/>
      <c r="M671"/>
    </row>
    <row r="672" spans="2:13" ht="15" x14ac:dyDescent="0.25">
      <c r="B672"/>
      <c r="M672"/>
    </row>
    <row r="673" spans="2:13" ht="15" x14ac:dyDescent="0.25">
      <c r="B673"/>
      <c r="M673"/>
    </row>
    <row r="674" spans="2:13" ht="15" x14ac:dyDescent="0.25">
      <c r="B674"/>
      <c r="M674"/>
    </row>
    <row r="675" spans="2:13" ht="15" x14ac:dyDescent="0.25">
      <c r="B675"/>
      <c r="M675"/>
    </row>
    <row r="676" spans="2:13" ht="15" x14ac:dyDescent="0.25">
      <c r="B676"/>
      <c r="M676"/>
    </row>
    <row r="677" spans="2:13" ht="15" x14ac:dyDescent="0.25">
      <c r="B677"/>
      <c r="M677"/>
    </row>
    <row r="678" spans="2:13" ht="15" x14ac:dyDescent="0.25">
      <c r="B678"/>
      <c r="M678"/>
    </row>
    <row r="679" spans="2:13" ht="15" x14ac:dyDescent="0.25">
      <c r="B679"/>
      <c r="M679"/>
    </row>
    <row r="680" spans="2:13" ht="15" x14ac:dyDescent="0.25">
      <c r="B680"/>
      <c r="M680"/>
    </row>
    <row r="681" spans="2:13" ht="15" x14ac:dyDescent="0.25">
      <c r="B681"/>
      <c r="M681"/>
    </row>
    <row r="682" spans="2:13" ht="15" x14ac:dyDescent="0.25">
      <c r="B682"/>
      <c r="M682"/>
    </row>
    <row r="683" spans="2:13" ht="15" x14ac:dyDescent="0.25">
      <c r="B683"/>
      <c r="M683"/>
    </row>
    <row r="684" spans="2:13" ht="15" x14ac:dyDescent="0.25">
      <c r="B684"/>
      <c r="M684"/>
    </row>
    <row r="685" spans="2:13" ht="15" x14ac:dyDescent="0.25">
      <c r="B685"/>
      <c r="M685"/>
    </row>
    <row r="686" spans="2:13" ht="15" x14ac:dyDescent="0.25">
      <c r="B686"/>
      <c r="M686"/>
    </row>
    <row r="687" spans="2:13" ht="15" x14ac:dyDescent="0.25">
      <c r="B687"/>
      <c r="M687"/>
    </row>
    <row r="688" spans="2:13" ht="15" x14ac:dyDescent="0.25">
      <c r="B688"/>
      <c r="M688"/>
    </row>
    <row r="689" spans="2:13" ht="15" x14ac:dyDescent="0.25">
      <c r="B689"/>
      <c r="M689"/>
    </row>
    <row r="690" spans="2:13" ht="15" x14ac:dyDescent="0.25">
      <c r="B690"/>
      <c r="M690"/>
    </row>
    <row r="691" spans="2:13" ht="15" x14ac:dyDescent="0.25">
      <c r="B691"/>
      <c r="M691"/>
    </row>
    <row r="692" spans="2:13" ht="15" x14ac:dyDescent="0.25">
      <c r="B692"/>
      <c r="M692"/>
    </row>
    <row r="693" spans="2:13" ht="15" x14ac:dyDescent="0.25">
      <c r="B693"/>
      <c r="M693"/>
    </row>
    <row r="694" spans="2:13" ht="15" x14ac:dyDescent="0.25">
      <c r="B694"/>
      <c r="M694"/>
    </row>
    <row r="695" spans="2:13" ht="15" x14ac:dyDescent="0.25">
      <c r="B695"/>
      <c r="M695"/>
    </row>
    <row r="696" spans="2:13" ht="15" x14ac:dyDescent="0.25">
      <c r="B696"/>
      <c r="M696"/>
    </row>
    <row r="697" spans="2:13" ht="15" x14ac:dyDescent="0.25">
      <c r="B697"/>
      <c r="M697"/>
    </row>
    <row r="698" spans="2:13" ht="15" x14ac:dyDescent="0.25">
      <c r="B698"/>
      <c r="M698"/>
    </row>
    <row r="699" spans="2:13" ht="15" x14ac:dyDescent="0.25">
      <c r="B699"/>
      <c r="M699"/>
    </row>
    <row r="700" spans="2:13" ht="15" x14ac:dyDescent="0.25">
      <c r="B700"/>
      <c r="M700"/>
    </row>
    <row r="701" spans="2:13" ht="15" x14ac:dyDescent="0.25">
      <c r="B701"/>
      <c r="M701"/>
    </row>
    <row r="702" spans="2:13" ht="15" x14ac:dyDescent="0.25">
      <c r="B702"/>
      <c r="M702"/>
    </row>
    <row r="703" spans="2:13" ht="15" x14ac:dyDescent="0.25">
      <c r="B703"/>
      <c r="M703"/>
    </row>
    <row r="704" spans="2:13" ht="15" x14ac:dyDescent="0.25">
      <c r="B704"/>
      <c r="M704"/>
    </row>
    <row r="705" spans="2:13" ht="15" x14ac:dyDescent="0.25">
      <c r="B705"/>
      <c r="M705"/>
    </row>
    <row r="706" spans="2:13" ht="15" x14ac:dyDescent="0.25">
      <c r="B706"/>
      <c r="M706"/>
    </row>
    <row r="707" spans="2:13" ht="15" x14ac:dyDescent="0.25">
      <c r="B707"/>
      <c r="M707"/>
    </row>
    <row r="708" spans="2:13" ht="15" x14ac:dyDescent="0.25">
      <c r="B708"/>
      <c r="M708"/>
    </row>
    <row r="709" spans="2:13" ht="15" x14ac:dyDescent="0.25">
      <c r="B709"/>
      <c r="M709"/>
    </row>
    <row r="710" spans="2:13" ht="15" x14ac:dyDescent="0.25">
      <c r="B710"/>
      <c r="M710"/>
    </row>
    <row r="711" spans="2:13" ht="15" x14ac:dyDescent="0.25">
      <c r="B711"/>
      <c r="M711"/>
    </row>
    <row r="712" spans="2:13" ht="15" x14ac:dyDescent="0.25">
      <c r="B712"/>
      <c r="M712"/>
    </row>
    <row r="713" spans="2:13" ht="15" x14ac:dyDescent="0.25">
      <c r="B713"/>
      <c r="M713"/>
    </row>
    <row r="714" spans="2:13" ht="15" x14ac:dyDescent="0.25">
      <c r="B714"/>
      <c r="M714"/>
    </row>
    <row r="715" spans="2:13" ht="15" x14ac:dyDescent="0.25">
      <c r="B715"/>
      <c r="M715"/>
    </row>
    <row r="716" spans="2:13" ht="15" x14ac:dyDescent="0.25">
      <c r="B716"/>
      <c r="M716"/>
    </row>
    <row r="717" spans="2:13" ht="15" x14ac:dyDescent="0.25">
      <c r="B717"/>
      <c r="M717"/>
    </row>
    <row r="718" spans="2:13" ht="15" x14ac:dyDescent="0.25">
      <c r="B718"/>
      <c r="M718"/>
    </row>
    <row r="719" spans="2:13" ht="15" x14ac:dyDescent="0.25">
      <c r="B719"/>
      <c r="M719"/>
    </row>
    <row r="720" spans="2:13" ht="15" x14ac:dyDescent="0.25">
      <c r="B720"/>
      <c r="M720"/>
    </row>
    <row r="721" spans="2:13" ht="15" x14ac:dyDescent="0.25">
      <c r="B721"/>
      <c r="M721"/>
    </row>
    <row r="722" spans="2:13" ht="15" x14ac:dyDescent="0.25">
      <c r="B722"/>
      <c r="M722"/>
    </row>
    <row r="723" spans="2:13" ht="15" x14ac:dyDescent="0.25">
      <c r="B723"/>
      <c r="M723"/>
    </row>
    <row r="724" spans="2:13" ht="15" x14ac:dyDescent="0.25">
      <c r="B724"/>
      <c r="M724"/>
    </row>
    <row r="725" spans="2:13" ht="15" x14ac:dyDescent="0.25">
      <c r="B725"/>
      <c r="M725"/>
    </row>
    <row r="726" spans="2:13" ht="15" x14ac:dyDescent="0.25">
      <c r="B726"/>
      <c r="M726"/>
    </row>
    <row r="727" spans="2:13" ht="15" x14ac:dyDescent="0.25">
      <c r="B727"/>
      <c r="M727"/>
    </row>
    <row r="728" spans="2:13" ht="15" x14ac:dyDescent="0.25">
      <c r="B728"/>
      <c r="M728"/>
    </row>
    <row r="729" spans="2:13" ht="15" x14ac:dyDescent="0.25">
      <c r="B729"/>
      <c r="M729"/>
    </row>
    <row r="730" spans="2:13" ht="15" x14ac:dyDescent="0.25">
      <c r="B730"/>
      <c r="M730"/>
    </row>
    <row r="731" spans="2:13" ht="15" x14ac:dyDescent="0.25">
      <c r="B731"/>
      <c r="M731"/>
    </row>
    <row r="732" spans="2:13" ht="15" x14ac:dyDescent="0.25">
      <c r="B732"/>
      <c r="M732"/>
    </row>
    <row r="733" spans="2:13" ht="15" x14ac:dyDescent="0.25">
      <c r="B733"/>
      <c r="M733"/>
    </row>
    <row r="734" spans="2:13" ht="15" x14ac:dyDescent="0.25">
      <c r="B734"/>
      <c r="M734"/>
    </row>
    <row r="735" spans="2:13" ht="15" x14ac:dyDescent="0.25">
      <c r="B735"/>
      <c r="M735"/>
    </row>
    <row r="736" spans="2:13" ht="15" x14ac:dyDescent="0.25">
      <c r="B736"/>
      <c r="M736"/>
    </row>
    <row r="737" spans="2:13" ht="15" x14ac:dyDescent="0.25">
      <c r="B737"/>
      <c r="M737"/>
    </row>
    <row r="738" spans="2:13" ht="15" x14ac:dyDescent="0.25">
      <c r="B738"/>
      <c r="M738"/>
    </row>
    <row r="739" spans="2:13" ht="15" x14ac:dyDescent="0.25">
      <c r="B739"/>
      <c r="M739"/>
    </row>
    <row r="740" spans="2:13" ht="15" x14ac:dyDescent="0.25">
      <c r="B740"/>
      <c r="M740"/>
    </row>
    <row r="741" spans="2:13" ht="15" x14ac:dyDescent="0.25">
      <c r="B741"/>
      <c r="M741"/>
    </row>
    <row r="742" spans="2:13" ht="15" x14ac:dyDescent="0.25">
      <c r="B742"/>
      <c r="M742"/>
    </row>
    <row r="743" spans="2:13" ht="15" x14ac:dyDescent="0.25">
      <c r="B743"/>
      <c r="M743"/>
    </row>
    <row r="744" spans="2:13" ht="15" x14ac:dyDescent="0.25">
      <c r="B744"/>
      <c r="M744"/>
    </row>
    <row r="745" spans="2:13" ht="15" x14ac:dyDescent="0.25">
      <c r="B745"/>
      <c r="M745"/>
    </row>
    <row r="746" spans="2:13" ht="15" x14ac:dyDescent="0.25">
      <c r="B746"/>
      <c r="M746"/>
    </row>
    <row r="747" spans="2:13" ht="15" x14ac:dyDescent="0.25">
      <c r="B747"/>
      <c r="M747"/>
    </row>
    <row r="748" spans="2:13" ht="15" x14ac:dyDescent="0.25">
      <c r="B748"/>
      <c r="M748"/>
    </row>
    <row r="749" spans="2:13" ht="15" x14ac:dyDescent="0.25">
      <c r="B749"/>
      <c r="M749"/>
    </row>
    <row r="750" spans="2:13" ht="15" x14ac:dyDescent="0.25">
      <c r="B750"/>
      <c r="M750"/>
    </row>
    <row r="751" spans="2:13" ht="15" x14ac:dyDescent="0.25">
      <c r="B751"/>
      <c r="M751"/>
    </row>
    <row r="752" spans="2:13" ht="15" x14ac:dyDescent="0.25">
      <c r="B752"/>
      <c r="M752"/>
    </row>
    <row r="753" spans="2:13" ht="15" x14ac:dyDescent="0.25">
      <c r="B753"/>
      <c r="M753"/>
    </row>
    <row r="754" spans="2:13" ht="15" x14ac:dyDescent="0.25">
      <c r="B754"/>
      <c r="M754"/>
    </row>
    <row r="755" spans="2:13" ht="15" x14ac:dyDescent="0.25">
      <c r="B755"/>
      <c r="M755"/>
    </row>
    <row r="756" spans="2:13" ht="15" x14ac:dyDescent="0.25">
      <c r="B756"/>
      <c r="M756"/>
    </row>
    <row r="757" spans="2:13" ht="15" x14ac:dyDescent="0.25">
      <c r="B757"/>
      <c r="M757"/>
    </row>
    <row r="758" spans="2:13" ht="15" x14ac:dyDescent="0.25">
      <c r="B758"/>
      <c r="M758"/>
    </row>
    <row r="759" spans="2:13" ht="15" x14ac:dyDescent="0.25">
      <c r="B759"/>
      <c r="M759"/>
    </row>
    <row r="760" spans="2:13" ht="15" x14ac:dyDescent="0.25">
      <c r="B760"/>
      <c r="M760"/>
    </row>
    <row r="761" spans="2:13" ht="15" x14ac:dyDescent="0.25">
      <c r="B761"/>
      <c r="M761"/>
    </row>
    <row r="762" spans="2:13" ht="15" x14ac:dyDescent="0.25">
      <c r="B762"/>
      <c r="M762"/>
    </row>
    <row r="763" spans="2:13" ht="15" x14ac:dyDescent="0.25">
      <c r="B763"/>
      <c r="M763"/>
    </row>
    <row r="764" spans="2:13" ht="15" x14ac:dyDescent="0.25">
      <c r="B764"/>
      <c r="M764"/>
    </row>
    <row r="765" spans="2:13" ht="15" x14ac:dyDescent="0.25">
      <c r="B765"/>
      <c r="M765"/>
    </row>
    <row r="766" spans="2:13" ht="15" x14ac:dyDescent="0.25">
      <c r="B766"/>
      <c r="M766"/>
    </row>
    <row r="767" spans="2:13" ht="15" x14ac:dyDescent="0.25">
      <c r="B767"/>
      <c r="M767"/>
    </row>
    <row r="768" spans="2:13" ht="15" x14ac:dyDescent="0.25">
      <c r="B768"/>
      <c r="M768"/>
    </row>
    <row r="769" spans="2:13" ht="15" x14ac:dyDescent="0.25">
      <c r="B769"/>
      <c r="M769"/>
    </row>
    <row r="770" spans="2:13" ht="15" x14ac:dyDescent="0.25">
      <c r="B770"/>
      <c r="M770"/>
    </row>
    <row r="771" spans="2:13" ht="15" x14ac:dyDescent="0.25">
      <c r="B771"/>
      <c r="M771"/>
    </row>
    <row r="772" spans="2:13" ht="15" x14ac:dyDescent="0.25">
      <c r="B772"/>
      <c r="M772"/>
    </row>
    <row r="773" spans="2:13" ht="15" x14ac:dyDescent="0.25">
      <c r="B773"/>
      <c r="M773"/>
    </row>
    <row r="774" spans="2:13" ht="15" x14ac:dyDescent="0.25">
      <c r="B774"/>
      <c r="M774"/>
    </row>
    <row r="775" spans="2:13" ht="15" x14ac:dyDescent="0.25">
      <c r="B775"/>
      <c r="M775"/>
    </row>
    <row r="776" spans="2:13" ht="15" x14ac:dyDescent="0.25">
      <c r="B776"/>
      <c r="M776"/>
    </row>
    <row r="777" spans="2:13" ht="15" x14ac:dyDescent="0.25">
      <c r="B777"/>
      <c r="M777"/>
    </row>
    <row r="778" spans="2:13" ht="15" x14ac:dyDescent="0.25">
      <c r="B778"/>
      <c r="M778"/>
    </row>
    <row r="779" spans="2:13" ht="15" x14ac:dyDescent="0.25">
      <c r="B779"/>
      <c r="M779"/>
    </row>
    <row r="780" spans="2:13" ht="15" x14ac:dyDescent="0.25">
      <c r="B780"/>
      <c r="M780"/>
    </row>
    <row r="781" spans="2:13" ht="15" x14ac:dyDescent="0.25">
      <c r="B781"/>
      <c r="M781"/>
    </row>
    <row r="782" spans="2:13" ht="15" x14ac:dyDescent="0.25">
      <c r="B782"/>
      <c r="M782"/>
    </row>
    <row r="783" spans="2:13" ht="15" x14ac:dyDescent="0.25">
      <c r="B783"/>
      <c r="M783"/>
    </row>
    <row r="784" spans="2:13" ht="15" x14ac:dyDescent="0.25">
      <c r="B784"/>
      <c r="M784"/>
    </row>
    <row r="785" spans="2:13" ht="15" x14ac:dyDescent="0.25">
      <c r="B785"/>
      <c r="M785"/>
    </row>
    <row r="786" spans="2:13" ht="15" x14ac:dyDescent="0.25">
      <c r="B786"/>
      <c r="M786"/>
    </row>
    <row r="787" spans="2:13" ht="15" x14ac:dyDescent="0.25">
      <c r="B787"/>
      <c r="M787"/>
    </row>
    <row r="788" spans="2:13" ht="15" x14ac:dyDescent="0.25">
      <c r="B788"/>
      <c r="M788"/>
    </row>
    <row r="789" spans="2:13" ht="15" x14ac:dyDescent="0.25">
      <c r="B789"/>
      <c r="M789"/>
    </row>
    <row r="790" spans="2:13" ht="15" x14ac:dyDescent="0.25">
      <c r="B790"/>
      <c r="M790"/>
    </row>
    <row r="791" spans="2:13" ht="15" x14ac:dyDescent="0.25">
      <c r="B791"/>
      <c r="M791"/>
    </row>
    <row r="792" spans="2:13" ht="15" x14ac:dyDescent="0.25">
      <c r="B792"/>
      <c r="M792"/>
    </row>
    <row r="793" spans="2:13" ht="15" x14ac:dyDescent="0.25">
      <c r="B793"/>
      <c r="M793"/>
    </row>
    <row r="794" spans="2:13" ht="15" x14ac:dyDescent="0.25">
      <c r="B794"/>
      <c r="M794"/>
    </row>
    <row r="795" spans="2:13" ht="15" x14ac:dyDescent="0.25">
      <c r="B795"/>
      <c r="M795"/>
    </row>
    <row r="796" spans="2:13" ht="15" x14ac:dyDescent="0.25">
      <c r="B796"/>
      <c r="M796"/>
    </row>
    <row r="797" spans="2:13" ht="15" x14ac:dyDescent="0.25">
      <c r="B797"/>
      <c r="M797"/>
    </row>
    <row r="798" spans="2:13" ht="15" x14ac:dyDescent="0.25">
      <c r="B798"/>
      <c r="M798"/>
    </row>
    <row r="799" spans="2:13" ht="15" x14ac:dyDescent="0.25">
      <c r="B799"/>
      <c r="M799"/>
    </row>
    <row r="800" spans="2:13" ht="15" x14ac:dyDescent="0.25">
      <c r="B800"/>
      <c r="M800"/>
    </row>
    <row r="801" spans="2:13" ht="15" x14ac:dyDescent="0.25">
      <c r="B801"/>
      <c r="M801"/>
    </row>
    <row r="802" spans="2:13" ht="15" x14ac:dyDescent="0.25">
      <c r="B802"/>
      <c r="M802"/>
    </row>
    <row r="803" spans="2:13" ht="15" x14ac:dyDescent="0.25">
      <c r="B803"/>
      <c r="M803"/>
    </row>
    <row r="804" spans="2:13" ht="15" x14ac:dyDescent="0.25">
      <c r="B804"/>
      <c r="M804"/>
    </row>
    <row r="805" spans="2:13" ht="15" x14ac:dyDescent="0.25">
      <c r="B805"/>
      <c r="M805"/>
    </row>
    <row r="806" spans="2:13" ht="15" x14ac:dyDescent="0.25">
      <c r="B806"/>
      <c r="M806"/>
    </row>
    <row r="807" spans="2:13" ht="15" x14ac:dyDescent="0.25">
      <c r="B807"/>
      <c r="M807"/>
    </row>
    <row r="808" spans="2:13" ht="15" x14ac:dyDescent="0.25">
      <c r="B808"/>
      <c r="M808"/>
    </row>
    <row r="809" spans="2:13" ht="15" x14ac:dyDescent="0.25">
      <c r="B809"/>
      <c r="M809"/>
    </row>
    <row r="810" spans="2:13" ht="15" x14ac:dyDescent="0.25">
      <c r="B810"/>
      <c r="M810"/>
    </row>
    <row r="811" spans="2:13" ht="15" x14ac:dyDescent="0.25">
      <c r="B811"/>
      <c r="M811"/>
    </row>
    <row r="812" spans="2:13" ht="15" x14ac:dyDescent="0.25">
      <c r="B812"/>
      <c r="M812"/>
    </row>
    <row r="813" spans="2:13" ht="15" x14ac:dyDescent="0.25">
      <c r="B813"/>
      <c r="M813"/>
    </row>
    <row r="814" spans="2:13" ht="15" x14ac:dyDescent="0.25">
      <c r="B814"/>
      <c r="M814"/>
    </row>
    <row r="815" spans="2:13" ht="15" x14ac:dyDescent="0.25">
      <c r="B815"/>
      <c r="M815"/>
    </row>
    <row r="816" spans="2:13" ht="15" x14ac:dyDescent="0.25">
      <c r="B816"/>
      <c r="M816"/>
    </row>
    <row r="817" spans="2:13" ht="15" x14ac:dyDescent="0.25">
      <c r="B817"/>
      <c r="M817"/>
    </row>
    <row r="818" spans="2:13" ht="15" x14ac:dyDescent="0.25">
      <c r="B818"/>
      <c r="M818"/>
    </row>
    <row r="819" spans="2:13" ht="15" x14ac:dyDescent="0.25">
      <c r="B819"/>
      <c r="M819"/>
    </row>
    <row r="820" spans="2:13" ht="15" x14ac:dyDescent="0.25">
      <c r="B820"/>
      <c r="M820"/>
    </row>
    <row r="821" spans="2:13" ht="15" x14ac:dyDescent="0.25">
      <c r="B821"/>
      <c r="M821"/>
    </row>
    <row r="822" spans="2:13" ht="15" x14ac:dyDescent="0.25">
      <c r="B822"/>
      <c r="M822"/>
    </row>
    <row r="823" spans="2:13" ht="15" x14ac:dyDescent="0.25">
      <c r="B823"/>
      <c r="M823"/>
    </row>
    <row r="824" spans="2:13" ht="15" x14ac:dyDescent="0.25">
      <c r="B824"/>
      <c r="M824"/>
    </row>
    <row r="825" spans="2:13" ht="15" x14ac:dyDescent="0.25">
      <c r="B825"/>
      <c r="M825"/>
    </row>
    <row r="826" spans="2:13" ht="15" x14ac:dyDescent="0.25">
      <c r="B826"/>
      <c r="M826"/>
    </row>
    <row r="827" spans="2:13" ht="15" x14ac:dyDescent="0.25">
      <c r="B827"/>
      <c r="M827"/>
    </row>
    <row r="828" spans="2:13" ht="15" x14ac:dyDescent="0.25">
      <c r="B828"/>
      <c r="M828"/>
    </row>
    <row r="829" spans="2:13" ht="15" x14ac:dyDescent="0.25">
      <c r="B829"/>
      <c r="M829"/>
    </row>
    <row r="830" spans="2:13" ht="15" x14ac:dyDescent="0.25">
      <c r="B830"/>
      <c r="M830"/>
    </row>
    <row r="831" spans="2:13" ht="15" x14ac:dyDescent="0.25">
      <c r="B831"/>
      <c r="M831"/>
    </row>
    <row r="832" spans="2:13" ht="15" x14ac:dyDescent="0.25">
      <c r="B832"/>
      <c r="M832"/>
    </row>
    <row r="833" spans="2:13" ht="15" x14ac:dyDescent="0.25">
      <c r="B833"/>
      <c r="M833"/>
    </row>
    <row r="834" spans="2:13" ht="15" x14ac:dyDescent="0.25">
      <c r="B834"/>
      <c r="M834"/>
    </row>
    <row r="835" spans="2:13" ht="15" x14ac:dyDescent="0.25">
      <c r="B835"/>
      <c r="M835"/>
    </row>
    <row r="836" spans="2:13" ht="15" x14ac:dyDescent="0.25">
      <c r="B836"/>
      <c r="M836"/>
    </row>
    <row r="837" spans="2:13" ht="15" x14ac:dyDescent="0.25">
      <c r="B837"/>
      <c r="M837"/>
    </row>
    <row r="838" spans="2:13" ht="15" x14ac:dyDescent="0.25">
      <c r="B838"/>
      <c r="M838"/>
    </row>
    <row r="839" spans="2:13" ht="15" x14ac:dyDescent="0.25">
      <c r="B839"/>
      <c r="M839"/>
    </row>
    <row r="840" spans="2:13" ht="15" x14ac:dyDescent="0.25">
      <c r="B840"/>
      <c r="M840"/>
    </row>
    <row r="841" spans="2:13" ht="15" x14ac:dyDescent="0.25">
      <c r="B841"/>
      <c r="M841"/>
    </row>
    <row r="842" spans="2:13" ht="15" x14ac:dyDescent="0.25">
      <c r="B842"/>
      <c r="M842"/>
    </row>
    <row r="843" spans="2:13" ht="15" x14ac:dyDescent="0.25">
      <c r="B843"/>
      <c r="M843"/>
    </row>
    <row r="844" spans="2:13" ht="15" x14ac:dyDescent="0.25">
      <c r="B844"/>
      <c r="M844"/>
    </row>
    <row r="845" spans="2:13" ht="15" x14ac:dyDescent="0.25">
      <c r="B845"/>
      <c r="M845"/>
    </row>
    <row r="846" spans="2:13" ht="15" x14ac:dyDescent="0.25">
      <c r="B846"/>
      <c r="M846"/>
    </row>
    <row r="847" spans="2:13" ht="15" x14ac:dyDescent="0.25">
      <c r="B847"/>
      <c r="M847"/>
    </row>
    <row r="848" spans="2:13" ht="15" x14ac:dyDescent="0.25">
      <c r="B848"/>
      <c r="M848"/>
    </row>
    <row r="849" spans="2:13" ht="15" x14ac:dyDescent="0.25">
      <c r="B849"/>
      <c r="M849"/>
    </row>
    <row r="850" spans="2:13" ht="15" x14ac:dyDescent="0.25">
      <c r="B850"/>
      <c r="M850"/>
    </row>
    <row r="851" spans="2:13" ht="15" x14ac:dyDescent="0.25">
      <c r="B851"/>
      <c r="M851"/>
    </row>
    <row r="852" spans="2:13" ht="15" x14ac:dyDescent="0.25">
      <c r="B852"/>
      <c r="M852"/>
    </row>
    <row r="853" spans="2:13" ht="15" x14ac:dyDescent="0.25">
      <c r="B853"/>
      <c r="M853"/>
    </row>
    <row r="854" spans="2:13" ht="15" x14ac:dyDescent="0.25">
      <c r="B854"/>
      <c r="M854"/>
    </row>
    <row r="855" spans="2:13" ht="15" x14ac:dyDescent="0.25">
      <c r="B855"/>
      <c r="M855"/>
    </row>
    <row r="856" spans="2:13" ht="15" x14ac:dyDescent="0.25">
      <c r="B856"/>
      <c r="M856"/>
    </row>
    <row r="857" spans="2:13" ht="15" x14ac:dyDescent="0.25">
      <c r="B857"/>
      <c r="M857"/>
    </row>
    <row r="858" spans="2:13" ht="15" x14ac:dyDescent="0.25">
      <c r="B858"/>
      <c r="M858"/>
    </row>
    <row r="859" spans="2:13" ht="15" x14ac:dyDescent="0.25">
      <c r="B859"/>
      <c r="M859"/>
    </row>
    <row r="860" spans="2:13" ht="15" x14ac:dyDescent="0.25">
      <c r="B860"/>
      <c r="M860"/>
    </row>
    <row r="861" spans="2:13" ht="15" x14ac:dyDescent="0.25">
      <c r="B861"/>
      <c r="M861"/>
    </row>
    <row r="862" spans="2:13" ht="15" x14ac:dyDescent="0.25">
      <c r="B862"/>
      <c r="M862"/>
    </row>
    <row r="863" spans="2:13" ht="15" x14ac:dyDescent="0.25">
      <c r="B863"/>
      <c r="M863"/>
    </row>
    <row r="864" spans="2:13" ht="15" x14ac:dyDescent="0.25">
      <c r="B864"/>
      <c r="M864"/>
    </row>
    <row r="865" spans="2:13" ht="15" x14ac:dyDescent="0.25">
      <c r="B865"/>
      <c r="M865"/>
    </row>
    <row r="866" spans="2:13" ht="15" x14ac:dyDescent="0.25">
      <c r="B866"/>
      <c r="M866"/>
    </row>
    <row r="867" spans="2:13" ht="15" x14ac:dyDescent="0.25">
      <c r="B867"/>
      <c r="M867"/>
    </row>
    <row r="868" spans="2:13" ht="15" x14ac:dyDescent="0.25">
      <c r="B868"/>
      <c r="M868"/>
    </row>
    <row r="869" spans="2:13" ht="15" x14ac:dyDescent="0.25">
      <c r="B869"/>
      <c r="M869"/>
    </row>
    <row r="870" spans="2:13" ht="15" x14ac:dyDescent="0.25">
      <c r="B870"/>
      <c r="M870"/>
    </row>
    <row r="871" spans="2:13" ht="15" x14ac:dyDescent="0.25">
      <c r="B871"/>
      <c r="M871"/>
    </row>
    <row r="872" spans="2:13" ht="15" x14ac:dyDescent="0.25">
      <c r="B872"/>
      <c r="M872"/>
    </row>
    <row r="873" spans="2:13" ht="15" x14ac:dyDescent="0.25">
      <c r="B873"/>
      <c r="M873"/>
    </row>
    <row r="874" spans="2:13" ht="15" x14ac:dyDescent="0.25">
      <c r="B874"/>
      <c r="M874"/>
    </row>
    <row r="875" spans="2:13" ht="15" x14ac:dyDescent="0.25">
      <c r="B875"/>
      <c r="M875"/>
    </row>
    <row r="876" spans="2:13" ht="15" x14ac:dyDescent="0.25">
      <c r="B876"/>
      <c r="M876"/>
    </row>
    <row r="877" spans="2:13" ht="15" x14ac:dyDescent="0.25">
      <c r="B877"/>
      <c r="M877"/>
    </row>
    <row r="878" spans="2:13" ht="15" x14ac:dyDescent="0.25">
      <c r="B878"/>
      <c r="M878"/>
    </row>
    <row r="879" spans="2:13" ht="15" x14ac:dyDescent="0.25">
      <c r="B879"/>
      <c r="M879"/>
    </row>
    <row r="880" spans="2:13" ht="15" x14ac:dyDescent="0.25">
      <c r="B880"/>
      <c r="M880"/>
    </row>
    <row r="881" spans="2:13" ht="15" x14ac:dyDescent="0.25">
      <c r="B881"/>
      <c r="M881"/>
    </row>
    <row r="882" spans="2:13" ht="15" x14ac:dyDescent="0.25">
      <c r="B882"/>
      <c r="M882"/>
    </row>
    <row r="883" spans="2:13" ht="15" x14ac:dyDescent="0.25">
      <c r="B883"/>
      <c r="M883"/>
    </row>
    <row r="884" spans="2:13" ht="15" x14ac:dyDescent="0.25">
      <c r="B884"/>
      <c r="M884"/>
    </row>
    <row r="885" spans="2:13" ht="15" x14ac:dyDescent="0.25">
      <c r="B885"/>
      <c r="M885"/>
    </row>
    <row r="886" spans="2:13" ht="15" x14ac:dyDescent="0.25">
      <c r="B886"/>
      <c r="M886"/>
    </row>
    <row r="887" spans="2:13" ht="15" x14ac:dyDescent="0.25">
      <c r="B887"/>
      <c r="M887"/>
    </row>
    <row r="888" spans="2:13" ht="15" x14ac:dyDescent="0.25">
      <c r="B888"/>
      <c r="M888"/>
    </row>
    <row r="889" spans="2:13" ht="15" x14ac:dyDescent="0.25">
      <c r="B889"/>
      <c r="M889"/>
    </row>
    <row r="890" spans="2:13" ht="15" x14ac:dyDescent="0.25">
      <c r="B890"/>
      <c r="M890"/>
    </row>
    <row r="891" spans="2:13" ht="15" x14ac:dyDescent="0.25">
      <c r="B891"/>
      <c r="M891"/>
    </row>
    <row r="892" spans="2:13" ht="15" x14ac:dyDescent="0.25">
      <c r="B892"/>
      <c r="M892"/>
    </row>
    <row r="893" spans="2:13" ht="15" x14ac:dyDescent="0.25">
      <c r="B893"/>
      <c r="M893"/>
    </row>
    <row r="894" spans="2:13" ht="15" x14ac:dyDescent="0.25">
      <c r="B894"/>
      <c r="M894"/>
    </row>
    <row r="895" spans="2:13" ht="15" x14ac:dyDescent="0.25">
      <c r="B895"/>
      <c r="M895"/>
    </row>
    <row r="896" spans="2:13" ht="15" x14ac:dyDescent="0.25">
      <c r="B896"/>
      <c r="M896"/>
    </row>
    <row r="897" spans="2:13" ht="15" x14ac:dyDescent="0.25">
      <c r="B897"/>
      <c r="M897"/>
    </row>
    <row r="898" spans="2:13" ht="15" x14ac:dyDescent="0.25">
      <c r="B898"/>
      <c r="M898"/>
    </row>
    <row r="899" spans="2:13" ht="15" x14ac:dyDescent="0.25">
      <c r="B899"/>
      <c r="M899"/>
    </row>
    <row r="900" spans="2:13" ht="15" x14ac:dyDescent="0.25">
      <c r="B900"/>
      <c r="M900"/>
    </row>
    <row r="901" spans="2:13" ht="15" x14ac:dyDescent="0.25">
      <c r="B901"/>
      <c r="M901"/>
    </row>
    <row r="902" spans="2:13" ht="15" x14ac:dyDescent="0.25">
      <c r="B902"/>
      <c r="M902"/>
    </row>
    <row r="903" spans="2:13" ht="15" x14ac:dyDescent="0.25">
      <c r="B903"/>
      <c r="M903"/>
    </row>
    <row r="904" spans="2:13" ht="15" x14ac:dyDescent="0.25">
      <c r="B904"/>
      <c r="M904"/>
    </row>
    <row r="905" spans="2:13" ht="15" x14ac:dyDescent="0.25">
      <c r="B905"/>
      <c r="M905"/>
    </row>
    <row r="906" spans="2:13" ht="15" x14ac:dyDescent="0.25">
      <c r="B906"/>
      <c r="M906"/>
    </row>
    <row r="907" spans="2:13" ht="15" x14ac:dyDescent="0.25">
      <c r="B907"/>
      <c r="M907"/>
    </row>
    <row r="908" spans="2:13" ht="15" x14ac:dyDescent="0.25">
      <c r="B908"/>
      <c r="M908"/>
    </row>
    <row r="909" spans="2:13" ht="15" x14ac:dyDescent="0.25">
      <c r="B909"/>
      <c r="M909"/>
    </row>
    <row r="910" spans="2:13" ht="15" x14ac:dyDescent="0.25">
      <c r="B910"/>
      <c r="M910"/>
    </row>
    <row r="911" spans="2:13" ht="15" x14ac:dyDescent="0.25">
      <c r="B911"/>
      <c r="M911"/>
    </row>
    <row r="912" spans="2:13" ht="15" x14ac:dyDescent="0.25">
      <c r="B912"/>
      <c r="M912"/>
    </row>
    <row r="913" spans="2:13" ht="15" x14ac:dyDescent="0.25">
      <c r="B913"/>
      <c r="M913"/>
    </row>
    <row r="914" spans="2:13" ht="15" x14ac:dyDescent="0.25">
      <c r="B914"/>
      <c r="M914"/>
    </row>
    <row r="915" spans="2:13" ht="15" x14ac:dyDescent="0.25">
      <c r="B915"/>
      <c r="M915"/>
    </row>
    <row r="916" spans="2:13" ht="15" x14ac:dyDescent="0.25">
      <c r="B916"/>
      <c r="M916"/>
    </row>
    <row r="917" spans="2:13" ht="15" x14ac:dyDescent="0.25">
      <c r="B917"/>
      <c r="M917"/>
    </row>
    <row r="918" spans="2:13" ht="15" x14ac:dyDescent="0.25">
      <c r="B918"/>
      <c r="M918"/>
    </row>
    <row r="919" spans="2:13" ht="15" x14ac:dyDescent="0.25">
      <c r="B919"/>
      <c r="M919"/>
    </row>
    <row r="920" spans="2:13" ht="15" x14ac:dyDescent="0.25">
      <c r="B920"/>
      <c r="M920"/>
    </row>
    <row r="921" spans="2:13" ht="15" x14ac:dyDescent="0.25">
      <c r="B921"/>
      <c r="M921"/>
    </row>
    <row r="922" spans="2:13" ht="15" x14ac:dyDescent="0.25">
      <c r="B922"/>
      <c r="M922"/>
    </row>
    <row r="923" spans="2:13" ht="15" x14ac:dyDescent="0.25">
      <c r="B923"/>
      <c r="M923"/>
    </row>
    <row r="924" spans="2:13" ht="15" x14ac:dyDescent="0.25">
      <c r="B924"/>
      <c r="M924"/>
    </row>
    <row r="925" spans="2:13" ht="15" x14ac:dyDescent="0.25">
      <c r="B925"/>
      <c r="M925"/>
    </row>
    <row r="926" spans="2:13" ht="15" x14ac:dyDescent="0.25">
      <c r="B926"/>
      <c r="M926"/>
    </row>
    <row r="927" spans="2:13" ht="15" x14ac:dyDescent="0.25">
      <c r="B927"/>
      <c r="M927"/>
    </row>
    <row r="928" spans="2:13" ht="15" x14ac:dyDescent="0.25">
      <c r="B928"/>
      <c r="M928"/>
    </row>
    <row r="929" spans="2:13" ht="15" x14ac:dyDescent="0.25">
      <c r="B929"/>
      <c r="M929"/>
    </row>
    <row r="930" spans="2:13" ht="15" x14ac:dyDescent="0.25">
      <c r="B930"/>
      <c r="M930"/>
    </row>
    <row r="931" spans="2:13" ht="15" x14ac:dyDescent="0.25">
      <c r="B931"/>
      <c r="M931"/>
    </row>
    <row r="932" spans="2:13" ht="15" x14ac:dyDescent="0.25">
      <c r="B932"/>
      <c r="M932"/>
    </row>
    <row r="933" spans="2:13" ht="15" x14ac:dyDescent="0.25">
      <c r="B933"/>
      <c r="M933"/>
    </row>
    <row r="934" spans="2:13" ht="15" x14ac:dyDescent="0.25">
      <c r="B934"/>
      <c r="M934"/>
    </row>
    <row r="935" spans="2:13" ht="15" x14ac:dyDescent="0.25">
      <c r="B935"/>
      <c r="M935"/>
    </row>
    <row r="936" spans="2:13" ht="15" x14ac:dyDescent="0.25">
      <c r="B936"/>
      <c r="M936"/>
    </row>
    <row r="937" spans="2:13" ht="15" x14ac:dyDescent="0.25">
      <c r="B937"/>
      <c r="M937"/>
    </row>
    <row r="938" spans="2:13" ht="15" x14ac:dyDescent="0.25">
      <c r="B938"/>
      <c r="M938"/>
    </row>
    <row r="939" spans="2:13" ht="15" x14ac:dyDescent="0.25">
      <c r="B939"/>
      <c r="M939"/>
    </row>
    <row r="940" spans="2:13" ht="15" x14ac:dyDescent="0.25">
      <c r="B940"/>
      <c r="M940"/>
    </row>
    <row r="941" spans="2:13" ht="15" x14ac:dyDescent="0.25">
      <c r="B941"/>
      <c r="M941"/>
    </row>
    <row r="942" spans="2:13" ht="15" x14ac:dyDescent="0.25">
      <c r="B942"/>
      <c r="M942"/>
    </row>
    <row r="943" spans="2:13" ht="15" x14ac:dyDescent="0.25">
      <c r="B943"/>
      <c r="M943"/>
    </row>
    <row r="944" spans="2:13" ht="15" x14ac:dyDescent="0.25">
      <c r="B944"/>
      <c r="M944"/>
    </row>
    <row r="945" spans="2:13" ht="15" x14ac:dyDescent="0.25">
      <c r="B945"/>
      <c r="M945"/>
    </row>
    <row r="946" spans="2:13" ht="15" x14ac:dyDescent="0.25">
      <c r="B946"/>
      <c r="M946"/>
    </row>
    <row r="947" spans="2:13" ht="15" x14ac:dyDescent="0.25">
      <c r="B947"/>
      <c r="M947"/>
    </row>
    <row r="948" spans="2:13" ht="15" x14ac:dyDescent="0.25">
      <c r="B948"/>
      <c r="M948"/>
    </row>
    <row r="949" spans="2:13" ht="15" x14ac:dyDescent="0.25">
      <c r="B949"/>
      <c r="M949"/>
    </row>
    <row r="950" spans="2:13" ht="15" x14ac:dyDescent="0.25">
      <c r="B950"/>
      <c r="M950"/>
    </row>
    <row r="951" spans="2:13" ht="15" x14ac:dyDescent="0.25">
      <c r="B951"/>
      <c r="M951"/>
    </row>
    <row r="952" spans="2:13" ht="15" x14ac:dyDescent="0.25">
      <c r="B952"/>
      <c r="M952"/>
    </row>
    <row r="953" spans="2:13" ht="15" x14ac:dyDescent="0.25">
      <c r="B953"/>
      <c r="M953"/>
    </row>
    <row r="954" spans="2:13" ht="15" x14ac:dyDescent="0.25">
      <c r="B954"/>
      <c r="M954"/>
    </row>
    <row r="955" spans="2:13" ht="15" x14ac:dyDescent="0.25">
      <c r="B955"/>
      <c r="M955"/>
    </row>
    <row r="956" spans="2:13" ht="15" x14ac:dyDescent="0.25">
      <c r="B956"/>
      <c r="M956"/>
    </row>
    <row r="957" spans="2:13" ht="15" x14ac:dyDescent="0.25">
      <c r="B957"/>
      <c r="M957"/>
    </row>
    <row r="958" spans="2:13" ht="15" x14ac:dyDescent="0.25">
      <c r="B958"/>
      <c r="M958"/>
    </row>
    <row r="959" spans="2:13" ht="15" x14ac:dyDescent="0.25">
      <c r="B959"/>
      <c r="M959"/>
    </row>
    <row r="960" spans="2:13" ht="15" x14ac:dyDescent="0.25">
      <c r="B960"/>
      <c r="M960"/>
    </row>
    <row r="961" spans="2:13" ht="15" x14ac:dyDescent="0.25">
      <c r="B961"/>
      <c r="M961"/>
    </row>
    <row r="962" spans="2:13" ht="15" x14ac:dyDescent="0.25">
      <c r="B962"/>
      <c r="M962"/>
    </row>
    <row r="963" spans="2:13" ht="15" x14ac:dyDescent="0.25">
      <c r="B963"/>
      <c r="M963"/>
    </row>
    <row r="964" spans="2:13" ht="15" x14ac:dyDescent="0.25">
      <c r="B964"/>
      <c r="M964"/>
    </row>
    <row r="965" spans="2:13" ht="15" x14ac:dyDescent="0.25">
      <c r="B965"/>
      <c r="M965"/>
    </row>
    <row r="966" spans="2:13" ht="15" x14ac:dyDescent="0.25">
      <c r="B966"/>
      <c r="M966"/>
    </row>
    <row r="967" spans="2:13" ht="15" x14ac:dyDescent="0.25">
      <c r="B967"/>
      <c r="M967"/>
    </row>
    <row r="968" spans="2:13" ht="15" x14ac:dyDescent="0.25">
      <c r="B968"/>
      <c r="M968"/>
    </row>
    <row r="969" spans="2:13" ht="15" x14ac:dyDescent="0.25">
      <c r="B969"/>
      <c r="M969"/>
    </row>
    <row r="970" spans="2:13" ht="15" x14ac:dyDescent="0.25">
      <c r="B970"/>
      <c r="M970"/>
    </row>
    <row r="971" spans="2:13" ht="15" x14ac:dyDescent="0.25">
      <c r="B971"/>
      <c r="M971"/>
    </row>
    <row r="972" spans="2:13" ht="15" x14ac:dyDescent="0.25">
      <c r="B972"/>
      <c r="M972"/>
    </row>
    <row r="973" spans="2:13" ht="15" x14ac:dyDescent="0.25">
      <c r="B973"/>
      <c r="M973"/>
    </row>
    <row r="974" spans="2:13" ht="15" x14ac:dyDescent="0.25">
      <c r="B974"/>
      <c r="M974"/>
    </row>
    <row r="975" spans="2:13" ht="15" x14ac:dyDescent="0.25">
      <c r="B975"/>
      <c r="M975"/>
    </row>
    <row r="976" spans="2:13" ht="15" x14ac:dyDescent="0.25">
      <c r="B976"/>
      <c r="M976"/>
    </row>
    <row r="977" spans="2:13" ht="15" x14ac:dyDescent="0.25">
      <c r="B977"/>
      <c r="M977"/>
    </row>
    <row r="978" spans="2:13" ht="15" x14ac:dyDescent="0.25">
      <c r="B978"/>
      <c r="M978"/>
    </row>
    <row r="979" spans="2:13" ht="15" x14ac:dyDescent="0.25">
      <c r="B979"/>
      <c r="M979"/>
    </row>
    <row r="980" spans="2:13" ht="15" x14ac:dyDescent="0.25">
      <c r="B980"/>
      <c r="M980"/>
    </row>
    <row r="981" spans="2:13" ht="15" x14ac:dyDescent="0.25">
      <c r="B981"/>
      <c r="M981"/>
    </row>
    <row r="982" spans="2:13" ht="15" x14ac:dyDescent="0.25">
      <c r="B982"/>
      <c r="M982"/>
    </row>
    <row r="983" spans="2:13" ht="15" x14ac:dyDescent="0.25">
      <c r="B983"/>
      <c r="M983"/>
    </row>
    <row r="984" spans="2:13" ht="15" x14ac:dyDescent="0.25">
      <c r="B984"/>
      <c r="M984"/>
    </row>
    <row r="985" spans="2:13" ht="15" x14ac:dyDescent="0.25">
      <c r="B985"/>
      <c r="M985"/>
    </row>
    <row r="986" spans="2:13" ht="15" x14ac:dyDescent="0.25">
      <c r="B986"/>
      <c r="M986"/>
    </row>
    <row r="987" spans="2:13" ht="15" x14ac:dyDescent="0.25">
      <c r="B987"/>
      <c r="M987"/>
    </row>
    <row r="988" spans="2:13" ht="15" x14ac:dyDescent="0.25">
      <c r="B988"/>
      <c r="M988"/>
    </row>
    <row r="989" spans="2:13" ht="15" x14ac:dyDescent="0.25">
      <c r="B989"/>
      <c r="M989"/>
    </row>
    <row r="990" spans="2:13" ht="15" x14ac:dyDescent="0.25">
      <c r="B990"/>
      <c r="M990"/>
    </row>
    <row r="991" spans="2:13" ht="15" x14ac:dyDescent="0.25">
      <c r="B991"/>
      <c r="M991"/>
    </row>
    <row r="992" spans="2:13" ht="15" x14ac:dyDescent="0.25">
      <c r="B992"/>
      <c r="M992"/>
    </row>
    <row r="993" spans="2:13" ht="15" x14ac:dyDescent="0.25">
      <c r="B993"/>
      <c r="M993"/>
    </row>
    <row r="994" spans="2:13" ht="15" x14ac:dyDescent="0.25">
      <c r="B994"/>
      <c r="M994"/>
    </row>
    <row r="995" spans="2:13" ht="15" x14ac:dyDescent="0.25">
      <c r="B995"/>
      <c r="M995"/>
    </row>
    <row r="996" spans="2:13" ht="15" x14ac:dyDescent="0.25">
      <c r="B996"/>
      <c r="M996"/>
    </row>
    <row r="997" spans="2:13" ht="15" x14ac:dyDescent="0.25">
      <c r="B997"/>
      <c r="M997"/>
    </row>
    <row r="998" spans="2:13" ht="15" x14ac:dyDescent="0.25">
      <c r="B998"/>
      <c r="M998"/>
    </row>
    <row r="999" spans="2:13" ht="15" x14ac:dyDescent="0.25">
      <c r="B999"/>
      <c r="M999"/>
    </row>
    <row r="1000" spans="2:13" ht="15" x14ac:dyDescent="0.25">
      <c r="B1000"/>
      <c r="M1000"/>
    </row>
    <row r="1001" spans="2:13" ht="15" x14ac:dyDescent="0.25">
      <c r="B1001"/>
      <c r="M1001"/>
    </row>
    <row r="1002" spans="2:13" ht="15" x14ac:dyDescent="0.25">
      <c r="B1002"/>
      <c r="M1002"/>
    </row>
    <row r="1003" spans="2:13" ht="15" x14ac:dyDescent="0.25">
      <c r="B1003"/>
      <c r="M1003"/>
    </row>
    <row r="1004" spans="2:13" ht="15" x14ac:dyDescent="0.25">
      <c r="B1004"/>
      <c r="M1004"/>
    </row>
    <row r="1005" spans="2:13" ht="15" x14ac:dyDescent="0.25">
      <c r="B1005"/>
      <c r="M1005"/>
    </row>
    <row r="1006" spans="2:13" ht="15" x14ac:dyDescent="0.25">
      <c r="B1006"/>
      <c r="M1006"/>
    </row>
    <row r="1007" spans="2:13" ht="15" x14ac:dyDescent="0.25">
      <c r="B1007"/>
      <c r="M1007"/>
    </row>
    <row r="1008" spans="2:13" ht="15" x14ac:dyDescent="0.25">
      <c r="B1008"/>
      <c r="M1008"/>
    </row>
    <row r="1009" spans="2:13" ht="15" x14ac:dyDescent="0.25">
      <c r="B1009"/>
      <c r="M1009"/>
    </row>
    <row r="1010" spans="2:13" ht="15" x14ac:dyDescent="0.25">
      <c r="B1010"/>
      <c r="M1010"/>
    </row>
    <row r="1011" spans="2:13" ht="15" x14ac:dyDescent="0.25">
      <c r="B1011"/>
      <c r="M1011"/>
    </row>
    <row r="1012" spans="2:13" ht="15" x14ac:dyDescent="0.25">
      <c r="B1012"/>
      <c r="M1012"/>
    </row>
    <row r="1013" spans="2:13" ht="15" x14ac:dyDescent="0.25">
      <c r="B1013"/>
      <c r="M1013"/>
    </row>
    <row r="1014" spans="2:13" ht="15" x14ac:dyDescent="0.25">
      <c r="B1014"/>
      <c r="M1014"/>
    </row>
    <row r="1015" spans="2:13" ht="15" x14ac:dyDescent="0.25">
      <c r="B1015"/>
      <c r="M1015"/>
    </row>
    <row r="1016" spans="2:13" ht="15" x14ac:dyDescent="0.25">
      <c r="B1016"/>
      <c r="M1016"/>
    </row>
    <row r="1017" spans="2:13" ht="15" x14ac:dyDescent="0.25">
      <c r="B1017"/>
      <c r="M1017"/>
    </row>
    <row r="1018" spans="2:13" ht="15" x14ac:dyDescent="0.25">
      <c r="B1018"/>
      <c r="M1018"/>
    </row>
    <row r="1019" spans="2:13" ht="15" x14ac:dyDescent="0.25">
      <c r="B1019"/>
      <c r="M1019"/>
    </row>
    <row r="1020" spans="2:13" ht="15" x14ac:dyDescent="0.25">
      <c r="B1020"/>
      <c r="M1020"/>
    </row>
    <row r="1021" spans="2:13" ht="15" x14ac:dyDescent="0.25">
      <c r="B1021"/>
      <c r="M1021"/>
    </row>
    <row r="1022" spans="2:13" ht="15" x14ac:dyDescent="0.25">
      <c r="B1022"/>
      <c r="M1022"/>
    </row>
    <row r="1023" spans="2:13" ht="15" x14ac:dyDescent="0.25">
      <c r="B1023"/>
      <c r="M1023"/>
    </row>
    <row r="1024" spans="2:13" ht="15" x14ac:dyDescent="0.25">
      <c r="B1024"/>
      <c r="M1024"/>
    </row>
    <row r="1025" spans="2:13" ht="15" x14ac:dyDescent="0.25">
      <c r="B1025"/>
      <c r="M1025"/>
    </row>
    <row r="1026" spans="2:13" ht="15" x14ac:dyDescent="0.25">
      <c r="B1026"/>
      <c r="M1026"/>
    </row>
    <row r="1027" spans="2:13" ht="15" x14ac:dyDescent="0.25">
      <c r="B1027"/>
      <c r="M1027"/>
    </row>
    <row r="1028" spans="2:13" ht="15" x14ac:dyDescent="0.25">
      <c r="B1028"/>
      <c r="M1028"/>
    </row>
    <row r="1029" spans="2:13" ht="15" x14ac:dyDescent="0.25">
      <c r="B1029"/>
      <c r="M1029"/>
    </row>
    <row r="1030" spans="2:13" ht="15" x14ac:dyDescent="0.25">
      <c r="B1030"/>
      <c r="M1030"/>
    </row>
    <row r="1031" spans="2:13" ht="15" x14ac:dyDescent="0.25">
      <c r="B1031"/>
      <c r="M1031"/>
    </row>
    <row r="1032" spans="2:13" ht="15" x14ac:dyDescent="0.25">
      <c r="B1032"/>
      <c r="M1032"/>
    </row>
    <row r="1033" spans="2:13" ht="15" x14ac:dyDescent="0.25">
      <c r="B1033"/>
      <c r="M1033"/>
    </row>
    <row r="1034" spans="2:13" ht="15" x14ac:dyDescent="0.25">
      <c r="B1034"/>
      <c r="M1034"/>
    </row>
    <row r="1035" spans="2:13" ht="15" x14ac:dyDescent="0.25">
      <c r="B1035"/>
      <c r="M1035"/>
    </row>
    <row r="1036" spans="2:13" ht="15" x14ac:dyDescent="0.25">
      <c r="B1036"/>
      <c r="M1036"/>
    </row>
    <row r="1037" spans="2:13" ht="15" x14ac:dyDescent="0.25">
      <c r="B1037"/>
      <c r="M1037"/>
    </row>
    <row r="1038" spans="2:13" ht="15" x14ac:dyDescent="0.25">
      <c r="B1038"/>
      <c r="M1038"/>
    </row>
    <row r="1039" spans="2:13" ht="15" x14ac:dyDescent="0.25">
      <c r="B1039"/>
      <c r="M1039"/>
    </row>
    <row r="1040" spans="2:13" ht="15" x14ac:dyDescent="0.25">
      <c r="B1040"/>
      <c r="M1040"/>
    </row>
    <row r="1041" spans="2:13" ht="15" x14ac:dyDescent="0.25">
      <c r="B1041"/>
      <c r="M1041"/>
    </row>
    <row r="1042" spans="2:13" ht="15" x14ac:dyDescent="0.25">
      <c r="B1042"/>
      <c r="M1042"/>
    </row>
    <row r="1043" spans="2:13" ht="15" x14ac:dyDescent="0.25">
      <c r="B1043"/>
      <c r="M1043"/>
    </row>
    <row r="1044" spans="2:13" ht="15" x14ac:dyDescent="0.25">
      <c r="B1044"/>
      <c r="M1044"/>
    </row>
    <row r="1045" spans="2:13" ht="15" x14ac:dyDescent="0.25">
      <c r="B1045"/>
      <c r="M1045"/>
    </row>
    <row r="1046" spans="2:13" ht="15" x14ac:dyDescent="0.25">
      <c r="B1046"/>
      <c r="M1046"/>
    </row>
    <row r="1047" spans="2:13" ht="15" x14ac:dyDescent="0.25">
      <c r="B1047"/>
      <c r="M1047"/>
    </row>
    <row r="1048" spans="2:13" ht="15" x14ac:dyDescent="0.25">
      <c r="B1048"/>
      <c r="M1048"/>
    </row>
    <row r="1049" spans="2:13" ht="15" x14ac:dyDescent="0.25">
      <c r="B1049"/>
      <c r="M1049"/>
    </row>
    <row r="1050" spans="2:13" ht="15" x14ac:dyDescent="0.25">
      <c r="B1050"/>
      <c r="M1050"/>
    </row>
    <row r="1051" spans="2:13" ht="15" x14ac:dyDescent="0.25">
      <c r="B1051"/>
      <c r="M1051"/>
    </row>
    <row r="1052" spans="2:13" ht="15" x14ac:dyDescent="0.25">
      <c r="B1052"/>
      <c r="M1052"/>
    </row>
    <row r="1053" spans="2:13" ht="15" x14ac:dyDescent="0.25">
      <c r="B1053"/>
      <c r="M1053"/>
    </row>
    <row r="1054" spans="2:13" ht="15" x14ac:dyDescent="0.25">
      <c r="B1054"/>
      <c r="M1054"/>
    </row>
    <row r="1055" spans="2:13" ht="15" x14ac:dyDescent="0.25">
      <c r="B1055"/>
      <c r="M1055"/>
    </row>
    <row r="1056" spans="2:13" ht="15" x14ac:dyDescent="0.25">
      <c r="B1056"/>
      <c r="M1056"/>
    </row>
    <row r="1057" spans="2:13" ht="15" x14ac:dyDescent="0.25">
      <c r="B1057"/>
      <c r="M1057"/>
    </row>
    <row r="1058" spans="2:13" ht="15" x14ac:dyDescent="0.25">
      <c r="B1058"/>
      <c r="M1058"/>
    </row>
    <row r="1059" spans="2:13" ht="15" x14ac:dyDescent="0.25">
      <c r="B1059"/>
      <c r="M1059"/>
    </row>
    <row r="1060" spans="2:13" ht="15" x14ac:dyDescent="0.25">
      <c r="B1060"/>
      <c r="M1060"/>
    </row>
    <row r="1061" spans="2:13" ht="15" x14ac:dyDescent="0.25">
      <c r="B1061"/>
      <c r="M1061"/>
    </row>
    <row r="1062" spans="2:13" ht="15" x14ac:dyDescent="0.25">
      <c r="B1062"/>
      <c r="M1062"/>
    </row>
    <row r="1063" spans="2:13" ht="15" x14ac:dyDescent="0.25">
      <c r="B1063"/>
      <c r="M1063"/>
    </row>
    <row r="1064" spans="2:13" ht="15" x14ac:dyDescent="0.25">
      <c r="B1064"/>
      <c r="M1064"/>
    </row>
    <row r="1065" spans="2:13" ht="15" x14ac:dyDescent="0.25">
      <c r="B1065"/>
      <c r="M1065"/>
    </row>
    <row r="1066" spans="2:13" ht="15" x14ac:dyDescent="0.25">
      <c r="B1066"/>
      <c r="M1066"/>
    </row>
    <row r="1067" spans="2:13" ht="15" x14ac:dyDescent="0.25">
      <c r="B1067"/>
      <c r="M1067"/>
    </row>
    <row r="1068" spans="2:13" ht="15" x14ac:dyDescent="0.25">
      <c r="B1068"/>
      <c r="M1068"/>
    </row>
    <row r="1069" spans="2:13" ht="15" x14ac:dyDescent="0.25">
      <c r="B1069"/>
      <c r="M1069"/>
    </row>
    <row r="1070" spans="2:13" ht="15" x14ac:dyDescent="0.25">
      <c r="B1070"/>
      <c r="M1070"/>
    </row>
    <row r="1071" spans="2:13" ht="15" x14ac:dyDescent="0.25">
      <c r="B1071"/>
      <c r="M1071"/>
    </row>
    <row r="1072" spans="2:13" ht="15" x14ac:dyDescent="0.25">
      <c r="B1072"/>
      <c r="M1072"/>
    </row>
    <row r="1073" spans="2:13" ht="15" x14ac:dyDescent="0.25">
      <c r="B1073"/>
      <c r="M1073"/>
    </row>
    <row r="1074" spans="2:13" ht="15" x14ac:dyDescent="0.25">
      <c r="B1074"/>
      <c r="M1074"/>
    </row>
    <row r="1075" spans="2:13" ht="15" x14ac:dyDescent="0.25">
      <c r="B1075"/>
      <c r="M1075"/>
    </row>
    <row r="1076" spans="2:13" ht="15" x14ac:dyDescent="0.25">
      <c r="B1076"/>
      <c r="M1076"/>
    </row>
    <row r="1077" spans="2:13" ht="15" x14ac:dyDescent="0.25">
      <c r="B1077"/>
      <c r="M1077"/>
    </row>
    <row r="1078" spans="2:13" ht="15" x14ac:dyDescent="0.25">
      <c r="B1078"/>
      <c r="M1078"/>
    </row>
    <row r="1079" spans="2:13" ht="15" x14ac:dyDescent="0.25">
      <c r="B1079"/>
      <c r="M1079"/>
    </row>
    <row r="1080" spans="2:13" ht="15" x14ac:dyDescent="0.25">
      <c r="B1080"/>
      <c r="M1080"/>
    </row>
    <row r="1081" spans="2:13" ht="15" x14ac:dyDescent="0.25">
      <c r="B1081"/>
      <c r="M1081"/>
    </row>
    <row r="1082" spans="2:13" ht="15" x14ac:dyDescent="0.25">
      <c r="B1082"/>
      <c r="M1082"/>
    </row>
    <row r="1083" spans="2:13" ht="15" x14ac:dyDescent="0.25">
      <c r="B1083"/>
      <c r="M1083"/>
    </row>
    <row r="1084" spans="2:13" ht="15" x14ac:dyDescent="0.25">
      <c r="B1084"/>
      <c r="M1084"/>
    </row>
    <row r="1085" spans="2:13" ht="15" x14ac:dyDescent="0.25">
      <c r="B1085"/>
      <c r="M1085"/>
    </row>
    <row r="1086" spans="2:13" ht="15" x14ac:dyDescent="0.25">
      <c r="B1086"/>
      <c r="M1086"/>
    </row>
    <row r="1087" spans="2:13" ht="15" x14ac:dyDescent="0.25">
      <c r="B1087"/>
      <c r="M1087"/>
    </row>
    <row r="1088" spans="2:13" ht="15" x14ac:dyDescent="0.25">
      <c r="B1088"/>
      <c r="M1088"/>
    </row>
    <row r="1089" spans="2:13" ht="15" x14ac:dyDescent="0.25">
      <c r="B1089"/>
      <c r="M1089"/>
    </row>
    <row r="1090" spans="2:13" ht="15" x14ac:dyDescent="0.25">
      <c r="B1090"/>
      <c r="M1090"/>
    </row>
    <row r="1091" spans="2:13" ht="15" x14ac:dyDescent="0.25">
      <c r="B1091"/>
      <c r="M1091"/>
    </row>
    <row r="1092" spans="2:13" ht="15" x14ac:dyDescent="0.25">
      <c r="B1092"/>
      <c r="M1092"/>
    </row>
    <row r="1093" spans="2:13" ht="15" x14ac:dyDescent="0.25">
      <c r="B1093"/>
      <c r="M1093"/>
    </row>
    <row r="1094" spans="2:13" ht="15" x14ac:dyDescent="0.25">
      <c r="B1094"/>
      <c r="M1094"/>
    </row>
    <row r="1095" spans="2:13" ht="15" x14ac:dyDescent="0.25">
      <c r="B1095"/>
      <c r="M1095"/>
    </row>
    <row r="1096" spans="2:13" ht="15" x14ac:dyDescent="0.25">
      <c r="B1096"/>
      <c r="M1096"/>
    </row>
    <row r="1097" spans="2:13" ht="15" x14ac:dyDescent="0.25">
      <c r="B1097"/>
      <c r="M1097"/>
    </row>
    <row r="1098" spans="2:13" ht="15" x14ac:dyDescent="0.25">
      <c r="B1098"/>
      <c r="M1098"/>
    </row>
    <row r="1099" spans="2:13" ht="15" x14ac:dyDescent="0.25">
      <c r="B1099"/>
      <c r="M1099"/>
    </row>
    <row r="1100" spans="2:13" ht="15" x14ac:dyDescent="0.25">
      <c r="B1100"/>
      <c r="M1100"/>
    </row>
    <row r="1101" spans="2:13" ht="15" x14ac:dyDescent="0.25">
      <c r="B1101"/>
      <c r="M1101"/>
    </row>
    <row r="1102" spans="2:13" ht="15" x14ac:dyDescent="0.25">
      <c r="B1102"/>
      <c r="M1102"/>
    </row>
    <row r="1103" spans="2:13" ht="15" x14ac:dyDescent="0.25">
      <c r="B1103"/>
      <c r="M1103"/>
    </row>
    <row r="1104" spans="2:13" ht="15" x14ac:dyDescent="0.25">
      <c r="B1104"/>
      <c r="M1104"/>
    </row>
    <row r="1105" spans="2:13" ht="15" x14ac:dyDescent="0.25">
      <c r="B1105"/>
      <c r="M1105"/>
    </row>
    <row r="1106" spans="2:13" ht="15" x14ac:dyDescent="0.25">
      <c r="B1106"/>
      <c r="M1106"/>
    </row>
    <row r="1107" spans="2:13" ht="15" x14ac:dyDescent="0.25">
      <c r="B1107"/>
      <c r="M1107"/>
    </row>
    <row r="1108" spans="2:13" ht="15" x14ac:dyDescent="0.25">
      <c r="B1108"/>
      <c r="M1108"/>
    </row>
    <row r="1109" spans="2:13" ht="15" x14ac:dyDescent="0.25">
      <c r="B1109"/>
      <c r="M1109"/>
    </row>
    <row r="1110" spans="2:13" ht="15" x14ac:dyDescent="0.25">
      <c r="B1110"/>
      <c r="M1110"/>
    </row>
    <row r="1111" spans="2:13" ht="15" x14ac:dyDescent="0.25">
      <c r="B1111"/>
      <c r="M1111"/>
    </row>
    <row r="1112" spans="2:13" ht="15" x14ac:dyDescent="0.25">
      <c r="B1112"/>
      <c r="M1112"/>
    </row>
    <row r="1113" spans="2:13" ht="15" x14ac:dyDescent="0.25">
      <c r="B1113"/>
      <c r="M1113"/>
    </row>
    <row r="1114" spans="2:13" ht="15" x14ac:dyDescent="0.25">
      <c r="B1114"/>
      <c r="M1114"/>
    </row>
    <row r="1115" spans="2:13" ht="15" x14ac:dyDescent="0.25">
      <c r="B1115"/>
      <c r="M1115"/>
    </row>
    <row r="1116" spans="2:13" ht="15" x14ac:dyDescent="0.25">
      <c r="B1116"/>
      <c r="M1116"/>
    </row>
    <row r="1117" spans="2:13" ht="15" x14ac:dyDescent="0.25">
      <c r="B1117"/>
      <c r="M1117"/>
    </row>
    <row r="1118" spans="2:13" ht="15" x14ac:dyDescent="0.25">
      <c r="B1118"/>
      <c r="M1118"/>
    </row>
    <row r="1119" spans="2:13" ht="15" x14ac:dyDescent="0.25">
      <c r="B1119"/>
      <c r="M1119"/>
    </row>
    <row r="1120" spans="2:13" ht="15" x14ac:dyDescent="0.25">
      <c r="B1120"/>
      <c r="M1120"/>
    </row>
    <row r="1121" spans="2:13" ht="15" x14ac:dyDescent="0.25">
      <c r="B1121"/>
      <c r="M1121"/>
    </row>
    <row r="1122" spans="2:13" ht="15" x14ac:dyDescent="0.25">
      <c r="B1122"/>
      <c r="M1122"/>
    </row>
    <row r="1123" spans="2:13" ht="15" x14ac:dyDescent="0.25">
      <c r="B1123"/>
      <c r="M1123"/>
    </row>
    <row r="1124" spans="2:13" ht="15" x14ac:dyDescent="0.25">
      <c r="B1124"/>
      <c r="M1124"/>
    </row>
    <row r="1125" spans="2:13" ht="15" x14ac:dyDescent="0.25">
      <c r="B1125"/>
      <c r="M1125"/>
    </row>
    <row r="1126" spans="2:13" ht="15" x14ac:dyDescent="0.25">
      <c r="B1126"/>
      <c r="M1126"/>
    </row>
    <row r="1127" spans="2:13" ht="15" x14ac:dyDescent="0.25">
      <c r="B1127"/>
      <c r="M1127"/>
    </row>
    <row r="1128" spans="2:13" ht="15" x14ac:dyDescent="0.25">
      <c r="B1128"/>
      <c r="M1128"/>
    </row>
    <row r="1129" spans="2:13" ht="15" x14ac:dyDescent="0.25">
      <c r="B1129"/>
      <c r="M1129"/>
    </row>
    <row r="1130" spans="2:13" ht="15" x14ac:dyDescent="0.25">
      <c r="B1130"/>
      <c r="M1130"/>
    </row>
    <row r="1131" spans="2:13" ht="15" x14ac:dyDescent="0.25">
      <c r="B1131"/>
      <c r="M1131"/>
    </row>
    <row r="1132" spans="2:13" ht="15" x14ac:dyDescent="0.25">
      <c r="B1132"/>
      <c r="M1132"/>
    </row>
    <row r="1133" spans="2:13" ht="15" x14ac:dyDescent="0.25">
      <c r="B1133"/>
      <c r="M1133"/>
    </row>
    <row r="1134" spans="2:13" ht="15" x14ac:dyDescent="0.25">
      <c r="B1134"/>
      <c r="M1134"/>
    </row>
    <row r="1135" spans="2:13" ht="15" x14ac:dyDescent="0.25">
      <c r="B1135"/>
      <c r="M1135"/>
    </row>
    <row r="1136" spans="2:13" ht="15" x14ac:dyDescent="0.25">
      <c r="B1136"/>
      <c r="M1136"/>
    </row>
    <row r="1137" spans="2:13" ht="15" x14ac:dyDescent="0.25">
      <c r="B1137"/>
      <c r="M1137"/>
    </row>
    <row r="1138" spans="2:13" ht="15" x14ac:dyDescent="0.25">
      <c r="B1138"/>
      <c r="M1138"/>
    </row>
    <row r="1139" spans="2:13" ht="15" x14ac:dyDescent="0.25">
      <c r="B1139"/>
      <c r="M1139"/>
    </row>
    <row r="1140" spans="2:13" ht="15" x14ac:dyDescent="0.25">
      <c r="B1140"/>
      <c r="M1140"/>
    </row>
    <row r="1141" spans="2:13" ht="15" x14ac:dyDescent="0.25">
      <c r="B1141"/>
      <c r="M1141"/>
    </row>
    <row r="1142" spans="2:13" ht="15" x14ac:dyDescent="0.25">
      <c r="B1142"/>
      <c r="M1142"/>
    </row>
    <row r="1143" spans="2:13" ht="15" x14ac:dyDescent="0.25">
      <c r="B1143"/>
      <c r="M1143"/>
    </row>
    <row r="1144" spans="2:13" ht="15" x14ac:dyDescent="0.25">
      <c r="B1144"/>
      <c r="M1144"/>
    </row>
    <row r="1145" spans="2:13" ht="15" x14ac:dyDescent="0.25">
      <c r="B1145"/>
      <c r="M1145"/>
    </row>
    <row r="1146" spans="2:13" ht="15" x14ac:dyDescent="0.25">
      <c r="B1146"/>
      <c r="M1146"/>
    </row>
    <row r="1147" spans="2:13" ht="15" x14ac:dyDescent="0.25">
      <c r="B1147"/>
      <c r="M1147"/>
    </row>
    <row r="1148" spans="2:13" ht="15" x14ac:dyDescent="0.25">
      <c r="B1148"/>
      <c r="M1148"/>
    </row>
    <row r="1149" spans="2:13" ht="15" x14ac:dyDescent="0.25">
      <c r="B1149"/>
      <c r="M1149"/>
    </row>
    <row r="1150" spans="2:13" ht="15" x14ac:dyDescent="0.25">
      <c r="B1150"/>
      <c r="M1150"/>
    </row>
    <row r="1151" spans="2:13" ht="15" x14ac:dyDescent="0.25">
      <c r="B1151"/>
      <c r="M1151"/>
    </row>
    <row r="1152" spans="2:13" ht="15" x14ac:dyDescent="0.25">
      <c r="B1152"/>
      <c r="M1152"/>
    </row>
    <row r="1153" spans="2:13" ht="15" x14ac:dyDescent="0.25">
      <c r="B1153"/>
      <c r="M1153"/>
    </row>
    <row r="1154" spans="2:13" ht="15" x14ac:dyDescent="0.25">
      <c r="B1154"/>
      <c r="M1154"/>
    </row>
    <row r="1155" spans="2:13" ht="15" x14ac:dyDescent="0.25">
      <c r="B1155"/>
      <c r="M1155"/>
    </row>
    <row r="1156" spans="2:13" ht="15" x14ac:dyDescent="0.25">
      <c r="B1156"/>
      <c r="M1156"/>
    </row>
    <row r="1157" spans="2:13" ht="15" x14ac:dyDescent="0.25">
      <c r="B1157"/>
      <c r="M1157"/>
    </row>
    <row r="1158" spans="2:13" ht="15" x14ac:dyDescent="0.25">
      <c r="B1158"/>
      <c r="M1158"/>
    </row>
    <row r="1159" spans="2:13" ht="15" x14ac:dyDescent="0.25">
      <c r="B1159"/>
      <c r="M1159"/>
    </row>
    <row r="1160" spans="2:13" ht="15" x14ac:dyDescent="0.25">
      <c r="B1160"/>
      <c r="M1160"/>
    </row>
    <row r="1161" spans="2:13" ht="15" x14ac:dyDescent="0.25">
      <c r="B1161"/>
      <c r="M1161"/>
    </row>
    <row r="1162" spans="2:13" ht="15" x14ac:dyDescent="0.25">
      <c r="B1162"/>
      <c r="M1162"/>
    </row>
    <row r="1163" spans="2:13" ht="15" x14ac:dyDescent="0.25">
      <c r="B1163"/>
      <c r="M1163"/>
    </row>
    <row r="1164" spans="2:13" ht="15" x14ac:dyDescent="0.25">
      <c r="B1164"/>
      <c r="M1164"/>
    </row>
    <row r="1165" spans="2:13" ht="15" x14ac:dyDescent="0.25">
      <c r="B1165"/>
      <c r="M1165"/>
    </row>
    <row r="1166" spans="2:13" ht="15" x14ac:dyDescent="0.25">
      <c r="B1166"/>
      <c r="M1166"/>
    </row>
    <row r="1167" spans="2:13" ht="15" x14ac:dyDescent="0.25">
      <c r="B1167"/>
      <c r="M1167"/>
    </row>
    <row r="1168" spans="2:13" ht="15" x14ac:dyDescent="0.25">
      <c r="B1168"/>
      <c r="M1168"/>
    </row>
    <row r="1169" spans="2:13" ht="15" x14ac:dyDescent="0.25">
      <c r="B1169"/>
      <c r="M1169"/>
    </row>
    <row r="1170" spans="2:13" ht="15" x14ac:dyDescent="0.25">
      <c r="B1170"/>
      <c r="M1170"/>
    </row>
    <row r="1171" spans="2:13" ht="15" x14ac:dyDescent="0.25">
      <c r="B1171"/>
      <c r="M1171"/>
    </row>
    <row r="1172" spans="2:13" ht="15" x14ac:dyDescent="0.25">
      <c r="B1172"/>
      <c r="M1172"/>
    </row>
    <row r="1173" spans="2:13" ht="15" x14ac:dyDescent="0.25">
      <c r="B1173"/>
      <c r="M1173"/>
    </row>
    <row r="1174" spans="2:13" ht="15" x14ac:dyDescent="0.25">
      <c r="B1174"/>
      <c r="M1174"/>
    </row>
    <row r="1175" spans="2:13" ht="15" x14ac:dyDescent="0.25">
      <c r="B1175"/>
      <c r="M1175"/>
    </row>
    <row r="1176" spans="2:13" ht="15" x14ac:dyDescent="0.25">
      <c r="B1176"/>
      <c r="M1176"/>
    </row>
    <row r="1177" spans="2:13" ht="15" x14ac:dyDescent="0.25">
      <c r="B1177"/>
      <c r="M1177"/>
    </row>
    <row r="1178" spans="2:13" ht="15" x14ac:dyDescent="0.25">
      <c r="B1178"/>
      <c r="M1178"/>
    </row>
    <row r="1179" spans="2:13" ht="15" x14ac:dyDescent="0.25">
      <c r="B1179"/>
      <c r="M1179"/>
    </row>
    <row r="1180" spans="2:13" ht="15" x14ac:dyDescent="0.25">
      <c r="B1180"/>
      <c r="M1180"/>
    </row>
    <row r="1181" spans="2:13" ht="15" x14ac:dyDescent="0.25">
      <c r="B1181"/>
      <c r="M1181"/>
    </row>
    <row r="1182" spans="2:13" ht="15" x14ac:dyDescent="0.25">
      <c r="B1182"/>
      <c r="M1182"/>
    </row>
    <row r="1183" spans="2:13" ht="15" x14ac:dyDescent="0.25">
      <c r="B1183"/>
      <c r="M1183"/>
    </row>
    <row r="1184" spans="2:13" ht="15" x14ac:dyDescent="0.25">
      <c r="B1184"/>
      <c r="M1184"/>
    </row>
    <row r="1185" spans="2:13" ht="15" x14ac:dyDescent="0.25">
      <c r="B1185"/>
      <c r="M1185"/>
    </row>
    <row r="1186" spans="2:13" ht="15" x14ac:dyDescent="0.25">
      <c r="B1186"/>
      <c r="M1186"/>
    </row>
    <row r="1187" spans="2:13" ht="15" x14ac:dyDescent="0.25">
      <c r="B1187"/>
      <c r="M1187"/>
    </row>
    <row r="1188" spans="2:13" ht="15" x14ac:dyDescent="0.25">
      <c r="B1188"/>
      <c r="M1188"/>
    </row>
    <row r="1189" spans="2:13" ht="15" x14ac:dyDescent="0.25">
      <c r="B1189"/>
      <c r="M1189"/>
    </row>
    <row r="1190" spans="2:13" ht="15" x14ac:dyDescent="0.25">
      <c r="B1190"/>
      <c r="M1190"/>
    </row>
    <row r="1191" spans="2:13" ht="15" x14ac:dyDescent="0.25">
      <c r="B1191"/>
      <c r="M1191"/>
    </row>
    <row r="1192" spans="2:13" ht="15" x14ac:dyDescent="0.25">
      <c r="B1192"/>
      <c r="M1192"/>
    </row>
    <row r="1193" spans="2:13" ht="15" x14ac:dyDescent="0.25">
      <c r="B1193"/>
      <c r="M1193"/>
    </row>
    <row r="1194" spans="2:13" ht="15" x14ac:dyDescent="0.25">
      <c r="B1194"/>
      <c r="M1194"/>
    </row>
    <row r="1195" spans="2:13" ht="15" x14ac:dyDescent="0.25">
      <c r="B1195"/>
      <c r="M1195"/>
    </row>
    <row r="1196" spans="2:13" ht="15" x14ac:dyDescent="0.25">
      <c r="B1196"/>
      <c r="M1196"/>
    </row>
    <row r="1197" spans="2:13" ht="15" x14ac:dyDescent="0.25">
      <c r="B1197"/>
      <c r="M1197"/>
    </row>
    <row r="1198" spans="2:13" ht="15" x14ac:dyDescent="0.25">
      <c r="B1198"/>
      <c r="M1198"/>
    </row>
    <row r="1199" spans="2:13" ht="15" x14ac:dyDescent="0.25">
      <c r="B1199"/>
      <c r="M1199"/>
    </row>
    <row r="1200" spans="2:13" ht="15" x14ac:dyDescent="0.25">
      <c r="B1200"/>
      <c r="M1200"/>
    </row>
    <row r="1201" spans="2:13" ht="15" x14ac:dyDescent="0.25">
      <c r="B1201"/>
      <c r="M1201"/>
    </row>
    <row r="1202" spans="2:13" ht="15" x14ac:dyDescent="0.25">
      <c r="B1202"/>
      <c r="M1202"/>
    </row>
    <row r="1203" spans="2:13" ht="15" x14ac:dyDescent="0.25">
      <c r="B1203"/>
      <c r="M1203"/>
    </row>
    <row r="1204" spans="2:13" ht="15" x14ac:dyDescent="0.25">
      <c r="B1204"/>
      <c r="M1204"/>
    </row>
    <row r="1205" spans="2:13" ht="15" x14ac:dyDescent="0.25">
      <c r="B1205"/>
      <c r="M1205"/>
    </row>
    <row r="1206" spans="2:13" ht="15" x14ac:dyDescent="0.25">
      <c r="B1206"/>
      <c r="M1206"/>
    </row>
    <row r="1207" spans="2:13" ht="15" x14ac:dyDescent="0.25">
      <c r="B1207"/>
      <c r="M1207"/>
    </row>
    <row r="1208" spans="2:13" ht="15" x14ac:dyDescent="0.25">
      <c r="B1208"/>
      <c r="M1208"/>
    </row>
    <row r="1209" spans="2:13" ht="15" x14ac:dyDescent="0.25">
      <c r="B1209"/>
      <c r="M1209"/>
    </row>
    <row r="1210" spans="2:13" ht="15" x14ac:dyDescent="0.25">
      <c r="B1210"/>
      <c r="M1210"/>
    </row>
    <row r="1211" spans="2:13" ht="15" x14ac:dyDescent="0.25">
      <c r="B1211"/>
      <c r="M1211"/>
    </row>
    <row r="1212" spans="2:13" ht="15" x14ac:dyDescent="0.25">
      <c r="B1212"/>
      <c r="M1212"/>
    </row>
    <row r="1213" spans="2:13" ht="15" x14ac:dyDescent="0.25">
      <c r="B1213"/>
      <c r="M1213"/>
    </row>
    <row r="1214" spans="2:13" ht="15" x14ac:dyDescent="0.25">
      <c r="B1214"/>
      <c r="M1214"/>
    </row>
    <row r="1215" spans="2:13" ht="15" x14ac:dyDescent="0.25">
      <c r="B1215"/>
      <c r="M1215"/>
    </row>
    <row r="1216" spans="2:13" ht="15" x14ac:dyDescent="0.25">
      <c r="B1216"/>
      <c r="M1216"/>
    </row>
    <row r="1217" spans="2:13" ht="15" x14ac:dyDescent="0.25">
      <c r="B1217"/>
      <c r="M1217"/>
    </row>
    <row r="1218" spans="2:13" ht="15" x14ac:dyDescent="0.25">
      <c r="B1218"/>
      <c r="M1218"/>
    </row>
    <row r="1219" spans="2:13" ht="15" x14ac:dyDescent="0.25">
      <c r="B1219"/>
      <c r="M1219"/>
    </row>
    <row r="1220" spans="2:13" ht="15" x14ac:dyDescent="0.25">
      <c r="B1220"/>
      <c r="M1220"/>
    </row>
    <row r="1221" spans="2:13" ht="15" x14ac:dyDescent="0.25">
      <c r="B1221"/>
      <c r="M1221"/>
    </row>
    <row r="1222" spans="2:13" ht="15" x14ac:dyDescent="0.25">
      <c r="B1222"/>
      <c r="M1222"/>
    </row>
    <row r="1223" spans="2:13" ht="15" x14ac:dyDescent="0.25">
      <c r="B1223"/>
      <c r="M1223"/>
    </row>
    <row r="1224" spans="2:13" ht="15" x14ac:dyDescent="0.25">
      <c r="B1224"/>
      <c r="M1224"/>
    </row>
    <row r="1225" spans="2:13" ht="15" x14ac:dyDescent="0.25">
      <c r="B1225"/>
      <c r="M1225"/>
    </row>
    <row r="1226" spans="2:13" ht="15" x14ac:dyDescent="0.25">
      <c r="B1226"/>
      <c r="M1226"/>
    </row>
    <row r="1227" spans="2:13" ht="15" x14ac:dyDescent="0.25">
      <c r="B1227"/>
      <c r="M1227"/>
    </row>
    <row r="1228" spans="2:13" ht="15" x14ac:dyDescent="0.25">
      <c r="B1228"/>
      <c r="M1228"/>
    </row>
    <row r="1229" spans="2:13" ht="15" x14ac:dyDescent="0.25">
      <c r="B1229"/>
      <c r="M1229"/>
    </row>
    <row r="1230" spans="2:13" ht="15" x14ac:dyDescent="0.25">
      <c r="B1230"/>
      <c r="M1230"/>
    </row>
    <row r="1231" spans="2:13" ht="15" x14ac:dyDescent="0.25">
      <c r="B1231"/>
      <c r="M1231"/>
    </row>
    <row r="1232" spans="2:13" ht="15" x14ac:dyDescent="0.25">
      <c r="B1232"/>
      <c r="M1232"/>
    </row>
    <row r="1233" spans="2:13" ht="15" x14ac:dyDescent="0.25">
      <c r="B1233"/>
      <c r="M1233"/>
    </row>
    <row r="1234" spans="2:13" ht="15" x14ac:dyDescent="0.25">
      <c r="B1234"/>
      <c r="M1234"/>
    </row>
    <row r="1235" spans="2:13" ht="15" x14ac:dyDescent="0.25">
      <c r="B1235"/>
      <c r="M1235"/>
    </row>
    <row r="1236" spans="2:13" ht="15" x14ac:dyDescent="0.25">
      <c r="B1236"/>
      <c r="M1236"/>
    </row>
    <row r="1237" spans="2:13" ht="15" x14ac:dyDescent="0.25">
      <c r="B1237"/>
      <c r="M1237"/>
    </row>
    <row r="1238" spans="2:13" ht="15" x14ac:dyDescent="0.25">
      <c r="B1238"/>
      <c r="M1238"/>
    </row>
    <row r="1239" spans="2:13" ht="15" x14ac:dyDescent="0.25">
      <c r="B1239"/>
      <c r="M1239"/>
    </row>
    <row r="1240" spans="2:13" ht="15" x14ac:dyDescent="0.25">
      <c r="B1240"/>
      <c r="M1240"/>
    </row>
    <row r="1241" spans="2:13" ht="15" x14ac:dyDescent="0.25">
      <c r="B1241"/>
      <c r="M1241"/>
    </row>
    <row r="1242" spans="2:13" ht="15" x14ac:dyDescent="0.25">
      <c r="B1242"/>
      <c r="M1242"/>
    </row>
    <row r="1243" spans="2:13" ht="15" x14ac:dyDescent="0.25">
      <c r="B1243"/>
      <c r="M1243"/>
    </row>
    <row r="1244" spans="2:13" ht="15" x14ac:dyDescent="0.25">
      <c r="B1244"/>
      <c r="M1244"/>
    </row>
    <row r="1245" spans="2:13" ht="15" x14ac:dyDescent="0.25">
      <c r="B1245"/>
      <c r="M1245"/>
    </row>
    <row r="1246" spans="2:13" ht="15" x14ac:dyDescent="0.25">
      <c r="B1246"/>
      <c r="M1246"/>
    </row>
    <row r="1247" spans="2:13" ht="15" x14ac:dyDescent="0.25">
      <c r="B1247"/>
      <c r="M1247"/>
    </row>
    <row r="1248" spans="2:13" ht="15" x14ac:dyDescent="0.25">
      <c r="B1248"/>
      <c r="M1248"/>
    </row>
    <row r="1249" spans="2:13" ht="15" x14ac:dyDescent="0.25">
      <c r="B1249"/>
      <c r="M1249"/>
    </row>
    <row r="1250" spans="2:13" ht="15" x14ac:dyDescent="0.25">
      <c r="B1250"/>
      <c r="M1250"/>
    </row>
    <row r="1251" spans="2:13" ht="15" x14ac:dyDescent="0.25">
      <c r="B1251"/>
      <c r="M1251"/>
    </row>
    <row r="1252" spans="2:13" ht="15" x14ac:dyDescent="0.25">
      <c r="B1252"/>
      <c r="M1252"/>
    </row>
    <row r="1253" spans="2:13" ht="15" x14ac:dyDescent="0.25">
      <c r="B1253"/>
      <c r="M1253"/>
    </row>
    <row r="1254" spans="2:13" ht="15" x14ac:dyDescent="0.25">
      <c r="B1254"/>
      <c r="M1254"/>
    </row>
    <row r="1255" spans="2:13" ht="15" x14ac:dyDescent="0.25">
      <c r="B1255"/>
      <c r="M1255"/>
    </row>
    <row r="1256" spans="2:13" ht="15" x14ac:dyDescent="0.25">
      <c r="B1256"/>
      <c r="M1256"/>
    </row>
    <row r="1257" spans="2:13" ht="15" x14ac:dyDescent="0.25">
      <c r="B1257"/>
      <c r="M1257"/>
    </row>
    <row r="1258" spans="2:13" ht="15" x14ac:dyDescent="0.25">
      <c r="B1258"/>
      <c r="M1258"/>
    </row>
    <row r="1259" spans="2:13" ht="15" x14ac:dyDescent="0.25">
      <c r="B1259"/>
      <c r="M1259"/>
    </row>
    <row r="1260" spans="2:13" ht="15" x14ac:dyDescent="0.25">
      <c r="B1260"/>
      <c r="M1260"/>
    </row>
    <row r="1261" spans="2:13" ht="15" x14ac:dyDescent="0.25">
      <c r="B1261"/>
      <c r="M1261"/>
    </row>
    <row r="1262" spans="2:13" ht="15" x14ac:dyDescent="0.25">
      <c r="B1262"/>
      <c r="M1262"/>
    </row>
    <row r="1263" spans="2:13" ht="15" x14ac:dyDescent="0.25">
      <c r="B1263"/>
      <c r="M1263"/>
    </row>
    <row r="1264" spans="2:13" ht="15" x14ac:dyDescent="0.25">
      <c r="B1264"/>
      <c r="M1264"/>
    </row>
    <row r="1265" spans="2:13" ht="15" x14ac:dyDescent="0.25">
      <c r="B1265"/>
      <c r="M1265"/>
    </row>
    <row r="1266" spans="2:13" ht="15" x14ac:dyDescent="0.25">
      <c r="B1266"/>
      <c r="M1266"/>
    </row>
    <row r="1267" spans="2:13" ht="15" x14ac:dyDescent="0.25">
      <c r="B1267"/>
      <c r="M1267"/>
    </row>
    <row r="1268" spans="2:13" ht="15" x14ac:dyDescent="0.25">
      <c r="B1268"/>
      <c r="M1268"/>
    </row>
    <row r="1269" spans="2:13" ht="15" x14ac:dyDescent="0.25">
      <c r="B1269"/>
      <c r="M1269"/>
    </row>
    <row r="1270" spans="2:13" ht="15" x14ac:dyDescent="0.25">
      <c r="B1270"/>
      <c r="M1270"/>
    </row>
    <row r="1271" spans="2:13" ht="15" x14ac:dyDescent="0.25">
      <c r="B1271"/>
      <c r="M1271"/>
    </row>
    <row r="1272" spans="2:13" ht="15" x14ac:dyDescent="0.25">
      <c r="B1272"/>
      <c r="M1272"/>
    </row>
    <row r="1273" spans="2:13" ht="15" x14ac:dyDescent="0.25">
      <c r="B1273"/>
      <c r="M1273"/>
    </row>
    <row r="1274" spans="2:13" ht="15" x14ac:dyDescent="0.25">
      <c r="B1274"/>
      <c r="M1274"/>
    </row>
    <row r="1275" spans="2:13" ht="15" x14ac:dyDescent="0.25">
      <c r="B1275"/>
      <c r="M1275"/>
    </row>
    <row r="1276" spans="2:13" ht="15" x14ac:dyDescent="0.25">
      <c r="B1276"/>
      <c r="M1276"/>
    </row>
    <row r="1277" spans="2:13" ht="15" x14ac:dyDescent="0.25">
      <c r="B1277"/>
      <c r="M1277"/>
    </row>
    <row r="1278" spans="2:13" ht="15" x14ac:dyDescent="0.25">
      <c r="B1278"/>
      <c r="M1278"/>
    </row>
    <row r="1279" spans="2:13" ht="15" x14ac:dyDescent="0.25">
      <c r="B1279"/>
      <c r="M1279"/>
    </row>
    <row r="1280" spans="2:13" ht="15" x14ac:dyDescent="0.25">
      <c r="B1280"/>
      <c r="M1280"/>
    </row>
    <row r="1281" spans="2:13" ht="15" x14ac:dyDescent="0.25">
      <c r="B1281"/>
      <c r="M1281"/>
    </row>
    <row r="1282" spans="2:13" ht="15" x14ac:dyDescent="0.25">
      <c r="B1282"/>
      <c r="M1282"/>
    </row>
    <row r="1283" spans="2:13" ht="15" x14ac:dyDescent="0.25">
      <c r="B1283"/>
      <c r="M1283"/>
    </row>
    <row r="1284" spans="2:13" ht="15" x14ac:dyDescent="0.25">
      <c r="B1284"/>
      <c r="M1284"/>
    </row>
    <row r="1285" spans="2:13" ht="15" x14ac:dyDescent="0.25">
      <c r="B1285"/>
      <c r="M1285"/>
    </row>
    <row r="1286" spans="2:13" ht="15" x14ac:dyDescent="0.25">
      <c r="B1286"/>
      <c r="M1286"/>
    </row>
    <row r="1287" spans="2:13" ht="15" x14ac:dyDescent="0.25">
      <c r="B1287"/>
      <c r="M1287"/>
    </row>
    <row r="1288" spans="2:13" ht="15" x14ac:dyDescent="0.25">
      <c r="B1288"/>
      <c r="M1288"/>
    </row>
    <row r="1289" spans="2:13" ht="15" x14ac:dyDescent="0.25">
      <c r="B1289"/>
      <c r="M1289"/>
    </row>
    <row r="1290" spans="2:13" ht="15" x14ac:dyDescent="0.25">
      <c r="B1290"/>
      <c r="M1290"/>
    </row>
    <row r="1291" spans="2:13" ht="15" x14ac:dyDescent="0.25">
      <c r="B1291"/>
      <c r="M1291"/>
    </row>
    <row r="1292" spans="2:13" ht="15" x14ac:dyDescent="0.25">
      <c r="B1292"/>
      <c r="M1292"/>
    </row>
    <row r="1293" spans="2:13" ht="15" x14ac:dyDescent="0.25">
      <c r="B1293"/>
      <c r="M1293"/>
    </row>
    <row r="1294" spans="2:13" ht="15" x14ac:dyDescent="0.25">
      <c r="B1294"/>
      <c r="M1294"/>
    </row>
    <row r="1295" spans="2:13" ht="15" x14ac:dyDescent="0.25">
      <c r="B1295"/>
      <c r="M1295"/>
    </row>
    <row r="1296" spans="2:13" ht="15" x14ac:dyDescent="0.25">
      <c r="B1296"/>
      <c r="M1296"/>
    </row>
    <row r="1297" spans="2:13" ht="15" x14ac:dyDescent="0.25">
      <c r="B1297"/>
      <c r="M1297"/>
    </row>
    <row r="1298" spans="2:13" ht="15" x14ac:dyDescent="0.25">
      <c r="B1298"/>
      <c r="M1298"/>
    </row>
    <row r="1299" spans="2:13" ht="15" x14ac:dyDescent="0.25">
      <c r="B1299"/>
      <c r="M1299"/>
    </row>
    <row r="1300" spans="2:13" ht="15" x14ac:dyDescent="0.25">
      <c r="B1300"/>
      <c r="M1300"/>
    </row>
    <row r="1301" spans="2:13" ht="15" x14ac:dyDescent="0.25">
      <c r="B1301"/>
      <c r="M1301"/>
    </row>
    <row r="1302" spans="2:13" ht="15" x14ac:dyDescent="0.25">
      <c r="B1302"/>
      <c r="M1302"/>
    </row>
    <row r="1303" spans="2:13" ht="15" x14ac:dyDescent="0.25">
      <c r="B1303"/>
      <c r="M1303"/>
    </row>
    <row r="1304" spans="2:13" ht="15" x14ac:dyDescent="0.25">
      <c r="B1304"/>
      <c r="M1304"/>
    </row>
    <row r="1305" spans="2:13" ht="15" x14ac:dyDescent="0.25">
      <c r="B1305"/>
      <c r="M1305"/>
    </row>
    <row r="1306" spans="2:13" ht="15" x14ac:dyDescent="0.25">
      <c r="B1306"/>
      <c r="M1306"/>
    </row>
    <row r="1307" spans="2:13" ht="15" x14ac:dyDescent="0.25">
      <c r="B1307"/>
      <c r="M1307"/>
    </row>
    <row r="1308" spans="2:13" ht="15" x14ac:dyDescent="0.25">
      <c r="B1308"/>
      <c r="M1308"/>
    </row>
    <row r="1309" spans="2:13" ht="15" x14ac:dyDescent="0.25">
      <c r="B1309"/>
      <c r="M1309"/>
    </row>
    <row r="1310" spans="2:13" ht="15" x14ac:dyDescent="0.25">
      <c r="B1310"/>
      <c r="M1310"/>
    </row>
    <row r="1311" spans="2:13" ht="15" x14ac:dyDescent="0.25">
      <c r="B1311"/>
      <c r="M1311"/>
    </row>
    <row r="1312" spans="2:13" ht="15" x14ac:dyDescent="0.25">
      <c r="B1312"/>
      <c r="M1312"/>
    </row>
    <row r="1313" spans="2:13" ht="15" x14ac:dyDescent="0.25">
      <c r="B1313"/>
      <c r="M1313"/>
    </row>
    <row r="1314" spans="2:13" ht="15" x14ac:dyDescent="0.25">
      <c r="B1314"/>
      <c r="M1314"/>
    </row>
    <row r="1315" spans="2:13" ht="15" x14ac:dyDescent="0.25">
      <c r="B1315"/>
      <c r="M1315"/>
    </row>
    <row r="1316" spans="2:13" ht="15" x14ac:dyDescent="0.25">
      <c r="B1316"/>
      <c r="M1316"/>
    </row>
    <row r="1317" spans="2:13" ht="15" x14ac:dyDescent="0.25">
      <c r="B1317"/>
      <c r="M1317"/>
    </row>
    <row r="1318" spans="2:13" ht="15" x14ac:dyDescent="0.25">
      <c r="B1318"/>
      <c r="M1318"/>
    </row>
    <row r="1319" spans="2:13" ht="15" x14ac:dyDescent="0.25">
      <c r="B1319"/>
      <c r="M1319"/>
    </row>
    <row r="1320" spans="2:13" ht="15" x14ac:dyDescent="0.25">
      <c r="B1320"/>
      <c r="M1320"/>
    </row>
    <row r="1321" spans="2:13" ht="15" x14ac:dyDescent="0.25">
      <c r="B1321"/>
      <c r="M1321"/>
    </row>
    <row r="1322" spans="2:13" ht="15" x14ac:dyDescent="0.25">
      <c r="B1322"/>
      <c r="M1322"/>
    </row>
    <row r="1323" spans="2:13" ht="15" x14ac:dyDescent="0.25">
      <c r="B1323"/>
      <c r="M1323"/>
    </row>
    <row r="1324" spans="2:13" ht="15" x14ac:dyDescent="0.25">
      <c r="B1324"/>
      <c r="M1324"/>
    </row>
    <row r="1325" spans="2:13" ht="15" x14ac:dyDescent="0.25">
      <c r="B1325"/>
      <c r="M1325"/>
    </row>
    <row r="1326" spans="2:13" ht="15" x14ac:dyDescent="0.25">
      <c r="B1326"/>
      <c r="M1326"/>
    </row>
    <row r="1327" spans="2:13" ht="15" x14ac:dyDescent="0.25">
      <c r="B1327"/>
      <c r="M1327"/>
    </row>
    <row r="1328" spans="2:13" ht="15" x14ac:dyDescent="0.25">
      <c r="B1328"/>
      <c r="M1328"/>
    </row>
    <row r="1329" spans="2:13" ht="15" x14ac:dyDescent="0.25">
      <c r="B1329"/>
      <c r="M1329"/>
    </row>
    <row r="1330" spans="2:13" ht="15" x14ac:dyDescent="0.25">
      <c r="B1330"/>
      <c r="M1330"/>
    </row>
    <row r="1331" spans="2:13" ht="15" x14ac:dyDescent="0.25">
      <c r="B1331"/>
      <c r="M1331"/>
    </row>
    <row r="1332" spans="2:13" ht="15" x14ac:dyDescent="0.25">
      <c r="B1332"/>
      <c r="M1332"/>
    </row>
    <row r="1333" spans="2:13" ht="15" x14ac:dyDescent="0.25">
      <c r="B1333"/>
      <c r="M1333"/>
    </row>
    <row r="1334" spans="2:13" ht="15" x14ac:dyDescent="0.25">
      <c r="B1334"/>
      <c r="M1334"/>
    </row>
    <row r="1335" spans="2:13" ht="15" x14ac:dyDescent="0.25">
      <c r="B1335"/>
      <c r="M1335"/>
    </row>
    <row r="1336" spans="2:13" ht="15" x14ac:dyDescent="0.25">
      <c r="B1336"/>
      <c r="M1336"/>
    </row>
    <row r="1337" spans="2:13" ht="15" x14ac:dyDescent="0.25">
      <c r="B1337"/>
      <c r="M1337"/>
    </row>
    <row r="1338" spans="2:13" ht="15" x14ac:dyDescent="0.25">
      <c r="B1338"/>
      <c r="M1338"/>
    </row>
    <row r="1339" spans="2:13" ht="15" x14ac:dyDescent="0.25">
      <c r="B1339"/>
      <c r="M1339"/>
    </row>
    <row r="1340" spans="2:13" ht="15" x14ac:dyDescent="0.25">
      <c r="B1340"/>
      <c r="M1340"/>
    </row>
    <row r="1341" spans="2:13" ht="15" x14ac:dyDescent="0.25">
      <c r="B1341"/>
      <c r="M1341"/>
    </row>
    <row r="1342" spans="2:13" ht="15" x14ac:dyDescent="0.25">
      <c r="B1342"/>
      <c r="M1342"/>
    </row>
    <row r="1343" spans="2:13" ht="15" x14ac:dyDescent="0.25">
      <c r="B1343"/>
      <c r="M1343"/>
    </row>
    <row r="1344" spans="2:13" ht="15" x14ac:dyDescent="0.25">
      <c r="B1344"/>
      <c r="M1344"/>
    </row>
    <row r="1345" spans="2:13" ht="15" x14ac:dyDescent="0.25">
      <c r="B1345"/>
      <c r="M1345"/>
    </row>
    <row r="1346" spans="2:13" ht="15" x14ac:dyDescent="0.25">
      <c r="B1346"/>
      <c r="M1346"/>
    </row>
    <row r="1347" spans="2:13" ht="15" x14ac:dyDescent="0.25">
      <c r="B1347"/>
      <c r="M1347"/>
    </row>
    <row r="1348" spans="2:13" ht="15" x14ac:dyDescent="0.25">
      <c r="B1348"/>
      <c r="M1348"/>
    </row>
    <row r="1349" spans="2:13" ht="15" x14ac:dyDescent="0.25">
      <c r="B1349"/>
      <c r="M1349"/>
    </row>
    <row r="1350" spans="2:13" ht="15" x14ac:dyDescent="0.25">
      <c r="B1350"/>
      <c r="M1350"/>
    </row>
    <row r="1351" spans="2:13" ht="15" x14ac:dyDescent="0.25">
      <c r="B1351"/>
      <c r="M1351"/>
    </row>
    <row r="1352" spans="2:13" ht="15" x14ac:dyDescent="0.25">
      <c r="B1352"/>
      <c r="M1352"/>
    </row>
    <row r="1353" spans="2:13" ht="15" x14ac:dyDescent="0.25">
      <c r="B1353"/>
      <c r="M1353"/>
    </row>
    <row r="1354" spans="2:13" ht="15" x14ac:dyDescent="0.25">
      <c r="B1354"/>
      <c r="M1354"/>
    </row>
    <row r="1355" spans="2:13" ht="15" x14ac:dyDescent="0.25">
      <c r="B1355"/>
      <c r="M1355"/>
    </row>
    <row r="1356" spans="2:13" ht="15" x14ac:dyDescent="0.25">
      <c r="B1356"/>
      <c r="M1356"/>
    </row>
    <row r="1357" spans="2:13" ht="15" x14ac:dyDescent="0.25">
      <c r="B1357"/>
      <c r="M1357"/>
    </row>
    <row r="1358" spans="2:13" ht="15" x14ac:dyDescent="0.25">
      <c r="B1358"/>
      <c r="M1358"/>
    </row>
    <row r="1359" spans="2:13" ht="15" x14ac:dyDescent="0.25">
      <c r="B1359"/>
      <c r="M1359"/>
    </row>
    <row r="1360" spans="2:13" ht="15" x14ac:dyDescent="0.25">
      <c r="B1360"/>
      <c r="M1360"/>
    </row>
    <row r="1361" spans="2:13" ht="15" x14ac:dyDescent="0.25">
      <c r="B1361"/>
      <c r="M1361"/>
    </row>
    <row r="1362" spans="2:13" ht="15" x14ac:dyDescent="0.25">
      <c r="B1362"/>
      <c r="M1362"/>
    </row>
    <row r="1363" spans="2:13" ht="15" x14ac:dyDescent="0.25">
      <c r="B1363"/>
      <c r="M1363"/>
    </row>
    <row r="1364" spans="2:13" ht="15" x14ac:dyDescent="0.25">
      <c r="B1364"/>
      <c r="M1364"/>
    </row>
    <row r="1365" spans="2:13" ht="15" x14ac:dyDescent="0.25">
      <c r="B1365"/>
      <c r="M1365"/>
    </row>
    <row r="1366" spans="2:13" ht="15" x14ac:dyDescent="0.25">
      <c r="B1366"/>
      <c r="M1366"/>
    </row>
    <row r="1367" spans="2:13" ht="15" x14ac:dyDescent="0.25">
      <c r="B1367"/>
      <c r="M1367"/>
    </row>
    <row r="1368" spans="2:13" ht="15" x14ac:dyDescent="0.25">
      <c r="B1368"/>
      <c r="M1368"/>
    </row>
    <row r="1369" spans="2:13" ht="15" x14ac:dyDescent="0.25">
      <c r="B1369"/>
      <c r="M1369"/>
    </row>
    <row r="1370" spans="2:13" ht="15" x14ac:dyDescent="0.25">
      <c r="B1370"/>
      <c r="M1370"/>
    </row>
    <row r="1371" spans="2:13" ht="15" x14ac:dyDescent="0.25">
      <c r="B1371"/>
      <c r="M1371"/>
    </row>
    <row r="1372" spans="2:13" ht="15" x14ac:dyDescent="0.25">
      <c r="B1372"/>
      <c r="M1372"/>
    </row>
    <row r="1373" spans="2:13" ht="15" x14ac:dyDescent="0.25">
      <c r="B1373"/>
      <c r="M1373"/>
    </row>
    <row r="1374" spans="2:13" ht="15" x14ac:dyDescent="0.25">
      <c r="B1374"/>
      <c r="M1374"/>
    </row>
    <row r="1375" spans="2:13" ht="15" x14ac:dyDescent="0.25">
      <c r="B1375"/>
      <c r="M1375"/>
    </row>
    <row r="1376" spans="2:13" ht="15" x14ac:dyDescent="0.25">
      <c r="B1376"/>
      <c r="M1376"/>
    </row>
    <row r="1377" spans="2:13" ht="15" x14ac:dyDescent="0.25">
      <c r="B1377"/>
      <c r="M1377"/>
    </row>
    <row r="1378" spans="2:13" ht="15" x14ac:dyDescent="0.25">
      <c r="B1378"/>
      <c r="M1378"/>
    </row>
    <row r="1379" spans="2:13" ht="15" x14ac:dyDescent="0.25">
      <c r="B1379"/>
      <c r="M1379"/>
    </row>
    <row r="1380" spans="2:13" ht="15" x14ac:dyDescent="0.25">
      <c r="B1380"/>
      <c r="M1380"/>
    </row>
    <row r="1381" spans="2:13" ht="15" x14ac:dyDescent="0.25">
      <c r="B1381"/>
      <c r="M1381"/>
    </row>
    <row r="1382" spans="2:13" ht="15" x14ac:dyDescent="0.25">
      <c r="B1382"/>
      <c r="M1382"/>
    </row>
    <row r="1383" spans="2:13" ht="15" x14ac:dyDescent="0.25">
      <c r="B1383"/>
      <c r="M1383"/>
    </row>
    <row r="1384" spans="2:13" ht="15" x14ac:dyDescent="0.25">
      <c r="B1384"/>
      <c r="M1384"/>
    </row>
    <row r="1385" spans="2:13" ht="15" x14ac:dyDescent="0.25">
      <c r="B1385"/>
      <c r="M1385"/>
    </row>
    <row r="1386" spans="2:13" ht="15" x14ac:dyDescent="0.25">
      <c r="B1386"/>
      <c r="M1386"/>
    </row>
    <row r="1387" spans="2:13" ht="15" x14ac:dyDescent="0.25">
      <c r="B1387"/>
      <c r="M1387"/>
    </row>
    <row r="1388" spans="2:13" ht="15" x14ac:dyDescent="0.25">
      <c r="B1388"/>
      <c r="M1388"/>
    </row>
    <row r="1389" spans="2:13" ht="15" x14ac:dyDescent="0.25">
      <c r="B1389"/>
      <c r="M1389"/>
    </row>
    <row r="1390" spans="2:13" ht="15" x14ac:dyDescent="0.25">
      <c r="B1390"/>
      <c r="M1390"/>
    </row>
    <row r="1391" spans="2:13" ht="15" x14ac:dyDescent="0.25">
      <c r="B1391"/>
      <c r="M1391"/>
    </row>
    <row r="1392" spans="2:13" ht="15" x14ac:dyDescent="0.25">
      <c r="B1392"/>
      <c r="M1392"/>
    </row>
    <row r="1393" spans="2:13" ht="15" x14ac:dyDescent="0.25">
      <c r="B1393"/>
      <c r="M1393"/>
    </row>
    <row r="1394" spans="2:13" ht="15" x14ac:dyDescent="0.25">
      <c r="B1394"/>
      <c r="M1394"/>
    </row>
    <row r="1395" spans="2:13" ht="15" x14ac:dyDescent="0.25">
      <c r="B1395"/>
      <c r="M1395"/>
    </row>
    <row r="1396" spans="2:13" ht="15" x14ac:dyDescent="0.25">
      <c r="B1396"/>
      <c r="M1396"/>
    </row>
    <row r="1397" spans="2:13" ht="15" x14ac:dyDescent="0.25">
      <c r="B1397"/>
      <c r="M1397"/>
    </row>
    <row r="1398" spans="2:13" ht="15" x14ac:dyDescent="0.25">
      <c r="B1398"/>
      <c r="M1398"/>
    </row>
    <row r="1399" spans="2:13" ht="15" x14ac:dyDescent="0.25">
      <c r="B1399"/>
      <c r="M1399"/>
    </row>
    <row r="1400" spans="2:13" ht="15" x14ac:dyDescent="0.25">
      <c r="B1400"/>
      <c r="M1400"/>
    </row>
    <row r="1401" spans="2:13" ht="15" x14ac:dyDescent="0.25">
      <c r="B1401"/>
      <c r="M1401"/>
    </row>
    <row r="1402" spans="2:13" ht="15" x14ac:dyDescent="0.25">
      <c r="B1402"/>
      <c r="M1402"/>
    </row>
    <row r="1403" spans="2:13" ht="15" x14ac:dyDescent="0.25">
      <c r="B1403"/>
      <c r="M1403"/>
    </row>
    <row r="1404" spans="2:13" ht="15" x14ac:dyDescent="0.25">
      <c r="B1404"/>
      <c r="M1404"/>
    </row>
    <row r="1405" spans="2:13" ht="15" x14ac:dyDescent="0.25">
      <c r="B1405"/>
      <c r="M1405"/>
    </row>
    <row r="1406" spans="2:13" ht="15" x14ac:dyDescent="0.25">
      <c r="B1406"/>
      <c r="M1406"/>
    </row>
    <row r="1407" spans="2:13" ht="15" x14ac:dyDescent="0.25">
      <c r="B1407"/>
      <c r="M1407"/>
    </row>
    <row r="1408" spans="2:13" ht="15" x14ac:dyDescent="0.25">
      <c r="B1408"/>
      <c r="M1408"/>
    </row>
    <row r="1409" spans="2:13" ht="15" x14ac:dyDescent="0.25">
      <c r="B1409"/>
      <c r="M1409"/>
    </row>
    <row r="1410" spans="2:13" ht="15" x14ac:dyDescent="0.25">
      <c r="B1410"/>
      <c r="M1410"/>
    </row>
    <row r="1411" spans="2:13" ht="15" x14ac:dyDescent="0.25">
      <c r="B1411"/>
      <c r="M1411"/>
    </row>
    <row r="1412" spans="2:13" ht="15" x14ac:dyDescent="0.25">
      <c r="B1412"/>
      <c r="M1412"/>
    </row>
    <row r="1413" spans="2:13" ht="15" x14ac:dyDescent="0.25">
      <c r="B1413"/>
      <c r="M1413"/>
    </row>
    <row r="1414" spans="2:13" ht="15" x14ac:dyDescent="0.25">
      <c r="B1414"/>
      <c r="M1414"/>
    </row>
    <row r="1415" spans="2:13" ht="15" x14ac:dyDescent="0.25">
      <c r="B1415"/>
      <c r="M1415"/>
    </row>
    <row r="1416" spans="2:13" ht="15" x14ac:dyDescent="0.25">
      <c r="B1416"/>
      <c r="M1416"/>
    </row>
    <row r="1417" spans="2:13" ht="15" x14ac:dyDescent="0.25">
      <c r="B1417"/>
      <c r="M1417"/>
    </row>
    <row r="1418" spans="2:13" ht="15" x14ac:dyDescent="0.25">
      <c r="B1418"/>
      <c r="M1418"/>
    </row>
    <row r="1419" spans="2:13" ht="15" x14ac:dyDescent="0.25">
      <c r="B1419"/>
      <c r="M1419"/>
    </row>
    <row r="1420" spans="2:13" ht="15" x14ac:dyDescent="0.25">
      <c r="B1420"/>
      <c r="M1420"/>
    </row>
    <row r="1421" spans="2:13" ht="15" x14ac:dyDescent="0.25">
      <c r="B1421"/>
      <c r="M1421"/>
    </row>
    <row r="1422" spans="2:13" ht="15" x14ac:dyDescent="0.25">
      <c r="B1422"/>
      <c r="M1422"/>
    </row>
    <row r="1423" spans="2:13" ht="15" x14ac:dyDescent="0.25">
      <c r="B1423"/>
      <c r="M1423"/>
    </row>
    <row r="1424" spans="2:13" ht="15" x14ac:dyDescent="0.25">
      <c r="B1424"/>
      <c r="M1424"/>
    </row>
    <row r="1425" spans="2:13" ht="15" x14ac:dyDescent="0.25">
      <c r="B1425"/>
      <c r="M1425"/>
    </row>
    <row r="1426" spans="2:13" ht="15" x14ac:dyDescent="0.25">
      <c r="B1426"/>
      <c r="M1426"/>
    </row>
    <row r="1427" spans="2:13" ht="15" x14ac:dyDescent="0.25">
      <c r="B1427"/>
      <c r="M1427"/>
    </row>
    <row r="1428" spans="2:13" ht="15" x14ac:dyDescent="0.25">
      <c r="B1428"/>
      <c r="M1428"/>
    </row>
    <row r="1429" spans="2:13" ht="15" x14ac:dyDescent="0.25">
      <c r="B1429"/>
      <c r="M1429"/>
    </row>
    <row r="1430" spans="2:13" ht="15" x14ac:dyDescent="0.25">
      <c r="B1430"/>
      <c r="M1430"/>
    </row>
    <row r="1431" spans="2:13" ht="15" x14ac:dyDescent="0.25">
      <c r="B1431"/>
      <c r="M1431"/>
    </row>
    <row r="1432" spans="2:13" ht="15" x14ac:dyDescent="0.25">
      <c r="B1432"/>
      <c r="M1432"/>
    </row>
    <row r="1433" spans="2:13" ht="15" x14ac:dyDescent="0.25">
      <c r="B1433"/>
      <c r="M1433"/>
    </row>
    <row r="1434" spans="2:13" ht="15" x14ac:dyDescent="0.25">
      <c r="B1434"/>
      <c r="M1434"/>
    </row>
    <row r="1435" spans="2:13" ht="15" x14ac:dyDescent="0.25">
      <c r="B1435"/>
      <c r="M1435"/>
    </row>
    <row r="1436" spans="2:13" ht="15" x14ac:dyDescent="0.25">
      <c r="B1436"/>
      <c r="M1436"/>
    </row>
    <row r="1437" spans="2:13" ht="15" x14ac:dyDescent="0.25">
      <c r="B1437"/>
      <c r="M1437"/>
    </row>
    <row r="1438" spans="2:13" ht="15" x14ac:dyDescent="0.25">
      <c r="B1438"/>
      <c r="M1438"/>
    </row>
    <row r="1439" spans="2:13" ht="15" x14ac:dyDescent="0.25">
      <c r="B1439"/>
      <c r="M1439"/>
    </row>
    <row r="1440" spans="2:13" ht="15" x14ac:dyDescent="0.25">
      <c r="B1440"/>
      <c r="M1440"/>
    </row>
    <row r="1441" spans="2:13" ht="15" x14ac:dyDescent="0.25">
      <c r="B1441"/>
      <c r="M1441"/>
    </row>
    <row r="1442" spans="2:13" ht="15" x14ac:dyDescent="0.25">
      <c r="B1442"/>
      <c r="M1442"/>
    </row>
    <row r="1443" spans="2:13" ht="15" x14ac:dyDescent="0.25">
      <c r="B1443"/>
      <c r="M1443"/>
    </row>
    <row r="1444" spans="2:13" ht="15" x14ac:dyDescent="0.25">
      <c r="B1444"/>
      <c r="M1444"/>
    </row>
    <row r="1445" spans="2:13" ht="15" x14ac:dyDescent="0.25">
      <c r="B1445"/>
      <c r="M1445"/>
    </row>
    <row r="1446" spans="2:13" ht="15" x14ac:dyDescent="0.25">
      <c r="B1446"/>
      <c r="M1446"/>
    </row>
    <row r="1447" spans="2:13" ht="15" x14ac:dyDescent="0.25">
      <c r="B1447"/>
      <c r="M1447"/>
    </row>
    <row r="1448" spans="2:13" ht="15" x14ac:dyDescent="0.25">
      <c r="B1448"/>
      <c r="M1448"/>
    </row>
    <row r="1449" spans="2:13" ht="15" x14ac:dyDescent="0.25">
      <c r="B1449"/>
      <c r="M1449"/>
    </row>
    <row r="1450" spans="2:13" ht="15" x14ac:dyDescent="0.25">
      <c r="B1450"/>
      <c r="M1450"/>
    </row>
    <row r="1451" spans="2:13" ht="15" x14ac:dyDescent="0.25">
      <c r="B1451"/>
      <c r="M1451"/>
    </row>
    <row r="1452" spans="2:13" ht="15" x14ac:dyDescent="0.25">
      <c r="B1452"/>
      <c r="M1452"/>
    </row>
    <row r="1453" spans="2:13" ht="15" x14ac:dyDescent="0.25">
      <c r="B1453"/>
      <c r="M1453"/>
    </row>
    <row r="1454" spans="2:13" ht="15" x14ac:dyDescent="0.25">
      <c r="B1454"/>
      <c r="M1454"/>
    </row>
    <row r="1455" spans="2:13" ht="15" x14ac:dyDescent="0.25">
      <c r="B1455"/>
      <c r="M1455"/>
    </row>
    <row r="1456" spans="2:13" ht="15" x14ac:dyDescent="0.25">
      <c r="B1456"/>
      <c r="M1456"/>
    </row>
    <row r="1457" spans="2:13" ht="15" x14ac:dyDescent="0.25">
      <c r="B1457"/>
      <c r="M1457"/>
    </row>
    <row r="1458" spans="2:13" ht="15" x14ac:dyDescent="0.25">
      <c r="B1458"/>
      <c r="M1458"/>
    </row>
    <row r="1459" spans="2:13" ht="15" x14ac:dyDescent="0.25">
      <c r="B1459"/>
      <c r="M1459"/>
    </row>
    <row r="1460" spans="2:13" ht="15" x14ac:dyDescent="0.25">
      <c r="B1460"/>
      <c r="M1460"/>
    </row>
    <row r="1461" spans="2:13" ht="15" x14ac:dyDescent="0.25">
      <c r="B1461"/>
      <c r="M1461"/>
    </row>
    <row r="1462" spans="2:13" ht="15" x14ac:dyDescent="0.25">
      <c r="B1462"/>
      <c r="M1462"/>
    </row>
    <row r="1463" spans="2:13" ht="15" x14ac:dyDescent="0.25">
      <c r="B1463"/>
      <c r="M1463"/>
    </row>
    <row r="1464" spans="2:13" ht="15" x14ac:dyDescent="0.25">
      <c r="B1464"/>
      <c r="M1464"/>
    </row>
    <row r="1465" spans="2:13" ht="15" x14ac:dyDescent="0.25">
      <c r="B1465"/>
      <c r="M1465"/>
    </row>
    <row r="1466" spans="2:13" ht="15" x14ac:dyDescent="0.25">
      <c r="B1466"/>
      <c r="M1466"/>
    </row>
    <row r="1467" spans="2:13" ht="15" x14ac:dyDescent="0.25">
      <c r="B1467"/>
      <c r="M1467"/>
    </row>
    <row r="1468" spans="2:13" ht="15" x14ac:dyDescent="0.25">
      <c r="B1468"/>
      <c r="M1468"/>
    </row>
    <row r="1469" spans="2:13" ht="15" x14ac:dyDescent="0.25">
      <c r="B1469"/>
      <c r="M1469"/>
    </row>
    <row r="1470" spans="2:13" ht="15" x14ac:dyDescent="0.25">
      <c r="B1470"/>
      <c r="M1470"/>
    </row>
    <row r="1471" spans="2:13" ht="15" x14ac:dyDescent="0.25">
      <c r="B1471"/>
      <c r="M1471"/>
    </row>
    <row r="1472" spans="2:13" ht="15" x14ac:dyDescent="0.25">
      <c r="B1472"/>
      <c r="M1472"/>
    </row>
    <row r="1473" spans="2:13" ht="15" x14ac:dyDescent="0.25">
      <c r="B1473"/>
      <c r="M1473"/>
    </row>
    <row r="1474" spans="2:13" ht="15" x14ac:dyDescent="0.25">
      <c r="B1474"/>
      <c r="M1474"/>
    </row>
    <row r="1475" spans="2:13" ht="15" x14ac:dyDescent="0.25">
      <c r="B1475"/>
      <c r="M1475"/>
    </row>
    <row r="1476" spans="2:13" ht="15" x14ac:dyDescent="0.25">
      <c r="B1476"/>
      <c r="M1476"/>
    </row>
    <row r="1477" spans="2:13" ht="15" x14ac:dyDescent="0.25">
      <c r="B1477"/>
      <c r="M1477"/>
    </row>
    <row r="1478" spans="2:13" ht="15" x14ac:dyDescent="0.25">
      <c r="B1478"/>
      <c r="M1478"/>
    </row>
    <row r="1479" spans="2:13" ht="15" x14ac:dyDescent="0.25">
      <c r="B1479"/>
      <c r="M1479"/>
    </row>
    <row r="1480" spans="2:13" ht="15" x14ac:dyDescent="0.25">
      <c r="B1480"/>
      <c r="M1480"/>
    </row>
    <row r="1481" spans="2:13" ht="15" x14ac:dyDescent="0.25">
      <c r="B1481"/>
      <c r="M1481"/>
    </row>
    <row r="1482" spans="2:13" ht="15" x14ac:dyDescent="0.25">
      <c r="B1482"/>
      <c r="M1482"/>
    </row>
    <row r="1483" spans="2:13" ht="15" x14ac:dyDescent="0.25">
      <c r="B1483"/>
      <c r="M1483"/>
    </row>
    <row r="1484" spans="2:13" ht="15" x14ac:dyDescent="0.25">
      <c r="B1484"/>
      <c r="M1484"/>
    </row>
    <row r="1485" spans="2:13" ht="15" x14ac:dyDescent="0.25">
      <c r="B1485"/>
      <c r="M1485"/>
    </row>
    <row r="1486" spans="2:13" ht="15" x14ac:dyDescent="0.25">
      <c r="B1486"/>
      <c r="M1486"/>
    </row>
    <row r="1487" spans="2:13" ht="15" x14ac:dyDescent="0.25">
      <c r="B1487"/>
      <c r="M1487"/>
    </row>
    <row r="1488" spans="2:13" ht="15" x14ac:dyDescent="0.25">
      <c r="B1488"/>
      <c r="M1488"/>
    </row>
    <row r="1489" spans="2:13" ht="15" x14ac:dyDescent="0.25">
      <c r="B1489"/>
      <c r="M1489"/>
    </row>
    <row r="1490" spans="2:13" ht="15" x14ac:dyDescent="0.25">
      <c r="B1490"/>
      <c r="M1490"/>
    </row>
    <row r="1491" spans="2:13" ht="15" x14ac:dyDescent="0.25">
      <c r="B1491"/>
      <c r="M1491"/>
    </row>
    <row r="1492" spans="2:13" ht="15" x14ac:dyDescent="0.25">
      <c r="B1492"/>
      <c r="M1492"/>
    </row>
    <row r="1493" spans="2:13" ht="15" x14ac:dyDescent="0.25">
      <c r="B1493"/>
      <c r="M1493"/>
    </row>
    <row r="1494" spans="2:13" ht="15" x14ac:dyDescent="0.25">
      <c r="B1494"/>
      <c r="M1494"/>
    </row>
    <row r="1495" spans="2:13" ht="15" x14ac:dyDescent="0.25">
      <c r="B1495"/>
      <c r="M1495"/>
    </row>
    <row r="1496" spans="2:13" ht="15" x14ac:dyDescent="0.25">
      <c r="B1496"/>
      <c r="M1496"/>
    </row>
    <row r="1497" spans="2:13" ht="15" x14ac:dyDescent="0.25">
      <c r="B1497"/>
      <c r="M1497"/>
    </row>
    <row r="1498" spans="2:13" ht="15" x14ac:dyDescent="0.25">
      <c r="B1498"/>
      <c r="M1498"/>
    </row>
    <row r="1499" spans="2:13" ht="15" x14ac:dyDescent="0.25">
      <c r="B1499"/>
      <c r="M1499"/>
    </row>
    <row r="1500" spans="2:13" ht="15" x14ac:dyDescent="0.25">
      <c r="B1500"/>
      <c r="M1500"/>
    </row>
    <row r="1501" spans="2:13" ht="15" x14ac:dyDescent="0.25">
      <c r="B1501"/>
      <c r="M1501"/>
    </row>
    <row r="1502" spans="2:13" ht="15" x14ac:dyDescent="0.25">
      <c r="B1502"/>
      <c r="M1502"/>
    </row>
    <row r="1503" spans="2:13" ht="15" x14ac:dyDescent="0.25">
      <c r="B1503"/>
      <c r="M1503"/>
    </row>
    <row r="1504" spans="2:13" ht="15" x14ac:dyDescent="0.25">
      <c r="B1504"/>
      <c r="M1504"/>
    </row>
    <row r="1505" spans="2:13" ht="15" x14ac:dyDescent="0.25">
      <c r="B1505"/>
      <c r="M1505"/>
    </row>
    <row r="1506" spans="2:13" ht="15" x14ac:dyDescent="0.25">
      <c r="B1506"/>
      <c r="M1506"/>
    </row>
    <row r="1507" spans="2:13" ht="15" x14ac:dyDescent="0.25">
      <c r="B1507"/>
      <c r="M1507"/>
    </row>
    <row r="1508" spans="2:13" ht="15" x14ac:dyDescent="0.25">
      <c r="B1508"/>
      <c r="M1508"/>
    </row>
    <row r="1509" spans="2:13" ht="15" x14ac:dyDescent="0.25">
      <c r="B1509"/>
      <c r="M1509"/>
    </row>
    <row r="1510" spans="2:13" ht="15" x14ac:dyDescent="0.25">
      <c r="B1510"/>
      <c r="M1510"/>
    </row>
    <row r="1511" spans="2:13" ht="15" x14ac:dyDescent="0.25">
      <c r="B1511"/>
      <c r="M1511"/>
    </row>
    <row r="1512" spans="2:13" ht="15" x14ac:dyDescent="0.25">
      <c r="B1512"/>
      <c r="M1512"/>
    </row>
    <row r="1513" spans="2:13" ht="15" x14ac:dyDescent="0.25">
      <c r="B1513"/>
      <c r="M1513"/>
    </row>
    <row r="1514" spans="2:13" ht="15" x14ac:dyDescent="0.25">
      <c r="B1514"/>
      <c r="M1514"/>
    </row>
    <row r="1515" spans="2:13" ht="15" x14ac:dyDescent="0.25">
      <c r="B1515"/>
      <c r="M1515"/>
    </row>
    <row r="1516" spans="2:13" ht="15" x14ac:dyDescent="0.25">
      <c r="B1516"/>
      <c r="M1516"/>
    </row>
    <row r="1517" spans="2:13" ht="15" x14ac:dyDescent="0.25">
      <c r="B1517"/>
      <c r="M1517"/>
    </row>
    <row r="1518" spans="2:13" ht="15" x14ac:dyDescent="0.25">
      <c r="B1518"/>
      <c r="M1518"/>
    </row>
    <row r="1519" spans="2:13" ht="15" x14ac:dyDescent="0.25">
      <c r="B1519"/>
      <c r="M1519"/>
    </row>
    <row r="1520" spans="2:13" ht="15" x14ac:dyDescent="0.25">
      <c r="B1520"/>
      <c r="M1520"/>
    </row>
    <row r="1521" spans="2:13" ht="15" x14ac:dyDescent="0.25">
      <c r="B1521"/>
      <c r="M1521"/>
    </row>
    <row r="1522" spans="2:13" ht="15" x14ac:dyDescent="0.25">
      <c r="B1522"/>
      <c r="M1522"/>
    </row>
    <row r="1523" spans="2:13" ht="15" x14ac:dyDescent="0.25">
      <c r="B1523"/>
      <c r="M1523"/>
    </row>
    <row r="1524" spans="2:13" ht="15" x14ac:dyDescent="0.25">
      <c r="B1524"/>
      <c r="M1524"/>
    </row>
    <row r="1525" spans="2:13" ht="15" x14ac:dyDescent="0.25">
      <c r="B1525"/>
      <c r="M1525"/>
    </row>
    <row r="1526" spans="2:13" ht="15" x14ac:dyDescent="0.25">
      <c r="B1526"/>
      <c r="M1526"/>
    </row>
    <row r="1527" spans="2:13" ht="15" x14ac:dyDescent="0.25">
      <c r="B1527"/>
      <c r="M1527"/>
    </row>
    <row r="1528" spans="2:13" ht="15" x14ac:dyDescent="0.25">
      <c r="B1528"/>
      <c r="M1528"/>
    </row>
    <row r="1529" spans="2:13" ht="15" x14ac:dyDescent="0.25">
      <c r="B1529"/>
      <c r="M1529"/>
    </row>
    <row r="1530" spans="2:13" ht="15" x14ac:dyDescent="0.25">
      <c r="B1530"/>
      <c r="M1530"/>
    </row>
    <row r="1531" spans="2:13" ht="15" x14ac:dyDescent="0.25">
      <c r="B1531"/>
      <c r="M1531"/>
    </row>
    <row r="1532" spans="2:13" ht="15" x14ac:dyDescent="0.25">
      <c r="B1532"/>
      <c r="M1532"/>
    </row>
    <row r="1533" spans="2:13" ht="15" x14ac:dyDescent="0.25">
      <c r="B1533"/>
      <c r="M1533"/>
    </row>
    <row r="1534" spans="2:13" ht="15" x14ac:dyDescent="0.25">
      <c r="B1534"/>
      <c r="M1534"/>
    </row>
    <row r="1535" spans="2:13" ht="15" x14ac:dyDescent="0.25">
      <c r="B1535"/>
      <c r="M1535"/>
    </row>
    <row r="1536" spans="2:13" ht="15" x14ac:dyDescent="0.25">
      <c r="B1536"/>
      <c r="M1536"/>
    </row>
    <row r="1537" spans="2:13" ht="15" x14ac:dyDescent="0.25">
      <c r="B1537"/>
      <c r="M1537"/>
    </row>
    <row r="1538" spans="2:13" ht="15" x14ac:dyDescent="0.25">
      <c r="B1538"/>
      <c r="M1538"/>
    </row>
    <row r="1539" spans="2:13" ht="15" x14ac:dyDescent="0.25">
      <c r="B1539"/>
      <c r="M1539"/>
    </row>
    <row r="1540" spans="2:13" ht="15" x14ac:dyDescent="0.25">
      <c r="B1540"/>
      <c r="M1540"/>
    </row>
    <row r="1541" spans="2:13" ht="15" x14ac:dyDescent="0.25">
      <c r="B1541"/>
      <c r="M1541"/>
    </row>
    <row r="1542" spans="2:13" ht="15" x14ac:dyDescent="0.25">
      <c r="B1542"/>
      <c r="M1542"/>
    </row>
    <row r="1543" spans="2:13" ht="15" x14ac:dyDescent="0.25">
      <c r="B1543"/>
      <c r="M1543"/>
    </row>
    <row r="1544" spans="2:13" ht="15" x14ac:dyDescent="0.25">
      <c r="B1544"/>
      <c r="M1544"/>
    </row>
    <row r="1545" spans="2:13" ht="15" x14ac:dyDescent="0.25">
      <c r="B1545"/>
      <c r="M1545"/>
    </row>
    <row r="1546" spans="2:13" ht="15" x14ac:dyDescent="0.25">
      <c r="B1546"/>
      <c r="M1546"/>
    </row>
    <row r="1547" spans="2:13" ht="15" x14ac:dyDescent="0.25">
      <c r="B1547"/>
      <c r="M1547"/>
    </row>
    <row r="1548" spans="2:13" ht="15" x14ac:dyDescent="0.25">
      <c r="B1548"/>
      <c r="M1548"/>
    </row>
    <row r="1549" spans="2:13" ht="15" x14ac:dyDescent="0.25">
      <c r="B1549"/>
      <c r="M1549"/>
    </row>
    <row r="1550" spans="2:13" ht="15" x14ac:dyDescent="0.25">
      <c r="B1550"/>
      <c r="M1550"/>
    </row>
    <row r="1551" spans="2:13" ht="15" x14ac:dyDescent="0.25">
      <c r="B1551"/>
      <c r="M1551"/>
    </row>
    <row r="1552" spans="2:13" ht="15" x14ac:dyDescent="0.25">
      <c r="B1552"/>
      <c r="M1552"/>
    </row>
    <row r="1553" spans="2:13" ht="15" x14ac:dyDescent="0.25">
      <c r="B1553"/>
      <c r="M1553"/>
    </row>
    <row r="1554" spans="2:13" ht="15" x14ac:dyDescent="0.25">
      <c r="B1554"/>
      <c r="M1554"/>
    </row>
    <row r="1555" spans="2:13" ht="15" x14ac:dyDescent="0.25">
      <c r="B1555"/>
      <c r="M1555"/>
    </row>
    <row r="1556" spans="2:13" ht="15" x14ac:dyDescent="0.25">
      <c r="B1556"/>
      <c r="M1556"/>
    </row>
    <row r="1557" spans="2:13" ht="15" x14ac:dyDescent="0.25">
      <c r="B1557"/>
      <c r="M1557"/>
    </row>
    <row r="1558" spans="2:13" ht="15" x14ac:dyDescent="0.25">
      <c r="B1558"/>
      <c r="M1558"/>
    </row>
    <row r="1559" spans="2:13" ht="15" x14ac:dyDescent="0.25">
      <c r="B1559"/>
      <c r="M1559"/>
    </row>
    <row r="1560" spans="2:13" ht="15" x14ac:dyDescent="0.25">
      <c r="B1560"/>
      <c r="M1560"/>
    </row>
    <row r="1561" spans="2:13" ht="15" x14ac:dyDescent="0.25">
      <c r="B1561"/>
      <c r="M1561"/>
    </row>
    <row r="1562" spans="2:13" ht="15" x14ac:dyDescent="0.25">
      <c r="B1562"/>
      <c r="M1562"/>
    </row>
    <row r="1563" spans="2:13" ht="15" x14ac:dyDescent="0.25">
      <c r="B1563"/>
      <c r="M1563"/>
    </row>
    <row r="1564" spans="2:13" ht="15" x14ac:dyDescent="0.25">
      <c r="B1564"/>
      <c r="M1564"/>
    </row>
    <row r="1565" spans="2:13" ht="15" x14ac:dyDescent="0.25">
      <c r="B1565"/>
      <c r="M1565"/>
    </row>
    <row r="1566" spans="2:13" ht="15" x14ac:dyDescent="0.25">
      <c r="B1566"/>
      <c r="M1566"/>
    </row>
    <row r="1567" spans="2:13" ht="15" x14ac:dyDescent="0.25">
      <c r="B1567"/>
      <c r="M1567"/>
    </row>
    <row r="1568" spans="2:13" ht="15" x14ac:dyDescent="0.25">
      <c r="B1568"/>
      <c r="M1568"/>
    </row>
    <row r="1569" spans="2:13" ht="15" x14ac:dyDescent="0.25">
      <c r="B1569"/>
      <c r="M1569"/>
    </row>
    <row r="1570" spans="2:13" ht="15" x14ac:dyDescent="0.25">
      <c r="B1570"/>
      <c r="M1570"/>
    </row>
    <row r="1571" spans="2:13" ht="15" x14ac:dyDescent="0.25">
      <c r="B1571"/>
      <c r="M1571"/>
    </row>
    <row r="1572" spans="2:13" ht="15" x14ac:dyDescent="0.25">
      <c r="B1572"/>
      <c r="M1572"/>
    </row>
    <row r="1573" spans="2:13" ht="15" x14ac:dyDescent="0.25">
      <c r="B1573"/>
      <c r="M1573"/>
    </row>
    <row r="1574" spans="2:13" ht="15" x14ac:dyDescent="0.25">
      <c r="B1574"/>
      <c r="M1574"/>
    </row>
    <row r="1575" spans="2:13" ht="15" x14ac:dyDescent="0.25">
      <c r="B1575"/>
      <c r="M1575"/>
    </row>
    <row r="1576" spans="2:13" ht="15" x14ac:dyDescent="0.25">
      <c r="B1576"/>
      <c r="M1576"/>
    </row>
    <row r="1577" spans="2:13" ht="15" x14ac:dyDescent="0.25">
      <c r="B1577"/>
      <c r="M1577"/>
    </row>
    <row r="1578" spans="2:13" ht="15" x14ac:dyDescent="0.25">
      <c r="B1578"/>
      <c r="M1578"/>
    </row>
    <row r="1579" spans="2:13" ht="15" x14ac:dyDescent="0.25">
      <c r="B1579"/>
      <c r="M1579"/>
    </row>
    <row r="1580" spans="2:13" ht="15" x14ac:dyDescent="0.25">
      <c r="B1580"/>
      <c r="M1580"/>
    </row>
    <row r="1581" spans="2:13" ht="15" x14ac:dyDescent="0.25">
      <c r="B1581"/>
      <c r="M1581"/>
    </row>
    <row r="1582" spans="2:13" ht="15" x14ac:dyDescent="0.25">
      <c r="B1582"/>
      <c r="M1582"/>
    </row>
    <row r="1583" spans="2:13" ht="15" x14ac:dyDescent="0.25">
      <c r="B1583"/>
      <c r="M1583"/>
    </row>
    <row r="1584" spans="2:13" ht="15" x14ac:dyDescent="0.25">
      <c r="B1584"/>
      <c r="M1584"/>
    </row>
    <row r="1585" spans="2:13" ht="15" x14ac:dyDescent="0.25">
      <c r="B1585"/>
      <c r="M1585"/>
    </row>
    <row r="1586" spans="2:13" ht="15" x14ac:dyDescent="0.25">
      <c r="B1586"/>
      <c r="M1586"/>
    </row>
    <row r="1587" spans="2:13" ht="15" x14ac:dyDescent="0.25">
      <c r="B1587"/>
      <c r="M1587"/>
    </row>
    <row r="1588" spans="2:13" ht="15" x14ac:dyDescent="0.25">
      <c r="B1588"/>
      <c r="M1588"/>
    </row>
    <row r="1589" spans="2:13" ht="15" x14ac:dyDescent="0.25">
      <c r="B1589"/>
      <c r="M1589"/>
    </row>
    <row r="1590" spans="2:13" ht="15" x14ac:dyDescent="0.25">
      <c r="B1590"/>
      <c r="M1590"/>
    </row>
    <row r="1591" spans="2:13" ht="15" x14ac:dyDescent="0.25">
      <c r="B1591"/>
      <c r="M1591"/>
    </row>
    <row r="1592" spans="2:13" ht="15" x14ac:dyDescent="0.25">
      <c r="B1592"/>
      <c r="M1592"/>
    </row>
    <row r="1593" spans="2:13" ht="15" x14ac:dyDescent="0.25">
      <c r="B1593"/>
      <c r="M1593"/>
    </row>
    <row r="1594" spans="2:13" ht="15" x14ac:dyDescent="0.25">
      <c r="B1594"/>
      <c r="M1594"/>
    </row>
    <row r="1595" spans="2:13" ht="15" x14ac:dyDescent="0.25">
      <c r="B1595"/>
      <c r="M1595"/>
    </row>
    <row r="1596" spans="2:13" ht="15" x14ac:dyDescent="0.25">
      <c r="B1596"/>
      <c r="M1596"/>
    </row>
    <row r="1597" spans="2:13" ht="15" x14ac:dyDescent="0.25">
      <c r="B1597"/>
      <c r="M1597"/>
    </row>
    <row r="1598" spans="2:13" ht="15" x14ac:dyDescent="0.25">
      <c r="B1598"/>
      <c r="M1598"/>
    </row>
    <row r="1599" spans="2:13" ht="15" x14ac:dyDescent="0.25">
      <c r="B1599"/>
      <c r="M1599"/>
    </row>
    <row r="1600" spans="2:13" ht="15" x14ac:dyDescent="0.25">
      <c r="B1600"/>
      <c r="M1600"/>
    </row>
    <row r="1601" spans="2:13" ht="15" x14ac:dyDescent="0.25">
      <c r="B1601"/>
      <c r="M1601"/>
    </row>
    <row r="1602" spans="2:13" ht="15" x14ac:dyDescent="0.25">
      <c r="B1602"/>
      <c r="M1602"/>
    </row>
    <row r="1603" spans="2:13" ht="15" x14ac:dyDescent="0.25">
      <c r="B1603"/>
      <c r="M1603"/>
    </row>
    <row r="1604" spans="2:13" ht="15" x14ac:dyDescent="0.25">
      <c r="B1604"/>
      <c r="M1604"/>
    </row>
    <row r="1605" spans="2:13" ht="15" x14ac:dyDescent="0.25">
      <c r="B1605"/>
      <c r="M1605"/>
    </row>
    <row r="1606" spans="2:13" ht="15" x14ac:dyDescent="0.25">
      <c r="B1606"/>
      <c r="M1606"/>
    </row>
    <row r="1607" spans="2:13" ht="15" x14ac:dyDescent="0.25">
      <c r="B1607"/>
      <c r="M1607"/>
    </row>
    <row r="1608" spans="2:13" ht="15" x14ac:dyDescent="0.25">
      <c r="B1608"/>
      <c r="M1608"/>
    </row>
    <row r="1609" spans="2:13" ht="15" x14ac:dyDescent="0.25">
      <c r="B1609"/>
      <c r="M1609"/>
    </row>
    <row r="1610" spans="2:13" ht="15" x14ac:dyDescent="0.25">
      <c r="B1610"/>
      <c r="M1610"/>
    </row>
    <row r="1611" spans="2:13" ht="15" x14ac:dyDescent="0.25">
      <c r="B1611"/>
      <c r="M1611"/>
    </row>
    <row r="1612" spans="2:13" ht="15" x14ac:dyDescent="0.25">
      <c r="B1612"/>
      <c r="M1612"/>
    </row>
    <row r="1613" spans="2:13" ht="15" x14ac:dyDescent="0.25">
      <c r="B1613"/>
      <c r="M1613"/>
    </row>
    <row r="1614" spans="2:13" ht="15" x14ac:dyDescent="0.25">
      <c r="B1614"/>
      <c r="M1614"/>
    </row>
    <row r="1615" spans="2:13" ht="15" x14ac:dyDescent="0.25">
      <c r="B1615"/>
      <c r="M1615"/>
    </row>
    <row r="1616" spans="2:13" ht="15" x14ac:dyDescent="0.25">
      <c r="B1616"/>
      <c r="M1616"/>
    </row>
    <row r="1617" spans="2:13" ht="15" x14ac:dyDescent="0.25">
      <c r="B1617"/>
      <c r="M1617"/>
    </row>
    <row r="1618" spans="2:13" ht="15" x14ac:dyDescent="0.25">
      <c r="B1618"/>
      <c r="M1618"/>
    </row>
    <row r="1619" spans="2:13" ht="15" x14ac:dyDescent="0.25">
      <c r="B1619"/>
      <c r="M1619"/>
    </row>
    <row r="1620" spans="2:13" ht="15" x14ac:dyDescent="0.25">
      <c r="B1620"/>
      <c r="M1620"/>
    </row>
    <row r="1621" spans="2:13" ht="15" x14ac:dyDescent="0.25">
      <c r="B1621"/>
      <c r="M1621"/>
    </row>
    <row r="1622" spans="2:13" ht="15" x14ac:dyDescent="0.25">
      <c r="B1622"/>
      <c r="M1622"/>
    </row>
    <row r="1623" spans="2:13" ht="15" x14ac:dyDescent="0.25">
      <c r="B1623"/>
      <c r="M1623"/>
    </row>
    <row r="1624" spans="2:13" ht="15" x14ac:dyDescent="0.25">
      <c r="B1624"/>
      <c r="M1624"/>
    </row>
    <row r="1625" spans="2:13" ht="15" x14ac:dyDescent="0.25">
      <c r="B1625"/>
      <c r="M1625"/>
    </row>
    <row r="1626" spans="2:13" ht="15" x14ac:dyDescent="0.25">
      <c r="B1626"/>
      <c r="M1626"/>
    </row>
    <row r="1627" spans="2:13" ht="15" x14ac:dyDescent="0.25">
      <c r="B1627"/>
      <c r="M1627"/>
    </row>
    <row r="1628" spans="2:13" ht="15" x14ac:dyDescent="0.25">
      <c r="B1628"/>
      <c r="M1628"/>
    </row>
    <row r="1629" spans="2:13" ht="15" x14ac:dyDescent="0.25">
      <c r="B1629"/>
      <c r="M1629"/>
    </row>
    <row r="1630" spans="2:13" ht="15" x14ac:dyDescent="0.25">
      <c r="B1630"/>
      <c r="M1630"/>
    </row>
    <row r="1631" spans="2:13" ht="15" x14ac:dyDescent="0.25">
      <c r="B1631"/>
      <c r="M1631"/>
    </row>
    <row r="1632" spans="2:13" ht="15" x14ac:dyDescent="0.25">
      <c r="B1632"/>
      <c r="M1632"/>
    </row>
    <row r="1633" spans="2:13" ht="15" x14ac:dyDescent="0.25">
      <c r="B1633"/>
      <c r="M1633"/>
    </row>
    <row r="1634" spans="2:13" ht="15" x14ac:dyDescent="0.25">
      <c r="B1634"/>
      <c r="M1634"/>
    </row>
    <row r="1635" spans="2:13" ht="15" x14ac:dyDescent="0.25">
      <c r="B1635"/>
      <c r="M1635"/>
    </row>
    <row r="1636" spans="2:13" ht="15" x14ac:dyDescent="0.25">
      <c r="B1636"/>
      <c r="M1636"/>
    </row>
    <row r="1637" spans="2:13" ht="15" x14ac:dyDescent="0.25">
      <c r="B1637"/>
      <c r="M1637"/>
    </row>
    <row r="1638" spans="2:13" ht="15" x14ac:dyDescent="0.25">
      <c r="B1638"/>
      <c r="M1638"/>
    </row>
    <row r="1639" spans="2:13" ht="15" x14ac:dyDescent="0.25">
      <c r="B1639"/>
      <c r="M1639"/>
    </row>
    <row r="1640" spans="2:13" ht="15" x14ac:dyDescent="0.25">
      <c r="B1640"/>
      <c r="M1640"/>
    </row>
    <row r="1641" spans="2:13" ht="15" x14ac:dyDescent="0.25">
      <c r="B1641"/>
      <c r="M1641"/>
    </row>
    <row r="1642" spans="2:13" ht="15" x14ac:dyDescent="0.25">
      <c r="B1642"/>
      <c r="M1642"/>
    </row>
    <row r="1643" spans="2:13" ht="15" x14ac:dyDescent="0.25">
      <c r="B1643"/>
      <c r="M1643"/>
    </row>
    <row r="1644" spans="2:13" ht="15" x14ac:dyDescent="0.25">
      <c r="B1644"/>
      <c r="M1644"/>
    </row>
    <row r="1645" spans="2:13" ht="15" x14ac:dyDescent="0.25">
      <c r="B1645"/>
      <c r="M1645"/>
    </row>
    <row r="1646" spans="2:13" ht="15" x14ac:dyDescent="0.25">
      <c r="B1646"/>
      <c r="M1646"/>
    </row>
    <row r="1647" spans="2:13" ht="15" x14ac:dyDescent="0.25">
      <c r="B1647"/>
      <c r="M1647"/>
    </row>
    <row r="1648" spans="2:13" ht="15" x14ac:dyDescent="0.25">
      <c r="B1648"/>
      <c r="M1648"/>
    </row>
    <row r="1649" spans="2:13" ht="15" x14ac:dyDescent="0.25">
      <c r="B1649"/>
      <c r="M1649"/>
    </row>
    <row r="1650" spans="2:13" ht="15" x14ac:dyDescent="0.25">
      <c r="B1650"/>
      <c r="M1650"/>
    </row>
    <row r="1651" spans="2:13" ht="15" x14ac:dyDescent="0.25">
      <c r="B1651"/>
      <c r="M1651"/>
    </row>
    <row r="1652" spans="2:13" ht="15" x14ac:dyDescent="0.25">
      <c r="B1652"/>
      <c r="M1652"/>
    </row>
    <row r="1653" spans="2:13" ht="15" x14ac:dyDescent="0.25">
      <c r="B1653"/>
      <c r="M1653"/>
    </row>
    <row r="1654" spans="2:13" ht="15" x14ac:dyDescent="0.25">
      <c r="B1654"/>
      <c r="M1654"/>
    </row>
    <row r="1655" spans="2:13" ht="15" x14ac:dyDescent="0.25">
      <c r="B1655"/>
      <c r="M1655"/>
    </row>
    <row r="1656" spans="2:13" ht="15" x14ac:dyDescent="0.25">
      <c r="B1656"/>
      <c r="M1656"/>
    </row>
    <row r="1657" spans="2:13" ht="15" x14ac:dyDescent="0.25">
      <c r="B1657"/>
      <c r="M1657"/>
    </row>
    <row r="1658" spans="2:13" ht="15" x14ac:dyDescent="0.25">
      <c r="B1658"/>
      <c r="M1658"/>
    </row>
    <row r="1659" spans="2:13" ht="15" x14ac:dyDescent="0.25">
      <c r="B1659"/>
      <c r="M1659"/>
    </row>
    <row r="1660" spans="2:13" ht="15" x14ac:dyDescent="0.25">
      <c r="B1660"/>
      <c r="M1660"/>
    </row>
    <row r="1661" spans="2:13" ht="15" x14ac:dyDescent="0.25">
      <c r="B1661"/>
      <c r="M1661"/>
    </row>
    <row r="1662" spans="2:13" ht="15" x14ac:dyDescent="0.25">
      <c r="B1662"/>
      <c r="M1662"/>
    </row>
    <row r="1663" spans="2:13" ht="15" x14ac:dyDescent="0.25">
      <c r="B1663"/>
      <c r="M1663"/>
    </row>
    <row r="1664" spans="2:13" ht="15" x14ac:dyDescent="0.25">
      <c r="B1664"/>
      <c r="M1664"/>
    </row>
    <row r="1665" spans="2:13" ht="15" x14ac:dyDescent="0.25">
      <c r="B1665"/>
      <c r="M1665"/>
    </row>
    <row r="1666" spans="2:13" ht="15" x14ac:dyDescent="0.25">
      <c r="B1666"/>
      <c r="M1666"/>
    </row>
    <row r="1667" spans="2:13" ht="15" x14ac:dyDescent="0.25">
      <c r="B1667"/>
      <c r="M1667"/>
    </row>
    <row r="1668" spans="2:13" ht="15" x14ac:dyDescent="0.25">
      <c r="B1668"/>
      <c r="M1668"/>
    </row>
    <row r="1669" spans="2:13" ht="15" x14ac:dyDescent="0.25">
      <c r="B1669"/>
      <c r="M1669"/>
    </row>
    <row r="1670" spans="2:13" ht="15" x14ac:dyDescent="0.25">
      <c r="B1670"/>
      <c r="M1670"/>
    </row>
    <row r="1671" spans="2:13" ht="15" x14ac:dyDescent="0.25">
      <c r="B1671"/>
      <c r="M1671"/>
    </row>
    <row r="1672" spans="2:13" ht="15" x14ac:dyDescent="0.25">
      <c r="B1672"/>
      <c r="M1672"/>
    </row>
    <row r="1673" spans="2:13" ht="15" x14ac:dyDescent="0.25">
      <c r="B1673"/>
      <c r="M1673"/>
    </row>
    <row r="1674" spans="2:13" ht="15" x14ac:dyDescent="0.25">
      <c r="B1674"/>
      <c r="M1674"/>
    </row>
    <row r="1675" spans="2:13" ht="15" x14ac:dyDescent="0.25">
      <c r="B1675"/>
      <c r="M1675"/>
    </row>
    <row r="1676" spans="2:13" ht="15" x14ac:dyDescent="0.25">
      <c r="B1676"/>
      <c r="M1676"/>
    </row>
    <row r="1677" spans="2:13" ht="15" x14ac:dyDescent="0.25">
      <c r="B1677"/>
      <c r="M1677"/>
    </row>
    <row r="1678" spans="2:13" ht="15" x14ac:dyDescent="0.25">
      <c r="B1678"/>
      <c r="M1678"/>
    </row>
    <row r="1679" spans="2:13" ht="15" x14ac:dyDescent="0.25">
      <c r="B1679"/>
      <c r="M1679"/>
    </row>
    <row r="1680" spans="2:13" ht="15" x14ac:dyDescent="0.25">
      <c r="B1680"/>
      <c r="M1680"/>
    </row>
    <row r="1681" spans="2:13" ht="15" x14ac:dyDescent="0.25">
      <c r="B1681"/>
      <c r="M1681"/>
    </row>
    <row r="1682" spans="2:13" ht="15" x14ac:dyDescent="0.25">
      <c r="B1682"/>
      <c r="M1682"/>
    </row>
    <row r="1683" spans="2:13" ht="15" x14ac:dyDescent="0.25">
      <c r="B1683"/>
      <c r="M1683"/>
    </row>
    <row r="1684" spans="2:13" ht="15" x14ac:dyDescent="0.25">
      <c r="B1684"/>
      <c r="M1684"/>
    </row>
    <row r="1685" spans="2:13" ht="15" x14ac:dyDescent="0.25">
      <c r="B1685"/>
      <c r="M1685"/>
    </row>
    <row r="1686" spans="2:13" ht="15" x14ac:dyDescent="0.25">
      <c r="B1686"/>
      <c r="M1686"/>
    </row>
    <row r="1687" spans="2:13" ht="15" x14ac:dyDescent="0.25">
      <c r="B1687"/>
      <c r="M1687"/>
    </row>
    <row r="1688" spans="2:13" ht="15" x14ac:dyDescent="0.25">
      <c r="B1688"/>
      <c r="M1688"/>
    </row>
    <row r="1689" spans="2:13" ht="15" x14ac:dyDescent="0.25">
      <c r="B1689"/>
      <c r="M1689"/>
    </row>
    <row r="1690" spans="2:13" ht="15" x14ac:dyDescent="0.25">
      <c r="B1690"/>
      <c r="M1690"/>
    </row>
    <row r="1691" spans="2:13" ht="15" x14ac:dyDescent="0.25">
      <c r="B1691"/>
      <c r="M1691"/>
    </row>
    <row r="1692" spans="2:13" ht="15" x14ac:dyDescent="0.25">
      <c r="B1692"/>
      <c r="M1692"/>
    </row>
    <row r="1693" spans="2:13" ht="15" x14ac:dyDescent="0.25">
      <c r="B1693"/>
      <c r="M1693"/>
    </row>
    <row r="1694" spans="2:13" ht="15" x14ac:dyDescent="0.25">
      <c r="B1694"/>
      <c r="M1694"/>
    </row>
    <row r="1695" spans="2:13" ht="15" x14ac:dyDescent="0.25">
      <c r="B1695"/>
      <c r="M1695"/>
    </row>
    <row r="1696" spans="2:13" ht="15" x14ac:dyDescent="0.25">
      <c r="B1696"/>
      <c r="M1696"/>
    </row>
    <row r="1697" spans="2:13" ht="15" x14ac:dyDescent="0.25">
      <c r="B1697"/>
      <c r="M1697"/>
    </row>
    <row r="1698" spans="2:13" ht="15" x14ac:dyDescent="0.25">
      <c r="B1698"/>
      <c r="M1698"/>
    </row>
    <row r="1699" spans="2:13" ht="15" x14ac:dyDescent="0.25">
      <c r="B1699"/>
      <c r="M1699"/>
    </row>
    <row r="1700" spans="2:13" ht="15" x14ac:dyDescent="0.25">
      <c r="B1700"/>
      <c r="M1700"/>
    </row>
    <row r="1701" spans="2:13" ht="15" x14ac:dyDescent="0.25">
      <c r="B1701"/>
      <c r="M1701"/>
    </row>
    <row r="1702" spans="2:13" ht="15" x14ac:dyDescent="0.25">
      <c r="B1702"/>
      <c r="M1702"/>
    </row>
    <row r="1703" spans="2:13" ht="15" x14ac:dyDescent="0.25">
      <c r="B1703"/>
      <c r="M1703"/>
    </row>
    <row r="1704" spans="2:13" ht="15" x14ac:dyDescent="0.25">
      <c r="B1704"/>
      <c r="M1704"/>
    </row>
    <row r="1705" spans="2:13" ht="15" x14ac:dyDescent="0.25">
      <c r="B1705"/>
      <c r="M1705"/>
    </row>
    <row r="1706" spans="2:13" ht="15" x14ac:dyDescent="0.25">
      <c r="B1706"/>
      <c r="M1706"/>
    </row>
    <row r="1707" spans="2:13" ht="15" x14ac:dyDescent="0.25">
      <c r="B1707"/>
      <c r="M1707"/>
    </row>
    <row r="1708" spans="2:13" ht="15" x14ac:dyDescent="0.25">
      <c r="B1708"/>
      <c r="M1708"/>
    </row>
    <row r="1709" spans="2:13" ht="15" x14ac:dyDescent="0.25">
      <c r="B1709"/>
      <c r="M1709"/>
    </row>
    <row r="1710" spans="2:13" ht="15" x14ac:dyDescent="0.25">
      <c r="B1710"/>
      <c r="M1710"/>
    </row>
    <row r="1711" spans="2:13" ht="15" x14ac:dyDescent="0.25">
      <c r="B1711"/>
      <c r="M1711"/>
    </row>
    <row r="1712" spans="2:13" ht="15" x14ac:dyDescent="0.25">
      <c r="B1712"/>
      <c r="M1712"/>
    </row>
    <row r="1713" spans="2:13" ht="15" x14ac:dyDescent="0.25">
      <c r="B1713"/>
      <c r="M1713"/>
    </row>
    <row r="1714" spans="2:13" ht="15" x14ac:dyDescent="0.25">
      <c r="B1714"/>
      <c r="M1714"/>
    </row>
    <row r="1715" spans="2:13" ht="15" x14ac:dyDescent="0.25">
      <c r="B1715"/>
      <c r="M1715"/>
    </row>
    <row r="1716" spans="2:13" ht="15" x14ac:dyDescent="0.25">
      <c r="B1716"/>
      <c r="M1716"/>
    </row>
    <row r="1717" spans="2:13" ht="15" x14ac:dyDescent="0.25">
      <c r="B1717"/>
      <c r="M1717"/>
    </row>
    <row r="1718" spans="2:13" ht="15" x14ac:dyDescent="0.25">
      <c r="B1718"/>
      <c r="M1718"/>
    </row>
    <row r="1719" spans="2:13" ht="15" x14ac:dyDescent="0.25">
      <c r="B1719"/>
      <c r="M1719"/>
    </row>
    <row r="1720" spans="2:13" ht="15" x14ac:dyDescent="0.25">
      <c r="B1720"/>
      <c r="M1720"/>
    </row>
    <row r="1721" spans="2:13" ht="15" x14ac:dyDescent="0.25">
      <c r="B1721"/>
      <c r="M1721"/>
    </row>
    <row r="1722" spans="2:13" ht="15" x14ac:dyDescent="0.25">
      <c r="B1722"/>
      <c r="M1722"/>
    </row>
    <row r="1723" spans="2:13" ht="15" x14ac:dyDescent="0.25">
      <c r="B1723"/>
      <c r="M1723"/>
    </row>
    <row r="1724" spans="2:13" ht="15" x14ac:dyDescent="0.25">
      <c r="B1724"/>
      <c r="M1724"/>
    </row>
    <row r="1725" spans="2:13" ht="15" x14ac:dyDescent="0.25">
      <c r="B1725"/>
      <c r="M1725"/>
    </row>
    <row r="1726" spans="2:13" ht="15" x14ac:dyDescent="0.25">
      <c r="B1726"/>
      <c r="M1726"/>
    </row>
    <row r="1727" spans="2:13" ht="15" x14ac:dyDescent="0.25">
      <c r="B1727"/>
      <c r="M1727"/>
    </row>
    <row r="1728" spans="2:13" ht="15" x14ac:dyDescent="0.25">
      <c r="B1728"/>
      <c r="M1728"/>
    </row>
    <row r="1729" spans="2:13" ht="15" x14ac:dyDescent="0.25">
      <c r="B1729"/>
      <c r="M1729"/>
    </row>
    <row r="1730" spans="2:13" ht="15" x14ac:dyDescent="0.25">
      <c r="B1730"/>
      <c r="M1730"/>
    </row>
    <row r="1731" spans="2:13" ht="15" x14ac:dyDescent="0.25">
      <c r="B1731"/>
      <c r="M1731"/>
    </row>
    <row r="1732" spans="2:13" ht="15" x14ac:dyDescent="0.25">
      <c r="B1732"/>
      <c r="M1732"/>
    </row>
    <row r="1733" spans="2:13" ht="15" x14ac:dyDescent="0.25">
      <c r="B1733"/>
      <c r="M1733"/>
    </row>
    <row r="1734" spans="2:13" ht="15" x14ac:dyDescent="0.25">
      <c r="B1734"/>
      <c r="M1734"/>
    </row>
    <row r="1735" spans="2:13" ht="15" x14ac:dyDescent="0.25">
      <c r="B1735"/>
      <c r="M1735"/>
    </row>
    <row r="1736" spans="2:13" ht="15" x14ac:dyDescent="0.25">
      <c r="B1736"/>
      <c r="M1736"/>
    </row>
    <row r="1737" spans="2:13" ht="15" x14ac:dyDescent="0.25">
      <c r="B1737"/>
      <c r="M1737"/>
    </row>
    <row r="1738" spans="2:13" ht="15" x14ac:dyDescent="0.25">
      <c r="B1738"/>
      <c r="M1738"/>
    </row>
    <row r="1739" spans="2:13" ht="15" x14ac:dyDescent="0.25">
      <c r="B1739"/>
      <c r="M1739"/>
    </row>
    <row r="1740" spans="2:13" ht="15" x14ac:dyDescent="0.25">
      <c r="B1740"/>
      <c r="M1740"/>
    </row>
    <row r="1741" spans="2:13" ht="15" x14ac:dyDescent="0.25">
      <c r="B1741"/>
      <c r="M1741"/>
    </row>
    <row r="1742" spans="2:13" ht="15" x14ac:dyDescent="0.25">
      <c r="B1742"/>
      <c r="M1742"/>
    </row>
    <row r="1743" spans="2:13" ht="15" x14ac:dyDescent="0.25">
      <c r="B1743"/>
      <c r="M1743"/>
    </row>
    <row r="1744" spans="2:13" ht="15" x14ac:dyDescent="0.25">
      <c r="B1744"/>
      <c r="M1744"/>
    </row>
    <row r="1745" spans="2:13" ht="15" x14ac:dyDescent="0.25">
      <c r="B1745"/>
      <c r="M1745"/>
    </row>
    <row r="1746" spans="2:13" ht="15" x14ac:dyDescent="0.25">
      <c r="B1746"/>
      <c r="M1746"/>
    </row>
    <row r="1747" spans="2:13" ht="15" x14ac:dyDescent="0.25">
      <c r="B1747"/>
      <c r="M1747"/>
    </row>
    <row r="1748" spans="2:13" ht="15" x14ac:dyDescent="0.25">
      <c r="B1748"/>
      <c r="M1748"/>
    </row>
    <row r="1749" spans="2:13" ht="15" x14ac:dyDescent="0.25">
      <c r="B1749"/>
      <c r="M1749"/>
    </row>
    <row r="1750" spans="2:13" ht="15" x14ac:dyDescent="0.25">
      <c r="B1750"/>
      <c r="M1750"/>
    </row>
    <row r="1751" spans="2:13" ht="15" x14ac:dyDescent="0.25">
      <c r="B1751"/>
      <c r="M1751"/>
    </row>
    <row r="1752" spans="2:13" ht="15" x14ac:dyDescent="0.25">
      <c r="B1752"/>
      <c r="M1752"/>
    </row>
    <row r="1753" spans="2:13" ht="15" x14ac:dyDescent="0.25">
      <c r="B1753"/>
      <c r="M1753"/>
    </row>
    <row r="1754" spans="2:13" ht="15" x14ac:dyDescent="0.25">
      <c r="B1754"/>
      <c r="M1754"/>
    </row>
    <row r="1755" spans="2:13" ht="15" x14ac:dyDescent="0.25">
      <c r="B1755"/>
      <c r="M1755"/>
    </row>
    <row r="1756" spans="2:13" ht="15" x14ac:dyDescent="0.25">
      <c r="B1756"/>
      <c r="M1756"/>
    </row>
    <row r="1757" spans="2:13" ht="15" x14ac:dyDescent="0.25">
      <c r="B1757"/>
      <c r="M1757"/>
    </row>
    <row r="1758" spans="2:13" ht="15" x14ac:dyDescent="0.25">
      <c r="B1758"/>
      <c r="M1758"/>
    </row>
    <row r="1759" spans="2:13" ht="15" x14ac:dyDescent="0.25">
      <c r="B1759"/>
      <c r="M1759"/>
    </row>
    <row r="1760" spans="2:13" ht="15" x14ac:dyDescent="0.25">
      <c r="B1760"/>
      <c r="M1760"/>
    </row>
    <row r="1761" spans="2:13" ht="15" x14ac:dyDescent="0.25">
      <c r="B1761"/>
      <c r="M1761"/>
    </row>
    <row r="1762" spans="2:13" ht="15" x14ac:dyDescent="0.25">
      <c r="B1762"/>
      <c r="M1762"/>
    </row>
    <row r="1763" spans="2:13" ht="15" x14ac:dyDescent="0.25">
      <c r="B1763"/>
      <c r="M1763"/>
    </row>
    <row r="1764" spans="2:13" ht="15" x14ac:dyDescent="0.25">
      <c r="B1764"/>
      <c r="M1764"/>
    </row>
    <row r="1765" spans="2:13" ht="15" x14ac:dyDescent="0.25">
      <c r="B1765"/>
      <c r="M1765"/>
    </row>
    <row r="1766" spans="2:13" ht="15" x14ac:dyDescent="0.25">
      <c r="B1766"/>
      <c r="M1766"/>
    </row>
    <row r="1767" spans="2:13" ht="15" x14ac:dyDescent="0.25">
      <c r="B1767"/>
      <c r="M1767"/>
    </row>
    <row r="1768" spans="2:13" ht="15" x14ac:dyDescent="0.25">
      <c r="B1768"/>
      <c r="M1768"/>
    </row>
    <row r="1769" spans="2:13" ht="15" x14ac:dyDescent="0.25">
      <c r="B1769"/>
      <c r="M1769"/>
    </row>
    <row r="1770" spans="2:13" ht="15" x14ac:dyDescent="0.25">
      <c r="B1770"/>
      <c r="M1770"/>
    </row>
    <row r="1771" spans="2:13" ht="15" x14ac:dyDescent="0.25">
      <c r="B1771"/>
      <c r="M1771"/>
    </row>
    <row r="1772" spans="2:13" ht="15" x14ac:dyDescent="0.25">
      <c r="B1772"/>
      <c r="M1772"/>
    </row>
    <row r="1773" spans="2:13" ht="15" x14ac:dyDescent="0.25">
      <c r="B1773"/>
      <c r="M1773"/>
    </row>
    <row r="1774" spans="2:13" ht="15" x14ac:dyDescent="0.25">
      <c r="B1774"/>
      <c r="M1774"/>
    </row>
    <row r="1775" spans="2:13" ht="15" x14ac:dyDescent="0.25">
      <c r="B1775"/>
      <c r="M1775"/>
    </row>
    <row r="1776" spans="2:13" ht="15" x14ac:dyDescent="0.25">
      <c r="B1776"/>
      <c r="M1776"/>
    </row>
    <row r="1777" spans="2:13" ht="15" x14ac:dyDescent="0.25">
      <c r="B1777"/>
      <c r="M1777"/>
    </row>
    <row r="1778" spans="2:13" ht="15" x14ac:dyDescent="0.25">
      <c r="B1778"/>
      <c r="M1778"/>
    </row>
    <row r="1779" spans="2:13" ht="15" x14ac:dyDescent="0.25">
      <c r="B1779"/>
      <c r="M1779"/>
    </row>
    <row r="1780" spans="2:13" ht="15" x14ac:dyDescent="0.25">
      <c r="B1780"/>
      <c r="M1780"/>
    </row>
    <row r="1781" spans="2:13" ht="15" x14ac:dyDescent="0.25">
      <c r="B1781"/>
      <c r="M1781"/>
    </row>
    <row r="1782" spans="2:13" ht="15" x14ac:dyDescent="0.25">
      <c r="B1782"/>
      <c r="M1782"/>
    </row>
    <row r="1783" spans="2:13" ht="15" x14ac:dyDescent="0.25">
      <c r="B1783"/>
      <c r="M1783"/>
    </row>
    <row r="1784" spans="2:13" ht="15" x14ac:dyDescent="0.25">
      <c r="B1784"/>
      <c r="M1784"/>
    </row>
    <row r="1785" spans="2:13" ht="15" x14ac:dyDescent="0.25">
      <c r="B1785"/>
      <c r="M1785"/>
    </row>
    <row r="1786" spans="2:13" ht="15" x14ac:dyDescent="0.25">
      <c r="B1786"/>
      <c r="M1786"/>
    </row>
    <row r="1787" spans="2:13" ht="15" x14ac:dyDescent="0.25">
      <c r="B1787"/>
      <c r="M1787"/>
    </row>
    <row r="1788" spans="2:13" ht="15" x14ac:dyDescent="0.25">
      <c r="B1788"/>
      <c r="M1788"/>
    </row>
    <row r="1789" spans="2:13" ht="15" x14ac:dyDescent="0.25">
      <c r="B1789"/>
      <c r="M1789"/>
    </row>
    <row r="1790" spans="2:13" ht="15" x14ac:dyDescent="0.25">
      <c r="B1790"/>
      <c r="M1790"/>
    </row>
    <row r="1791" spans="2:13" ht="15" x14ac:dyDescent="0.25">
      <c r="B1791"/>
      <c r="M1791"/>
    </row>
    <row r="1792" spans="2:13" ht="15" x14ac:dyDescent="0.25">
      <c r="B1792"/>
      <c r="M1792"/>
    </row>
    <row r="1793" spans="2:13" ht="15" x14ac:dyDescent="0.25">
      <c r="B1793"/>
      <c r="M1793"/>
    </row>
    <row r="1794" spans="2:13" ht="15" x14ac:dyDescent="0.25">
      <c r="B1794"/>
      <c r="M1794"/>
    </row>
    <row r="1795" spans="2:13" ht="15" x14ac:dyDescent="0.25">
      <c r="B1795"/>
      <c r="M1795"/>
    </row>
    <row r="1796" spans="2:13" ht="15" x14ac:dyDescent="0.25">
      <c r="B1796"/>
      <c r="M1796"/>
    </row>
    <row r="1797" spans="2:13" ht="15" x14ac:dyDescent="0.25">
      <c r="B1797"/>
      <c r="M1797"/>
    </row>
    <row r="1798" spans="2:13" ht="15" x14ac:dyDescent="0.25">
      <c r="B1798"/>
      <c r="M1798"/>
    </row>
    <row r="1799" spans="2:13" ht="15" x14ac:dyDescent="0.25">
      <c r="B1799"/>
      <c r="M1799"/>
    </row>
    <row r="1800" spans="2:13" ht="15" x14ac:dyDescent="0.25">
      <c r="B1800"/>
      <c r="M1800"/>
    </row>
    <row r="1801" spans="2:13" ht="15" x14ac:dyDescent="0.25">
      <c r="B1801"/>
      <c r="M1801"/>
    </row>
    <row r="1802" spans="2:13" ht="15" x14ac:dyDescent="0.25">
      <c r="B1802"/>
      <c r="M1802"/>
    </row>
    <row r="1803" spans="2:13" ht="15" x14ac:dyDescent="0.25">
      <c r="B1803"/>
      <c r="M1803"/>
    </row>
    <row r="1804" spans="2:13" ht="15" x14ac:dyDescent="0.25">
      <c r="B1804"/>
      <c r="M1804"/>
    </row>
    <row r="1805" spans="2:13" ht="15" x14ac:dyDescent="0.25">
      <c r="B1805"/>
      <c r="M1805"/>
    </row>
    <row r="1806" spans="2:13" ht="15" x14ac:dyDescent="0.25">
      <c r="B1806"/>
      <c r="M1806"/>
    </row>
    <row r="1807" spans="2:13" ht="15" x14ac:dyDescent="0.25">
      <c r="B1807"/>
      <c r="M1807"/>
    </row>
    <row r="1808" spans="2:13" ht="15" x14ac:dyDescent="0.25">
      <c r="B1808"/>
      <c r="M1808"/>
    </row>
    <row r="1809" spans="2:13" ht="15" x14ac:dyDescent="0.25">
      <c r="B1809"/>
      <c r="M1809"/>
    </row>
    <row r="1810" spans="2:13" ht="15" x14ac:dyDescent="0.25">
      <c r="B1810"/>
      <c r="M1810"/>
    </row>
    <row r="1811" spans="2:13" ht="15" x14ac:dyDescent="0.25">
      <c r="B1811"/>
      <c r="M1811"/>
    </row>
    <row r="1812" spans="2:13" ht="15" x14ac:dyDescent="0.25">
      <c r="B1812"/>
      <c r="M1812"/>
    </row>
    <row r="1813" spans="2:13" ht="15" x14ac:dyDescent="0.25">
      <c r="B1813"/>
      <c r="M1813"/>
    </row>
    <row r="1814" spans="2:13" ht="15" x14ac:dyDescent="0.25">
      <c r="B1814"/>
      <c r="M1814"/>
    </row>
    <row r="1815" spans="2:13" ht="15" x14ac:dyDescent="0.25">
      <c r="B1815"/>
      <c r="M1815"/>
    </row>
    <row r="1816" spans="2:13" ht="15" x14ac:dyDescent="0.25">
      <c r="B1816"/>
      <c r="M1816"/>
    </row>
    <row r="1817" spans="2:13" ht="15" x14ac:dyDescent="0.25">
      <c r="B1817"/>
      <c r="M1817"/>
    </row>
    <row r="1818" spans="2:13" ht="15" x14ac:dyDescent="0.25">
      <c r="B1818"/>
      <c r="M1818"/>
    </row>
    <row r="1819" spans="2:13" ht="15" x14ac:dyDescent="0.25">
      <c r="B1819"/>
      <c r="M1819"/>
    </row>
    <row r="1820" spans="2:13" ht="15" x14ac:dyDescent="0.25">
      <c r="B1820"/>
      <c r="M1820"/>
    </row>
    <row r="1821" spans="2:13" ht="15" x14ac:dyDescent="0.25">
      <c r="B1821"/>
      <c r="M1821"/>
    </row>
    <row r="1822" spans="2:13" ht="15" x14ac:dyDescent="0.25">
      <c r="B1822"/>
      <c r="M1822"/>
    </row>
    <row r="1823" spans="2:13" ht="15" x14ac:dyDescent="0.25">
      <c r="B1823"/>
      <c r="M1823"/>
    </row>
    <row r="1824" spans="2:13" ht="15" x14ac:dyDescent="0.25">
      <c r="B1824"/>
      <c r="M1824"/>
    </row>
    <row r="1825" spans="2:13" ht="15" x14ac:dyDescent="0.25">
      <c r="B1825"/>
      <c r="M1825"/>
    </row>
    <row r="1826" spans="2:13" ht="15" x14ac:dyDescent="0.25">
      <c r="B1826"/>
      <c r="M1826"/>
    </row>
    <row r="1827" spans="2:13" ht="15" x14ac:dyDescent="0.25">
      <c r="B1827"/>
      <c r="M1827"/>
    </row>
    <row r="1828" spans="2:13" ht="15" x14ac:dyDescent="0.25">
      <c r="B1828"/>
      <c r="M1828"/>
    </row>
    <row r="1829" spans="2:13" ht="15" x14ac:dyDescent="0.25">
      <c r="B1829"/>
      <c r="M1829"/>
    </row>
    <row r="1830" spans="2:13" ht="15" x14ac:dyDescent="0.25">
      <c r="B1830"/>
      <c r="M1830"/>
    </row>
    <row r="1831" spans="2:13" ht="15" x14ac:dyDescent="0.25">
      <c r="B1831"/>
      <c r="M1831"/>
    </row>
    <row r="1832" spans="2:13" ht="15" x14ac:dyDescent="0.25">
      <c r="B1832"/>
      <c r="M1832"/>
    </row>
    <row r="1833" spans="2:13" ht="15" x14ac:dyDescent="0.25">
      <c r="B1833"/>
      <c r="M1833"/>
    </row>
    <row r="1834" spans="2:13" ht="15" x14ac:dyDescent="0.25">
      <c r="B1834"/>
      <c r="M1834"/>
    </row>
    <row r="1835" spans="2:13" ht="15" x14ac:dyDescent="0.25">
      <c r="B1835"/>
      <c r="M1835"/>
    </row>
    <row r="1836" spans="2:13" ht="15" x14ac:dyDescent="0.25">
      <c r="B1836"/>
      <c r="M1836"/>
    </row>
    <row r="1837" spans="2:13" ht="15" x14ac:dyDescent="0.25">
      <c r="B1837"/>
      <c r="M1837"/>
    </row>
    <row r="1838" spans="2:13" ht="15" x14ac:dyDescent="0.25">
      <c r="B1838"/>
      <c r="M1838"/>
    </row>
    <row r="1839" spans="2:13" ht="15" x14ac:dyDescent="0.25">
      <c r="B1839"/>
      <c r="M1839"/>
    </row>
    <row r="1840" spans="2:13" ht="15" x14ac:dyDescent="0.25">
      <c r="B1840"/>
      <c r="M1840"/>
    </row>
    <row r="1841" spans="2:13" ht="15" x14ac:dyDescent="0.25">
      <c r="B1841"/>
      <c r="M1841"/>
    </row>
    <row r="1842" spans="2:13" ht="15" x14ac:dyDescent="0.25">
      <c r="B1842"/>
      <c r="M1842"/>
    </row>
    <row r="1843" spans="2:13" ht="15" x14ac:dyDescent="0.25">
      <c r="B1843"/>
      <c r="M1843"/>
    </row>
    <row r="1844" spans="2:13" ht="15" x14ac:dyDescent="0.25">
      <c r="B1844"/>
      <c r="M1844"/>
    </row>
    <row r="1845" spans="2:13" ht="15" x14ac:dyDescent="0.25">
      <c r="B1845"/>
      <c r="M1845"/>
    </row>
    <row r="1846" spans="2:13" ht="15" x14ac:dyDescent="0.25">
      <c r="B1846"/>
      <c r="M1846"/>
    </row>
    <row r="1847" spans="2:13" ht="15" x14ac:dyDescent="0.25">
      <c r="B1847"/>
      <c r="M1847"/>
    </row>
    <row r="1848" spans="2:13" ht="15" x14ac:dyDescent="0.25">
      <c r="B1848"/>
      <c r="M1848"/>
    </row>
    <row r="1849" spans="2:13" ht="15" x14ac:dyDescent="0.25">
      <c r="B1849"/>
      <c r="M1849"/>
    </row>
    <row r="1850" spans="2:13" ht="15" x14ac:dyDescent="0.25">
      <c r="B1850"/>
      <c r="M1850"/>
    </row>
    <row r="1851" spans="2:13" ht="15" x14ac:dyDescent="0.25">
      <c r="B1851"/>
      <c r="M1851"/>
    </row>
    <row r="1852" spans="2:13" ht="15" x14ac:dyDescent="0.25">
      <c r="B1852"/>
      <c r="M1852"/>
    </row>
    <row r="1853" spans="2:13" ht="15" x14ac:dyDescent="0.25">
      <c r="B1853"/>
      <c r="M1853"/>
    </row>
    <row r="1854" spans="2:13" ht="15" x14ac:dyDescent="0.25">
      <c r="B1854"/>
      <c r="M1854"/>
    </row>
    <row r="1855" spans="2:13" ht="15" x14ac:dyDescent="0.25">
      <c r="B1855"/>
      <c r="M1855"/>
    </row>
    <row r="1856" spans="2:13" ht="15" x14ac:dyDescent="0.25">
      <c r="B1856"/>
      <c r="M1856"/>
    </row>
    <row r="1857" spans="2:13" ht="15" x14ac:dyDescent="0.25">
      <c r="B1857"/>
      <c r="M1857"/>
    </row>
    <row r="1858" spans="2:13" ht="15" x14ac:dyDescent="0.25">
      <c r="B1858"/>
      <c r="M1858"/>
    </row>
    <row r="1859" spans="2:13" ht="15" x14ac:dyDescent="0.25">
      <c r="B1859"/>
      <c r="M1859"/>
    </row>
    <row r="1860" spans="2:13" ht="15" x14ac:dyDescent="0.25">
      <c r="B1860"/>
      <c r="M1860"/>
    </row>
    <row r="1861" spans="2:13" ht="15" x14ac:dyDescent="0.25">
      <c r="B1861"/>
      <c r="M1861"/>
    </row>
    <row r="1862" spans="2:13" ht="15" x14ac:dyDescent="0.25">
      <c r="B1862"/>
      <c r="M1862"/>
    </row>
    <row r="1863" spans="2:13" ht="15" x14ac:dyDescent="0.25">
      <c r="B1863"/>
      <c r="M1863"/>
    </row>
    <row r="1864" spans="2:13" ht="15" x14ac:dyDescent="0.25">
      <c r="B1864"/>
      <c r="M1864"/>
    </row>
    <row r="1865" spans="2:13" ht="15" x14ac:dyDescent="0.25">
      <c r="B1865"/>
      <c r="M1865"/>
    </row>
    <row r="1866" spans="2:13" ht="15" x14ac:dyDescent="0.25">
      <c r="B1866"/>
      <c r="M1866"/>
    </row>
    <row r="1867" spans="2:13" ht="15" x14ac:dyDescent="0.25">
      <c r="B1867"/>
      <c r="M1867"/>
    </row>
    <row r="1868" spans="2:13" ht="15" x14ac:dyDescent="0.25">
      <c r="B1868"/>
      <c r="M1868"/>
    </row>
    <row r="1869" spans="2:13" ht="15" x14ac:dyDescent="0.25">
      <c r="B1869"/>
      <c r="M1869"/>
    </row>
    <row r="1870" spans="2:13" ht="15" x14ac:dyDescent="0.25">
      <c r="B1870"/>
      <c r="M1870"/>
    </row>
    <row r="1871" spans="2:13" ht="15" x14ac:dyDescent="0.25">
      <c r="B1871"/>
      <c r="M1871"/>
    </row>
    <row r="1872" spans="2:13" ht="15" x14ac:dyDescent="0.25">
      <c r="B1872"/>
      <c r="M1872"/>
    </row>
    <row r="1873" spans="2:13" ht="15" x14ac:dyDescent="0.25">
      <c r="B1873"/>
      <c r="M1873"/>
    </row>
    <row r="1874" spans="2:13" ht="15" x14ac:dyDescent="0.25">
      <c r="B1874"/>
      <c r="M1874"/>
    </row>
    <row r="1875" spans="2:13" ht="15" x14ac:dyDescent="0.25">
      <c r="B1875"/>
      <c r="M1875"/>
    </row>
    <row r="1876" spans="2:13" ht="15" x14ac:dyDescent="0.25">
      <c r="B1876"/>
      <c r="M1876"/>
    </row>
    <row r="1877" spans="2:13" ht="15" x14ac:dyDescent="0.25">
      <c r="B1877"/>
      <c r="M1877"/>
    </row>
    <row r="1878" spans="2:13" ht="15" x14ac:dyDescent="0.25">
      <c r="B1878"/>
      <c r="M1878"/>
    </row>
    <row r="1879" spans="2:13" ht="15" x14ac:dyDescent="0.25">
      <c r="B1879"/>
      <c r="M1879"/>
    </row>
    <row r="1880" spans="2:13" ht="15" x14ac:dyDescent="0.25">
      <c r="B1880"/>
      <c r="M1880"/>
    </row>
    <row r="1881" spans="2:13" ht="15" x14ac:dyDescent="0.25">
      <c r="B1881"/>
      <c r="M1881"/>
    </row>
    <row r="1882" spans="2:13" ht="15" x14ac:dyDescent="0.25">
      <c r="B1882"/>
      <c r="M1882"/>
    </row>
    <row r="1883" spans="2:13" ht="15" x14ac:dyDescent="0.25">
      <c r="B1883"/>
      <c r="M1883"/>
    </row>
    <row r="1884" spans="2:13" ht="15" x14ac:dyDescent="0.25">
      <c r="B1884"/>
      <c r="M1884"/>
    </row>
    <row r="1885" spans="2:13" ht="15" x14ac:dyDescent="0.25">
      <c r="B1885"/>
      <c r="M1885"/>
    </row>
    <row r="1886" spans="2:13" ht="15" x14ac:dyDescent="0.25">
      <c r="B1886"/>
      <c r="M1886"/>
    </row>
    <row r="1887" spans="2:13" ht="15" x14ac:dyDescent="0.25">
      <c r="B1887"/>
      <c r="M1887"/>
    </row>
    <row r="1888" spans="2:13" ht="15" x14ac:dyDescent="0.25">
      <c r="B1888"/>
      <c r="M1888"/>
    </row>
    <row r="1889" spans="2:13" ht="15" x14ac:dyDescent="0.25">
      <c r="B1889"/>
      <c r="M1889"/>
    </row>
    <row r="1890" spans="2:13" ht="15" x14ac:dyDescent="0.25">
      <c r="B1890"/>
      <c r="M1890"/>
    </row>
    <row r="1891" spans="2:13" ht="15" x14ac:dyDescent="0.25">
      <c r="B1891"/>
      <c r="M1891"/>
    </row>
    <row r="1892" spans="2:13" ht="15" x14ac:dyDescent="0.25">
      <c r="B1892"/>
      <c r="M1892"/>
    </row>
    <row r="1893" spans="2:13" ht="15" x14ac:dyDescent="0.25">
      <c r="B1893"/>
      <c r="M1893"/>
    </row>
    <row r="1894" spans="2:13" ht="15" x14ac:dyDescent="0.25">
      <c r="B1894"/>
      <c r="M1894"/>
    </row>
    <row r="1895" spans="2:13" ht="15" x14ac:dyDescent="0.25">
      <c r="B1895"/>
      <c r="M1895"/>
    </row>
    <row r="1896" spans="2:13" ht="15" x14ac:dyDescent="0.25">
      <c r="B1896"/>
      <c r="M1896"/>
    </row>
    <row r="1897" spans="2:13" ht="15" x14ac:dyDescent="0.25">
      <c r="B1897"/>
      <c r="M1897"/>
    </row>
    <row r="1898" spans="2:13" ht="15" x14ac:dyDescent="0.25">
      <c r="B1898"/>
      <c r="M1898"/>
    </row>
    <row r="1899" spans="2:13" ht="15" x14ac:dyDescent="0.25">
      <c r="B1899"/>
      <c r="M1899"/>
    </row>
    <row r="1900" spans="2:13" ht="15" x14ac:dyDescent="0.25">
      <c r="B1900"/>
      <c r="M1900"/>
    </row>
    <row r="1901" spans="2:13" ht="15" x14ac:dyDescent="0.25">
      <c r="B1901"/>
      <c r="M1901"/>
    </row>
    <row r="1902" spans="2:13" ht="15" x14ac:dyDescent="0.25">
      <c r="B1902"/>
      <c r="M1902"/>
    </row>
    <row r="1903" spans="2:13" ht="15" x14ac:dyDescent="0.25">
      <c r="B1903"/>
      <c r="M1903"/>
    </row>
    <row r="1904" spans="2:13" ht="15" x14ac:dyDescent="0.25">
      <c r="B1904"/>
      <c r="M1904"/>
    </row>
    <row r="1905" spans="2:13" ht="15" x14ac:dyDescent="0.25">
      <c r="B1905"/>
      <c r="M1905"/>
    </row>
    <row r="1906" spans="2:13" ht="15" x14ac:dyDescent="0.25">
      <c r="B1906"/>
      <c r="M1906"/>
    </row>
    <row r="1907" spans="2:13" ht="15" x14ac:dyDescent="0.25">
      <c r="B1907"/>
      <c r="M1907"/>
    </row>
    <row r="1908" spans="2:13" ht="15" x14ac:dyDescent="0.25">
      <c r="B1908"/>
      <c r="M1908"/>
    </row>
    <row r="1909" spans="2:13" ht="15" x14ac:dyDescent="0.25">
      <c r="B1909"/>
      <c r="M1909"/>
    </row>
    <row r="1910" spans="2:13" ht="15" x14ac:dyDescent="0.25">
      <c r="B1910"/>
      <c r="M1910"/>
    </row>
    <row r="1911" spans="2:13" ht="15" x14ac:dyDescent="0.25">
      <c r="B1911"/>
      <c r="M1911"/>
    </row>
    <row r="1912" spans="2:13" ht="15" x14ac:dyDescent="0.25">
      <c r="B1912"/>
      <c r="M1912"/>
    </row>
    <row r="1913" spans="2:13" ht="15" x14ac:dyDescent="0.25">
      <c r="B1913"/>
      <c r="M1913"/>
    </row>
    <row r="1914" spans="2:13" ht="15" x14ac:dyDescent="0.25">
      <c r="B1914"/>
      <c r="M1914"/>
    </row>
    <row r="1915" spans="2:13" ht="15" x14ac:dyDescent="0.25">
      <c r="B1915"/>
      <c r="M1915"/>
    </row>
    <row r="1916" spans="2:13" ht="15" x14ac:dyDescent="0.25">
      <c r="B1916"/>
      <c r="M1916"/>
    </row>
    <row r="1917" spans="2:13" ht="15" x14ac:dyDescent="0.25">
      <c r="B1917"/>
      <c r="M1917"/>
    </row>
    <row r="1918" spans="2:13" ht="15" x14ac:dyDescent="0.25">
      <c r="B1918"/>
      <c r="M1918"/>
    </row>
    <row r="1919" spans="2:13" ht="15" x14ac:dyDescent="0.25">
      <c r="B1919"/>
      <c r="M1919"/>
    </row>
    <row r="1920" spans="2:13" ht="15" x14ac:dyDescent="0.25">
      <c r="B1920"/>
      <c r="M1920"/>
    </row>
    <row r="1921" spans="2:13" ht="15" x14ac:dyDescent="0.25">
      <c r="B1921"/>
      <c r="M1921"/>
    </row>
    <row r="1922" spans="2:13" ht="15" x14ac:dyDescent="0.25">
      <c r="B1922"/>
      <c r="M1922"/>
    </row>
    <row r="1923" spans="2:13" ht="15" x14ac:dyDescent="0.25">
      <c r="B1923"/>
      <c r="M1923"/>
    </row>
    <row r="1924" spans="2:13" ht="15" x14ac:dyDescent="0.25">
      <c r="B1924"/>
      <c r="M1924"/>
    </row>
    <row r="1925" spans="2:13" ht="15" x14ac:dyDescent="0.25">
      <c r="B1925"/>
      <c r="M1925"/>
    </row>
    <row r="1926" spans="2:13" ht="15" x14ac:dyDescent="0.25">
      <c r="B1926"/>
      <c r="M1926"/>
    </row>
    <row r="1927" spans="2:13" ht="15" x14ac:dyDescent="0.25">
      <c r="B1927"/>
      <c r="M1927"/>
    </row>
    <row r="1928" spans="2:13" ht="15" x14ac:dyDescent="0.25">
      <c r="B1928"/>
      <c r="M1928"/>
    </row>
    <row r="1929" spans="2:13" ht="15" x14ac:dyDescent="0.25">
      <c r="B1929"/>
      <c r="M1929"/>
    </row>
    <row r="1930" spans="2:13" ht="15" x14ac:dyDescent="0.25">
      <c r="B1930"/>
      <c r="M1930"/>
    </row>
    <row r="1931" spans="2:13" ht="15" x14ac:dyDescent="0.25">
      <c r="B1931"/>
      <c r="M1931"/>
    </row>
    <row r="1932" spans="2:13" ht="15" x14ac:dyDescent="0.25">
      <c r="B1932"/>
      <c r="M1932"/>
    </row>
    <row r="1933" spans="2:13" ht="15" x14ac:dyDescent="0.25">
      <c r="B1933"/>
      <c r="M1933"/>
    </row>
    <row r="1934" spans="2:13" ht="15" x14ac:dyDescent="0.25">
      <c r="B1934"/>
      <c r="M1934"/>
    </row>
    <row r="1935" spans="2:13" ht="15" x14ac:dyDescent="0.25">
      <c r="B1935"/>
      <c r="M1935"/>
    </row>
    <row r="1936" spans="2:13" ht="15" x14ac:dyDescent="0.25">
      <c r="B1936"/>
      <c r="M1936"/>
    </row>
    <row r="1937" spans="2:13" ht="15" x14ac:dyDescent="0.25">
      <c r="B1937"/>
      <c r="M1937"/>
    </row>
    <row r="1938" spans="2:13" ht="15" x14ac:dyDescent="0.25">
      <c r="B1938"/>
      <c r="M1938"/>
    </row>
    <row r="1939" spans="2:13" ht="15" x14ac:dyDescent="0.25">
      <c r="B1939"/>
      <c r="M1939"/>
    </row>
    <row r="1940" spans="2:13" ht="15" x14ac:dyDescent="0.25">
      <c r="B1940"/>
      <c r="M1940"/>
    </row>
    <row r="1941" spans="2:13" ht="15" x14ac:dyDescent="0.25">
      <c r="B1941"/>
      <c r="M1941"/>
    </row>
    <row r="1942" spans="2:13" ht="15" x14ac:dyDescent="0.25">
      <c r="B1942"/>
      <c r="M1942"/>
    </row>
    <row r="1943" spans="2:13" ht="15" x14ac:dyDescent="0.25">
      <c r="B1943"/>
      <c r="M1943"/>
    </row>
    <row r="1944" spans="2:13" ht="15" x14ac:dyDescent="0.25">
      <c r="B1944"/>
      <c r="M1944"/>
    </row>
    <row r="1945" spans="2:13" ht="15" x14ac:dyDescent="0.25">
      <c r="B1945"/>
      <c r="M1945"/>
    </row>
    <row r="1946" spans="2:13" ht="15" x14ac:dyDescent="0.25">
      <c r="B1946"/>
      <c r="M1946"/>
    </row>
    <row r="1947" spans="2:13" ht="15" x14ac:dyDescent="0.25">
      <c r="B1947"/>
      <c r="M1947"/>
    </row>
    <row r="1948" spans="2:13" ht="15" x14ac:dyDescent="0.25">
      <c r="B1948"/>
      <c r="M1948"/>
    </row>
    <row r="1949" spans="2:13" ht="15" x14ac:dyDescent="0.25">
      <c r="B1949"/>
      <c r="M1949"/>
    </row>
    <row r="1950" spans="2:13" ht="15" x14ac:dyDescent="0.25">
      <c r="B1950"/>
      <c r="M1950"/>
    </row>
    <row r="1951" spans="2:13" ht="15" x14ac:dyDescent="0.25">
      <c r="B1951"/>
      <c r="M1951"/>
    </row>
    <row r="1952" spans="2:13" ht="15" x14ac:dyDescent="0.25">
      <c r="B1952"/>
      <c r="M1952"/>
    </row>
    <row r="1953" spans="2:13" ht="15" x14ac:dyDescent="0.25">
      <c r="B1953"/>
      <c r="M1953"/>
    </row>
    <row r="1954" spans="2:13" ht="15" x14ac:dyDescent="0.25">
      <c r="B1954"/>
      <c r="M1954"/>
    </row>
    <row r="1955" spans="2:13" ht="15" x14ac:dyDescent="0.25">
      <c r="B1955"/>
      <c r="M1955"/>
    </row>
    <row r="1956" spans="2:13" ht="15" x14ac:dyDescent="0.25">
      <c r="B1956"/>
      <c r="M1956"/>
    </row>
    <row r="1957" spans="2:13" ht="15" x14ac:dyDescent="0.25">
      <c r="B1957"/>
      <c r="M1957"/>
    </row>
    <row r="1958" spans="2:13" ht="15" x14ac:dyDescent="0.25">
      <c r="B1958"/>
      <c r="M1958"/>
    </row>
    <row r="1959" spans="2:13" ht="15" x14ac:dyDescent="0.25">
      <c r="B1959"/>
      <c r="M1959"/>
    </row>
    <row r="1960" spans="2:13" ht="15" x14ac:dyDescent="0.25">
      <c r="B1960"/>
      <c r="M1960"/>
    </row>
    <row r="1961" spans="2:13" ht="15" x14ac:dyDescent="0.25">
      <c r="B1961"/>
      <c r="M1961"/>
    </row>
    <row r="1962" spans="2:13" ht="15" x14ac:dyDescent="0.25">
      <c r="B1962"/>
      <c r="M1962"/>
    </row>
    <row r="1963" spans="2:13" ht="15" x14ac:dyDescent="0.25">
      <c r="B1963"/>
      <c r="M1963"/>
    </row>
    <row r="1964" spans="2:13" ht="15" x14ac:dyDescent="0.25">
      <c r="B1964"/>
      <c r="M1964"/>
    </row>
    <row r="1965" spans="2:13" ht="15" x14ac:dyDescent="0.25">
      <c r="B1965"/>
      <c r="M1965"/>
    </row>
    <row r="1966" spans="2:13" ht="15" x14ac:dyDescent="0.25">
      <c r="B1966"/>
      <c r="M1966"/>
    </row>
    <row r="1967" spans="2:13" ht="15" x14ac:dyDescent="0.25">
      <c r="B1967"/>
      <c r="M1967"/>
    </row>
    <row r="1968" spans="2:13" ht="15" x14ac:dyDescent="0.25">
      <c r="B1968"/>
      <c r="M1968"/>
    </row>
    <row r="1969" spans="2:13" ht="15" x14ac:dyDescent="0.25">
      <c r="B1969"/>
      <c r="M1969"/>
    </row>
    <row r="1970" spans="2:13" ht="15" x14ac:dyDescent="0.25">
      <c r="B1970"/>
      <c r="M1970"/>
    </row>
    <row r="1971" spans="2:13" ht="15" x14ac:dyDescent="0.25">
      <c r="B1971"/>
      <c r="M1971"/>
    </row>
    <row r="1972" spans="2:13" ht="15" x14ac:dyDescent="0.25">
      <c r="B1972"/>
      <c r="M1972"/>
    </row>
    <row r="1973" spans="2:13" ht="15" x14ac:dyDescent="0.25">
      <c r="B1973"/>
      <c r="M1973"/>
    </row>
    <row r="1974" spans="2:13" ht="15" x14ac:dyDescent="0.25">
      <c r="B1974"/>
      <c r="M1974"/>
    </row>
    <row r="1975" spans="2:13" ht="15" x14ac:dyDescent="0.25">
      <c r="B1975"/>
      <c r="M1975"/>
    </row>
    <row r="1976" spans="2:13" ht="15" x14ac:dyDescent="0.25">
      <c r="B1976"/>
      <c r="M1976"/>
    </row>
    <row r="1977" spans="2:13" ht="15" x14ac:dyDescent="0.25">
      <c r="B1977"/>
      <c r="M1977"/>
    </row>
    <row r="1978" spans="2:13" ht="15" x14ac:dyDescent="0.25">
      <c r="B1978"/>
      <c r="M1978"/>
    </row>
    <row r="1979" spans="2:13" ht="15" x14ac:dyDescent="0.25">
      <c r="B1979"/>
      <c r="M1979"/>
    </row>
    <row r="1980" spans="2:13" ht="15" x14ac:dyDescent="0.25">
      <c r="B1980"/>
      <c r="M1980"/>
    </row>
    <row r="1981" spans="2:13" ht="15" x14ac:dyDescent="0.25">
      <c r="B1981"/>
      <c r="M1981"/>
    </row>
    <row r="1982" spans="2:13" ht="15" x14ac:dyDescent="0.25">
      <c r="B1982"/>
      <c r="M1982"/>
    </row>
    <row r="1983" spans="2:13" ht="15" x14ac:dyDescent="0.25">
      <c r="B1983"/>
      <c r="M1983"/>
    </row>
    <row r="1984" spans="2:13" ht="15" x14ac:dyDescent="0.25">
      <c r="B1984"/>
      <c r="M1984"/>
    </row>
    <row r="1985" spans="2:13" ht="15" x14ac:dyDescent="0.25">
      <c r="B1985"/>
      <c r="M1985"/>
    </row>
    <row r="1986" spans="2:13" ht="15" x14ac:dyDescent="0.25">
      <c r="B1986"/>
      <c r="M1986"/>
    </row>
    <row r="1987" spans="2:13" ht="15" x14ac:dyDescent="0.25">
      <c r="B1987"/>
      <c r="M1987"/>
    </row>
    <row r="1988" spans="2:13" ht="15" x14ac:dyDescent="0.25">
      <c r="B1988"/>
      <c r="M1988"/>
    </row>
    <row r="1989" spans="2:13" ht="15" x14ac:dyDescent="0.25">
      <c r="B1989"/>
      <c r="M1989"/>
    </row>
    <row r="1990" spans="2:13" ht="15" x14ac:dyDescent="0.25">
      <c r="B1990"/>
      <c r="M1990"/>
    </row>
    <row r="1991" spans="2:13" ht="15" x14ac:dyDescent="0.25">
      <c r="B1991"/>
      <c r="M1991"/>
    </row>
    <row r="1992" spans="2:13" ht="15" x14ac:dyDescent="0.25">
      <c r="B1992"/>
      <c r="M1992"/>
    </row>
    <row r="1993" spans="2:13" ht="15" x14ac:dyDescent="0.25">
      <c r="B1993"/>
      <c r="M1993"/>
    </row>
    <row r="1994" spans="2:13" ht="15" x14ac:dyDescent="0.25">
      <c r="B1994"/>
      <c r="M1994"/>
    </row>
    <row r="1995" spans="2:13" ht="15" x14ac:dyDescent="0.25">
      <c r="B1995"/>
      <c r="M1995"/>
    </row>
    <row r="1996" spans="2:13" ht="15" x14ac:dyDescent="0.25">
      <c r="B1996"/>
      <c r="M1996"/>
    </row>
    <row r="1997" spans="2:13" ht="15" x14ac:dyDescent="0.25">
      <c r="B1997"/>
      <c r="M1997"/>
    </row>
    <row r="1998" spans="2:13" ht="15" x14ac:dyDescent="0.25">
      <c r="B1998"/>
      <c r="M1998"/>
    </row>
    <row r="1999" spans="2:13" ht="15" x14ac:dyDescent="0.25">
      <c r="B1999"/>
      <c r="M1999"/>
    </row>
    <row r="2000" spans="2:13" ht="15" x14ac:dyDescent="0.25">
      <c r="B2000"/>
      <c r="M2000"/>
    </row>
    <row r="2001" spans="2:13" ht="15" x14ac:dyDescent="0.25">
      <c r="B2001"/>
      <c r="M2001"/>
    </row>
    <row r="2002" spans="2:13" ht="15" x14ac:dyDescent="0.25">
      <c r="B2002"/>
      <c r="M2002"/>
    </row>
    <row r="2003" spans="2:13" ht="15" x14ac:dyDescent="0.25">
      <c r="B2003"/>
      <c r="M2003"/>
    </row>
    <row r="2004" spans="2:13" ht="15" x14ac:dyDescent="0.25">
      <c r="B2004"/>
      <c r="M2004"/>
    </row>
    <row r="2005" spans="2:13" ht="15" x14ac:dyDescent="0.25">
      <c r="B2005"/>
      <c r="M2005"/>
    </row>
    <row r="2006" spans="2:13" ht="15" x14ac:dyDescent="0.25">
      <c r="B2006"/>
      <c r="M2006"/>
    </row>
    <row r="2007" spans="2:13" ht="15" x14ac:dyDescent="0.25">
      <c r="B2007"/>
      <c r="M2007"/>
    </row>
    <row r="2008" spans="2:13" ht="15" x14ac:dyDescent="0.25">
      <c r="B2008"/>
      <c r="M2008"/>
    </row>
    <row r="2009" spans="2:13" ht="15" x14ac:dyDescent="0.25">
      <c r="B2009"/>
      <c r="M2009"/>
    </row>
    <row r="2010" spans="2:13" ht="15" x14ac:dyDescent="0.25">
      <c r="B2010"/>
      <c r="M2010"/>
    </row>
    <row r="2011" spans="2:13" ht="15" x14ac:dyDescent="0.25">
      <c r="B2011"/>
      <c r="M2011"/>
    </row>
    <row r="2012" spans="2:13" ht="15" x14ac:dyDescent="0.25">
      <c r="B2012"/>
      <c r="M2012"/>
    </row>
    <row r="2013" spans="2:13" ht="15" x14ac:dyDescent="0.25">
      <c r="B2013"/>
      <c r="M2013"/>
    </row>
    <row r="2014" spans="2:13" ht="15" x14ac:dyDescent="0.25">
      <c r="B2014"/>
      <c r="M2014"/>
    </row>
    <row r="2015" spans="2:13" ht="15" x14ac:dyDescent="0.25">
      <c r="B2015"/>
      <c r="M2015"/>
    </row>
    <row r="2016" spans="2:13" ht="15" x14ac:dyDescent="0.25">
      <c r="B2016"/>
      <c r="M2016"/>
    </row>
    <row r="2017" spans="2:13" ht="15" x14ac:dyDescent="0.25">
      <c r="B2017"/>
      <c r="M2017"/>
    </row>
    <row r="2018" spans="2:13" ht="15" x14ac:dyDescent="0.25">
      <c r="B2018"/>
      <c r="M2018"/>
    </row>
    <row r="2019" spans="2:13" ht="15" x14ac:dyDescent="0.25">
      <c r="B2019"/>
      <c r="M2019"/>
    </row>
    <row r="2020" spans="2:13" ht="15" x14ac:dyDescent="0.25">
      <c r="B2020"/>
      <c r="M2020"/>
    </row>
    <row r="2021" spans="2:13" ht="15" x14ac:dyDescent="0.25">
      <c r="B2021"/>
      <c r="M2021"/>
    </row>
    <row r="2022" spans="2:13" ht="15" x14ac:dyDescent="0.25">
      <c r="B2022"/>
      <c r="M2022"/>
    </row>
    <row r="2023" spans="2:13" ht="15" x14ac:dyDescent="0.25">
      <c r="B2023"/>
      <c r="M2023"/>
    </row>
    <row r="2024" spans="2:13" ht="15" x14ac:dyDescent="0.25">
      <c r="B2024"/>
      <c r="M2024"/>
    </row>
    <row r="2025" spans="2:13" ht="15" x14ac:dyDescent="0.25">
      <c r="B2025"/>
      <c r="M2025"/>
    </row>
    <row r="2026" spans="2:13" ht="15" x14ac:dyDescent="0.25">
      <c r="B2026"/>
      <c r="M2026"/>
    </row>
    <row r="2027" spans="2:13" ht="15" x14ac:dyDescent="0.25">
      <c r="B2027"/>
      <c r="M2027"/>
    </row>
    <row r="2028" spans="2:13" ht="15" x14ac:dyDescent="0.25">
      <c r="B2028"/>
      <c r="M2028"/>
    </row>
    <row r="2029" spans="2:13" ht="15" x14ac:dyDescent="0.25">
      <c r="B2029"/>
      <c r="M2029"/>
    </row>
    <row r="2030" spans="2:13" ht="15" x14ac:dyDescent="0.25">
      <c r="B2030"/>
      <c r="M2030"/>
    </row>
    <row r="2031" spans="2:13" ht="15" x14ac:dyDescent="0.25">
      <c r="B2031"/>
      <c r="M2031"/>
    </row>
    <row r="2032" spans="2:13" ht="15" x14ac:dyDescent="0.25">
      <c r="B2032"/>
      <c r="M2032"/>
    </row>
    <row r="2033" spans="2:13" ht="15" x14ac:dyDescent="0.25">
      <c r="B2033"/>
      <c r="M2033"/>
    </row>
    <row r="2034" spans="2:13" ht="15" x14ac:dyDescent="0.25">
      <c r="B2034"/>
      <c r="M2034"/>
    </row>
    <row r="2035" spans="2:13" ht="15" x14ac:dyDescent="0.25">
      <c r="B2035"/>
      <c r="M2035"/>
    </row>
    <row r="2036" spans="2:13" ht="15" x14ac:dyDescent="0.25">
      <c r="B2036"/>
      <c r="M2036"/>
    </row>
    <row r="2037" spans="2:13" ht="15" x14ac:dyDescent="0.25">
      <c r="B2037"/>
      <c r="M2037"/>
    </row>
    <row r="2038" spans="2:13" ht="15" x14ac:dyDescent="0.25">
      <c r="B2038"/>
      <c r="M2038"/>
    </row>
    <row r="2039" spans="2:13" ht="15" x14ac:dyDescent="0.25">
      <c r="B2039"/>
      <c r="M2039"/>
    </row>
    <row r="2040" spans="2:13" ht="15" x14ac:dyDescent="0.25">
      <c r="B2040"/>
      <c r="M2040"/>
    </row>
    <row r="2041" spans="2:13" ht="15" x14ac:dyDescent="0.25">
      <c r="B2041"/>
      <c r="M2041"/>
    </row>
    <row r="2042" spans="2:13" ht="15" x14ac:dyDescent="0.25">
      <c r="B2042"/>
      <c r="M2042"/>
    </row>
    <row r="2043" spans="2:13" ht="15" x14ac:dyDescent="0.25">
      <c r="B2043"/>
      <c r="M2043"/>
    </row>
    <row r="2044" spans="2:13" ht="15" x14ac:dyDescent="0.25">
      <c r="B2044"/>
      <c r="M2044"/>
    </row>
    <row r="2045" spans="2:13" ht="15" x14ac:dyDescent="0.25">
      <c r="B2045"/>
      <c r="M2045"/>
    </row>
    <row r="2046" spans="2:13" ht="15" x14ac:dyDescent="0.25">
      <c r="B2046"/>
      <c r="M2046"/>
    </row>
    <row r="2047" spans="2:13" ht="15" x14ac:dyDescent="0.25">
      <c r="B2047"/>
      <c r="M2047"/>
    </row>
    <row r="2048" spans="2:13" ht="15" x14ac:dyDescent="0.25">
      <c r="B2048"/>
      <c r="M2048"/>
    </row>
    <row r="2049" spans="2:13" ht="15" x14ac:dyDescent="0.25">
      <c r="B2049"/>
      <c r="M2049"/>
    </row>
    <row r="2050" spans="2:13" ht="15" x14ac:dyDescent="0.25">
      <c r="B2050"/>
      <c r="M2050"/>
    </row>
    <row r="2051" spans="2:13" ht="15" x14ac:dyDescent="0.25">
      <c r="B2051"/>
      <c r="M2051"/>
    </row>
    <row r="2052" spans="2:13" ht="15" x14ac:dyDescent="0.25">
      <c r="B2052"/>
      <c r="M2052"/>
    </row>
    <row r="2053" spans="2:13" ht="15" x14ac:dyDescent="0.25">
      <c r="B2053"/>
      <c r="M2053"/>
    </row>
    <row r="2054" spans="2:13" ht="15" x14ac:dyDescent="0.25">
      <c r="B2054"/>
      <c r="M2054"/>
    </row>
    <row r="2055" spans="2:13" ht="15" x14ac:dyDescent="0.25">
      <c r="B2055"/>
      <c r="M2055"/>
    </row>
    <row r="2056" spans="2:13" ht="15" x14ac:dyDescent="0.25">
      <c r="B2056"/>
      <c r="M2056"/>
    </row>
    <row r="2057" spans="2:13" ht="15" x14ac:dyDescent="0.25">
      <c r="B2057"/>
      <c r="M2057"/>
    </row>
    <row r="2058" spans="2:13" ht="15" x14ac:dyDescent="0.25">
      <c r="B2058"/>
      <c r="M2058"/>
    </row>
    <row r="2059" spans="2:13" ht="15" x14ac:dyDescent="0.25">
      <c r="B2059"/>
      <c r="M2059"/>
    </row>
    <row r="2060" spans="2:13" ht="15" x14ac:dyDescent="0.25">
      <c r="B2060"/>
      <c r="M2060"/>
    </row>
    <row r="2061" spans="2:13" ht="15" x14ac:dyDescent="0.25">
      <c r="B2061"/>
      <c r="M2061"/>
    </row>
    <row r="2062" spans="2:13" ht="15" x14ac:dyDescent="0.25">
      <c r="B2062"/>
      <c r="M2062"/>
    </row>
    <row r="2063" spans="2:13" ht="15" x14ac:dyDescent="0.25">
      <c r="B2063"/>
      <c r="M2063"/>
    </row>
    <row r="2064" spans="2:13" ht="15" x14ac:dyDescent="0.25">
      <c r="B2064"/>
      <c r="M2064"/>
    </row>
    <row r="2065" spans="2:13" ht="15" x14ac:dyDescent="0.25">
      <c r="B2065"/>
      <c r="M2065"/>
    </row>
    <row r="2066" spans="2:13" ht="15" x14ac:dyDescent="0.25">
      <c r="B2066"/>
      <c r="M2066"/>
    </row>
    <row r="2067" spans="2:13" ht="15" x14ac:dyDescent="0.25">
      <c r="B2067"/>
      <c r="M2067"/>
    </row>
    <row r="2068" spans="2:13" ht="15" x14ac:dyDescent="0.25">
      <c r="B2068"/>
      <c r="M2068"/>
    </row>
    <row r="2069" spans="2:13" ht="15" x14ac:dyDescent="0.25">
      <c r="B2069"/>
      <c r="M2069"/>
    </row>
    <row r="2070" spans="2:13" ht="15" x14ac:dyDescent="0.25">
      <c r="B2070"/>
      <c r="M2070"/>
    </row>
    <row r="2071" spans="2:13" ht="15" x14ac:dyDescent="0.25">
      <c r="B2071"/>
      <c r="M2071"/>
    </row>
    <row r="2072" spans="2:13" ht="15" x14ac:dyDescent="0.25">
      <c r="B2072"/>
      <c r="M2072"/>
    </row>
    <row r="2073" spans="2:13" ht="15" x14ac:dyDescent="0.25">
      <c r="B2073"/>
      <c r="M2073"/>
    </row>
    <row r="2074" spans="2:13" ht="15" x14ac:dyDescent="0.25">
      <c r="B2074"/>
      <c r="M2074"/>
    </row>
    <row r="2075" spans="2:13" ht="15" x14ac:dyDescent="0.25">
      <c r="B2075"/>
      <c r="M2075"/>
    </row>
    <row r="2076" spans="2:13" ht="15" x14ac:dyDescent="0.25">
      <c r="B2076"/>
      <c r="M2076"/>
    </row>
    <row r="2077" spans="2:13" ht="15" x14ac:dyDescent="0.25">
      <c r="B2077"/>
      <c r="M2077"/>
    </row>
    <row r="2078" spans="2:13" ht="15" x14ac:dyDescent="0.25">
      <c r="B2078"/>
      <c r="M2078"/>
    </row>
    <row r="2079" spans="2:13" ht="15" x14ac:dyDescent="0.25">
      <c r="B2079"/>
      <c r="M2079"/>
    </row>
    <row r="2080" spans="2:13" ht="15" x14ac:dyDescent="0.25">
      <c r="B2080"/>
      <c r="M2080"/>
    </row>
    <row r="2081" spans="2:13" ht="15" x14ac:dyDescent="0.25">
      <c r="B2081"/>
      <c r="M2081"/>
    </row>
    <row r="2082" spans="2:13" ht="15" x14ac:dyDescent="0.25">
      <c r="B2082"/>
      <c r="M2082"/>
    </row>
    <row r="2083" spans="2:13" ht="15" x14ac:dyDescent="0.25">
      <c r="B2083"/>
      <c r="M2083"/>
    </row>
    <row r="2084" spans="2:13" ht="15" x14ac:dyDescent="0.25">
      <c r="B2084"/>
      <c r="M2084"/>
    </row>
    <row r="2085" spans="2:13" ht="15" x14ac:dyDescent="0.25">
      <c r="B2085"/>
      <c r="M2085"/>
    </row>
    <row r="2086" spans="2:13" ht="15" x14ac:dyDescent="0.25">
      <c r="B2086"/>
      <c r="M2086"/>
    </row>
    <row r="2087" spans="2:13" ht="15" x14ac:dyDescent="0.25">
      <c r="B2087"/>
      <c r="M2087"/>
    </row>
    <row r="2088" spans="2:13" ht="15" x14ac:dyDescent="0.25">
      <c r="B2088"/>
      <c r="M2088"/>
    </row>
    <row r="2089" spans="2:13" ht="15" x14ac:dyDescent="0.25">
      <c r="B2089"/>
      <c r="M2089"/>
    </row>
    <row r="2090" spans="2:13" ht="15" x14ac:dyDescent="0.25">
      <c r="B2090"/>
      <c r="M2090"/>
    </row>
    <row r="2091" spans="2:13" ht="15" x14ac:dyDescent="0.25">
      <c r="B2091"/>
      <c r="M2091"/>
    </row>
    <row r="2092" spans="2:13" ht="15" x14ac:dyDescent="0.25">
      <c r="B2092"/>
      <c r="M2092"/>
    </row>
    <row r="2093" spans="2:13" ht="15" x14ac:dyDescent="0.25">
      <c r="B2093"/>
      <c r="M2093"/>
    </row>
    <row r="2094" spans="2:13" ht="15" x14ac:dyDescent="0.25">
      <c r="B2094"/>
      <c r="M2094"/>
    </row>
    <row r="2095" spans="2:13" ht="15" x14ac:dyDescent="0.25">
      <c r="B2095"/>
      <c r="M2095"/>
    </row>
    <row r="2096" spans="2:13" ht="15" x14ac:dyDescent="0.25">
      <c r="B2096"/>
      <c r="M2096"/>
    </row>
    <row r="2097" spans="2:13" ht="15" x14ac:dyDescent="0.25">
      <c r="B2097"/>
      <c r="M2097"/>
    </row>
    <row r="2098" spans="2:13" ht="15" x14ac:dyDescent="0.25">
      <c r="B2098"/>
      <c r="M2098"/>
    </row>
    <row r="2099" spans="2:13" ht="15" x14ac:dyDescent="0.25">
      <c r="B2099"/>
      <c r="M2099"/>
    </row>
    <row r="2100" spans="2:13" ht="15" x14ac:dyDescent="0.25">
      <c r="B2100"/>
      <c r="M2100"/>
    </row>
    <row r="2101" spans="2:13" ht="15" x14ac:dyDescent="0.25">
      <c r="B2101"/>
      <c r="M2101"/>
    </row>
    <row r="2102" spans="2:13" ht="15" x14ac:dyDescent="0.25">
      <c r="B2102"/>
      <c r="M2102"/>
    </row>
    <row r="2103" spans="2:13" ht="15" x14ac:dyDescent="0.25">
      <c r="B2103"/>
      <c r="M2103"/>
    </row>
    <row r="2104" spans="2:13" ht="15" x14ac:dyDescent="0.25">
      <c r="B2104"/>
      <c r="M2104"/>
    </row>
    <row r="2105" spans="2:13" ht="15" x14ac:dyDescent="0.25">
      <c r="B2105"/>
      <c r="M2105"/>
    </row>
    <row r="2106" spans="2:13" ht="15" x14ac:dyDescent="0.25">
      <c r="B2106"/>
      <c r="M2106"/>
    </row>
    <row r="2107" spans="2:13" ht="15" x14ac:dyDescent="0.25">
      <c r="B2107"/>
      <c r="M2107"/>
    </row>
    <row r="2108" spans="2:13" ht="15" x14ac:dyDescent="0.25">
      <c r="B2108"/>
      <c r="M2108"/>
    </row>
    <row r="2109" spans="2:13" ht="15" x14ac:dyDescent="0.25">
      <c r="B2109"/>
      <c r="M2109"/>
    </row>
    <row r="2110" spans="2:13" ht="15" x14ac:dyDescent="0.25">
      <c r="B2110"/>
      <c r="M2110"/>
    </row>
    <row r="2111" spans="2:13" ht="15" x14ac:dyDescent="0.25">
      <c r="B2111"/>
      <c r="M2111"/>
    </row>
    <row r="2112" spans="2:13" ht="15" x14ac:dyDescent="0.25">
      <c r="B2112"/>
      <c r="M2112"/>
    </row>
    <row r="2113" spans="2:13" ht="15" x14ac:dyDescent="0.25">
      <c r="B2113"/>
      <c r="M2113"/>
    </row>
    <row r="2114" spans="2:13" ht="15" x14ac:dyDescent="0.25">
      <c r="B2114"/>
      <c r="M2114"/>
    </row>
    <row r="2115" spans="2:13" ht="15" x14ac:dyDescent="0.25">
      <c r="B2115"/>
      <c r="M2115"/>
    </row>
    <row r="2116" spans="2:13" ht="15" x14ac:dyDescent="0.25">
      <c r="B2116"/>
      <c r="M2116"/>
    </row>
    <row r="2117" spans="2:13" ht="15" x14ac:dyDescent="0.25">
      <c r="B2117"/>
      <c r="M2117"/>
    </row>
    <row r="2118" spans="2:13" ht="15" x14ac:dyDescent="0.25">
      <c r="B2118"/>
      <c r="M2118"/>
    </row>
    <row r="2119" spans="2:13" ht="15" x14ac:dyDescent="0.25">
      <c r="B2119"/>
      <c r="M2119"/>
    </row>
    <row r="2120" spans="2:13" ht="15" x14ac:dyDescent="0.25">
      <c r="B2120"/>
      <c r="M2120"/>
    </row>
    <row r="2121" spans="2:13" ht="15" x14ac:dyDescent="0.25">
      <c r="B2121"/>
      <c r="M2121"/>
    </row>
    <row r="2122" spans="2:13" ht="15" x14ac:dyDescent="0.25">
      <c r="B2122"/>
      <c r="M2122"/>
    </row>
    <row r="2123" spans="2:13" ht="15" x14ac:dyDescent="0.25">
      <c r="B2123"/>
      <c r="M2123"/>
    </row>
    <row r="2124" spans="2:13" ht="15" x14ac:dyDescent="0.25">
      <c r="B2124"/>
      <c r="M2124"/>
    </row>
    <row r="2125" spans="2:13" ht="15" x14ac:dyDescent="0.25">
      <c r="B2125"/>
      <c r="M2125"/>
    </row>
    <row r="2126" spans="2:13" ht="15" x14ac:dyDescent="0.25">
      <c r="B2126"/>
      <c r="M2126"/>
    </row>
    <row r="2127" spans="2:13" ht="15" x14ac:dyDescent="0.25">
      <c r="B2127"/>
      <c r="M2127"/>
    </row>
    <row r="2128" spans="2:13" ht="15" x14ac:dyDescent="0.25">
      <c r="B2128"/>
      <c r="M2128"/>
    </row>
    <row r="2129" spans="2:13" ht="15" x14ac:dyDescent="0.25">
      <c r="B2129"/>
      <c r="M2129"/>
    </row>
    <row r="2130" spans="2:13" ht="15" x14ac:dyDescent="0.25">
      <c r="B2130"/>
      <c r="M2130"/>
    </row>
    <row r="2131" spans="2:13" ht="15" x14ac:dyDescent="0.25">
      <c r="B2131"/>
      <c r="M2131"/>
    </row>
    <row r="2132" spans="2:13" ht="15" x14ac:dyDescent="0.25">
      <c r="B2132"/>
      <c r="M2132"/>
    </row>
    <row r="2133" spans="2:13" ht="15" x14ac:dyDescent="0.25">
      <c r="B2133"/>
      <c r="M2133"/>
    </row>
    <row r="2134" spans="2:13" ht="15" x14ac:dyDescent="0.25">
      <c r="B2134"/>
      <c r="M2134"/>
    </row>
    <row r="2135" spans="2:13" ht="15" x14ac:dyDescent="0.25">
      <c r="B2135"/>
      <c r="M2135"/>
    </row>
    <row r="2136" spans="2:13" ht="15" x14ac:dyDescent="0.25">
      <c r="B2136"/>
      <c r="M2136"/>
    </row>
    <row r="2137" spans="2:13" ht="15" x14ac:dyDescent="0.25">
      <c r="B2137"/>
      <c r="M2137"/>
    </row>
    <row r="2138" spans="2:13" ht="15" x14ac:dyDescent="0.25">
      <c r="B2138"/>
      <c r="M2138"/>
    </row>
    <row r="2139" spans="2:13" ht="15" x14ac:dyDescent="0.25">
      <c r="B2139"/>
      <c r="M2139"/>
    </row>
    <row r="2140" spans="2:13" ht="15" x14ac:dyDescent="0.25">
      <c r="B2140"/>
      <c r="M2140"/>
    </row>
    <row r="2141" spans="2:13" ht="15" x14ac:dyDescent="0.25">
      <c r="B2141"/>
      <c r="M2141"/>
    </row>
    <row r="2142" spans="2:13" ht="15" x14ac:dyDescent="0.25">
      <c r="B2142"/>
      <c r="M2142"/>
    </row>
    <row r="2143" spans="2:13" ht="15" x14ac:dyDescent="0.25">
      <c r="B2143"/>
      <c r="M2143"/>
    </row>
    <row r="2144" spans="2:13" ht="15" x14ac:dyDescent="0.25">
      <c r="B2144"/>
      <c r="M2144"/>
    </row>
    <row r="2145" spans="2:13" ht="15" x14ac:dyDescent="0.25">
      <c r="B2145"/>
      <c r="M2145"/>
    </row>
    <row r="2146" spans="2:13" ht="15" x14ac:dyDescent="0.25">
      <c r="B2146"/>
      <c r="M2146"/>
    </row>
    <row r="2147" spans="2:13" ht="15" x14ac:dyDescent="0.25">
      <c r="B2147"/>
      <c r="M2147"/>
    </row>
    <row r="2148" spans="2:13" ht="15" x14ac:dyDescent="0.25">
      <c r="B2148"/>
      <c r="M2148"/>
    </row>
    <row r="2149" spans="2:13" ht="15" x14ac:dyDescent="0.25">
      <c r="B2149"/>
      <c r="M2149"/>
    </row>
    <row r="2150" spans="2:13" ht="15" x14ac:dyDescent="0.25">
      <c r="B2150"/>
      <c r="M2150"/>
    </row>
    <row r="2151" spans="2:13" ht="15" x14ac:dyDescent="0.25">
      <c r="B2151"/>
      <c r="M2151"/>
    </row>
    <row r="2152" spans="2:13" ht="15" x14ac:dyDescent="0.25">
      <c r="B2152"/>
      <c r="M2152"/>
    </row>
    <row r="2153" spans="2:13" ht="15" x14ac:dyDescent="0.25">
      <c r="B2153"/>
      <c r="M2153"/>
    </row>
    <row r="2154" spans="2:13" ht="15" x14ac:dyDescent="0.25">
      <c r="B2154"/>
      <c r="M2154"/>
    </row>
    <row r="2155" spans="2:13" ht="15" x14ac:dyDescent="0.25">
      <c r="B2155"/>
      <c r="M2155"/>
    </row>
    <row r="2156" spans="2:13" ht="15" x14ac:dyDescent="0.25">
      <c r="B2156"/>
      <c r="M2156"/>
    </row>
    <row r="2157" spans="2:13" ht="15" x14ac:dyDescent="0.25">
      <c r="B2157"/>
      <c r="M2157"/>
    </row>
    <row r="2158" spans="2:13" ht="15" x14ac:dyDescent="0.25">
      <c r="B2158"/>
      <c r="M2158"/>
    </row>
    <row r="2159" spans="2:13" ht="15" x14ac:dyDescent="0.25">
      <c r="B2159"/>
      <c r="M2159"/>
    </row>
    <row r="2160" spans="2:13" ht="15" x14ac:dyDescent="0.25">
      <c r="B2160"/>
      <c r="M2160"/>
    </row>
    <row r="2161" spans="2:13" ht="15" x14ac:dyDescent="0.25">
      <c r="B2161"/>
      <c r="M2161"/>
    </row>
    <row r="2162" spans="2:13" ht="15" x14ac:dyDescent="0.25">
      <c r="B2162"/>
      <c r="M2162"/>
    </row>
    <row r="2163" spans="2:13" ht="15" x14ac:dyDescent="0.25">
      <c r="B2163"/>
      <c r="M2163"/>
    </row>
    <row r="2164" spans="2:13" ht="15" x14ac:dyDescent="0.25">
      <c r="B2164"/>
      <c r="M2164"/>
    </row>
    <row r="2165" spans="2:13" ht="15" x14ac:dyDescent="0.25">
      <c r="B2165"/>
      <c r="M2165"/>
    </row>
    <row r="2166" spans="2:13" ht="15" x14ac:dyDescent="0.25">
      <c r="B2166"/>
      <c r="M2166"/>
    </row>
    <row r="2167" spans="2:13" ht="15" x14ac:dyDescent="0.25">
      <c r="B2167"/>
      <c r="M2167"/>
    </row>
    <row r="2168" spans="2:13" ht="15" x14ac:dyDescent="0.25">
      <c r="B2168"/>
      <c r="M2168"/>
    </row>
    <row r="2169" spans="2:13" ht="15" x14ac:dyDescent="0.25">
      <c r="B2169"/>
      <c r="M2169"/>
    </row>
    <row r="2170" spans="2:13" ht="15" x14ac:dyDescent="0.25">
      <c r="B2170"/>
      <c r="M2170"/>
    </row>
    <row r="2171" spans="2:13" ht="15" x14ac:dyDescent="0.25">
      <c r="B2171"/>
      <c r="M2171"/>
    </row>
    <row r="2172" spans="2:13" ht="15" x14ac:dyDescent="0.25">
      <c r="B2172"/>
      <c r="M2172"/>
    </row>
    <row r="2173" spans="2:13" ht="15" x14ac:dyDescent="0.25">
      <c r="B2173"/>
      <c r="M2173"/>
    </row>
    <row r="2174" spans="2:13" ht="15" x14ac:dyDescent="0.25">
      <c r="B2174"/>
      <c r="M2174"/>
    </row>
    <row r="2175" spans="2:13" ht="15" x14ac:dyDescent="0.25">
      <c r="B2175"/>
      <c r="M2175"/>
    </row>
    <row r="2176" spans="2:13" ht="15" x14ac:dyDescent="0.25">
      <c r="B2176"/>
      <c r="M2176"/>
    </row>
    <row r="2177" spans="2:13" ht="15" x14ac:dyDescent="0.25">
      <c r="B2177"/>
      <c r="M2177"/>
    </row>
    <row r="2178" spans="2:13" ht="15" x14ac:dyDescent="0.25">
      <c r="B2178"/>
      <c r="M2178"/>
    </row>
    <row r="2179" spans="2:13" ht="15" x14ac:dyDescent="0.25">
      <c r="B2179"/>
      <c r="M2179"/>
    </row>
    <row r="2180" spans="2:13" ht="15" x14ac:dyDescent="0.25">
      <c r="B2180"/>
      <c r="M2180"/>
    </row>
    <row r="2181" spans="2:13" ht="15" x14ac:dyDescent="0.25">
      <c r="B2181"/>
      <c r="M2181"/>
    </row>
    <row r="2182" spans="2:13" ht="15" x14ac:dyDescent="0.25">
      <c r="B2182"/>
      <c r="M2182"/>
    </row>
    <row r="2183" spans="2:13" ht="15" x14ac:dyDescent="0.25">
      <c r="B2183"/>
      <c r="M2183"/>
    </row>
    <row r="2184" spans="2:13" ht="15" x14ac:dyDescent="0.25">
      <c r="B2184"/>
      <c r="M2184"/>
    </row>
    <row r="2185" spans="2:13" ht="15" x14ac:dyDescent="0.25">
      <c r="B2185"/>
      <c r="M2185"/>
    </row>
    <row r="2186" spans="2:13" ht="15" x14ac:dyDescent="0.25">
      <c r="B2186"/>
      <c r="M2186"/>
    </row>
    <row r="2187" spans="2:13" ht="15" x14ac:dyDescent="0.25">
      <c r="B2187"/>
      <c r="M2187"/>
    </row>
    <row r="2188" spans="2:13" ht="15" x14ac:dyDescent="0.25">
      <c r="B2188"/>
      <c r="M2188"/>
    </row>
    <row r="2189" spans="2:13" ht="15" x14ac:dyDescent="0.25">
      <c r="B2189"/>
      <c r="M2189"/>
    </row>
    <row r="2190" spans="2:13" ht="15" x14ac:dyDescent="0.25">
      <c r="B2190"/>
      <c r="M2190"/>
    </row>
    <row r="2191" spans="2:13" ht="15" x14ac:dyDescent="0.25">
      <c r="B2191"/>
      <c r="M2191"/>
    </row>
    <row r="2192" spans="2:13" ht="15" x14ac:dyDescent="0.25">
      <c r="B2192"/>
      <c r="M2192"/>
    </row>
    <row r="2193" spans="2:13" ht="15" x14ac:dyDescent="0.25">
      <c r="B2193"/>
      <c r="M2193"/>
    </row>
    <row r="2194" spans="2:13" ht="15" x14ac:dyDescent="0.25">
      <c r="B2194"/>
      <c r="M2194"/>
    </row>
    <row r="2195" spans="2:13" ht="15" x14ac:dyDescent="0.25">
      <c r="B2195"/>
      <c r="M2195"/>
    </row>
    <row r="2196" spans="2:13" ht="15" x14ac:dyDescent="0.25">
      <c r="B2196"/>
      <c r="M2196"/>
    </row>
    <row r="2197" spans="2:13" ht="15" x14ac:dyDescent="0.25">
      <c r="B2197"/>
      <c r="M2197"/>
    </row>
    <row r="2198" spans="2:13" ht="15" x14ac:dyDescent="0.25">
      <c r="B2198"/>
      <c r="M2198"/>
    </row>
    <row r="2199" spans="2:13" ht="15" x14ac:dyDescent="0.25">
      <c r="B2199"/>
      <c r="M2199"/>
    </row>
    <row r="2200" spans="2:13" ht="15" x14ac:dyDescent="0.25">
      <c r="B2200"/>
      <c r="M2200"/>
    </row>
    <row r="2201" spans="2:13" ht="15" x14ac:dyDescent="0.25">
      <c r="B2201"/>
      <c r="M2201"/>
    </row>
    <row r="2202" spans="2:13" ht="15" x14ac:dyDescent="0.25">
      <c r="B2202"/>
      <c r="M2202"/>
    </row>
    <row r="2203" spans="2:13" ht="15" x14ac:dyDescent="0.25">
      <c r="B2203"/>
      <c r="M2203"/>
    </row>
    <row r="2204" spans="2:13" ht="15" x14ac:dyDescent="0.25">
      <c r="B2204"/>
      <c r="M2204"/>
    </row>
    <row r="2205" spans="2:13" ht="15" x14ac:dyDescent="0.25">
      <c r="B2205"/>
      <c r="M2205"/>
    </row>
    <row r="2206" spans="2:13" ht="15" x14ac:dyDescent="0.25">
      <c r="B2206"/>
      <c r="M2206"/>
    </row>
    <row r="2207" spans="2:13" ht="15" x14ac:dyDescent="0.25">
      <c r="B2207"/>
      <c r="M2207"/>
    </row>
    <row r="2208" spans="2:13" ht="15" x14ac:dyDescent="0.25">
      <c r="B2208"/>
      <c r="M2208"/>
    </row>
    <row r="2209" spans="2:13" ht="15" x14ac:dyDescent="0.25">
      <c r="B2209"/>
      <c r="M2209"/>
    </row>
    <row r="2210" spans="2:13" ht="15" x14ac:dyDescent="0.25">
      <c r="B2210"/>
      <c r="M2210"/>
    </row>
    <row r="2211" spans="2:13" ht="15" x14ac:dyDescent="0.25">
      <c r="B2211"/>
      <c r="M2211"/>
    </row>
    <row r="2212" spans="2:13" ht="15" x14ac:dyDescent="0.25">
      <c r="B2212"/>
      <c r="M2212"/>
    </row>
    <row r="2213" spans="2:13" ht="15" x14ac:dyDescent="0.25">
      <c r="B2213"/>
      <c r="M2213"/>
    </row>
    <row r="2214" spans="2:13" ht="15" x14ac:dyDescent="0.25">
      <c r="B2214"/>
      <c r="M2214"/>
    </row>
    <row r="2215" spans="2:13" ht="15" x14ac:dyDescent="0.25">
      <c r="B2215"/>
      <c r="M2215"/>
    </row>
    <row r="2216" spans="2:13" ht="15" x14ac:dyDescent="0.25">
      <c r="B2216"/>
      <c r="M2216"/>
    </row>
    <row r="2217" spans="2:13" ht="15" x14ac:dyDescent="0.25">
      <c r="B2217"/>
      <c r="M2217"/>
    </row>
    <row r="2218" spans="2:13" ht="15" x14ac:dyDescent="0.25">
      <c r="B2218"/>
      <c r="M2218"/>
    </row>
    <row r="2219" spans="2:13" ht="15" x14ac:dyDescent="0.25">
      <c r="B2219"/>
      <c r="M2219"/>
    </row>
    <row r="2220" spans="2:13" ht="15" x14ac:dyDescent="0.25">
      <c r="B2220"/>
      <c r="M2220"/>
    </row>
    <row r="2221" spans="2:13" ht="15" x14ac:dyDescent="0.25">
      <c r="B2221"/>
      <c r="M2221"/>
    </row>
    <row r="2222" spans="2:13" ht="15" x14ac:dyDescent="0.25">
      <c r="B2222"/>
      <c r="M2222"/>
    </row>
    <row r="2223" spans="2:13" ht="15" x14ac:dyDescent="0.25">
      <c r="B2223"/>
      <c r="M2223"/>
    </row>
    <row r="2224" spans="2:13" ht="15" x14ac:dyDescent="0.25">
      <c r="B2224"/>
      <c r="M2224"/>
    </row>
    <row r="2225" spans="2:13" ht="15" x14ac:dyDescent="0.25">
      <c r="B2225"/>
      <c r="M2225"/>
    </row>
    <row r="2226" spans="2:13" ht="15" x14ac:dyDescent="0.25">
      <c r="B2226"/>
      <c r="M2226"/>
    </row>
    <row r="2227" spans="2:13" ht="15" x14ac:dyDescent="0.25">
      <c r="B2227"/>
      <c r="M2227"/>
    </row>
    <row r="2228" spans="2:13" ht="15" x14ac:dyDescent="0.25">
      <c r="B2228"/>
      <c r="M2228"/>
    </row>
    <row r="2229" spans="2:13" ht="15" x14ac:dyDescent="0.25">
      <c r="B2229"/>
      <c r="M2229"/>
    </row>
    <row r="2230" spans="2:13" ht="15" x14ac:dyDescent="0.25">
      <c r="B2230"/>
      <c r="M2230"/>
    </row>
    <row r="2231" spans="2:13" ht="15" x14ac:dyDescent="0.25">
      <c r="B2231"/>
      <c r="M2231"/>
    </row>
    <row r="2232" spans="2:13" ht="15" x14ac:dyDescent="0.25">
      <c r="B2232"/>
      <c r="M2232"/>
    </row>
    <row r="2233" spans="2:13" ht="15" x14ac:dyDescent="0.25">
      <c r="B2233"/>
      <c r="M2233"/>
    </row>
    <row r="2234" spans="2:13" ht="15" x14ac:dyDescent="0.25">
      <c r="B2234"/>
      <c r="M2234"/>
    </row>
    <row r="2235" spans="2:13" ht="15" x14ac:dyDescent="0.25">
      <c r="B2235"/>
      <c r="M2235"/>
    </row>
    <row r="2236" spans="2:13" ht="15" x14ac:dyDescent="0.25">
      <c r="B2236"/>
      <c r="M2236"/>
    </row>
    <row r="2237" spans="2:13" ht="15" x14ac:dyDescent="0.25">
      <c r="B2237"/>
      <c r="M2237"/>
    </row>
    <row r="2238" spans="2:13" ht="15" x14ac:dyDescent="0.25">
      <c r="B2238"/>
      <c r="M2238"/>
    </row>
    <row r="2239" spans="2:13" ht="15" x14ac:dyDescent="0.25">
      <c r="B2239"/>
      <c r="M2239"/>
    </row>
    <row r="2240" spans="2:13" ht="15" x14ac:dyDescent="0.25">
      <c r="B2240"/>
      <c r="M2240"/>
    </row>
    <row r="2241" spans="2:13" ht="15" x14ac:dyDescent="0.25">
      <c r="B2241"/>
      <c r="M2241"/>
    </row>
    <row r="2242" spans="2:13" ht="15" x14ac:dyDescent="0.25">
      <c r="B2242"/>
      <c r="M2242"/>
    </row>
    <row r="2243" spans="2:13" ht="15" x14ac:dyDescent="0.25">
      <c r="B2243"/>
      <c r="M2243"/>
    </row>
    <row r="2244" spans="2:13" ht="15" x14ac:dyDescent="0.25">
      <c r="B2244"/>
      <c r="M2244"/>
    </row>
    <row r="2245" spans="2:13" ht="15" x14ac:dyDescent="0.25">
      <c r="B2245"/>
      <c r="M2245"/>
    </row>
    <row r="2246" spans="2:13" ht="15" x14ac:dyDescent="0.25">
      <c r="B2246"/>
      <c r="M2246"/>
    </row>
    <row r="2247" spans="2:13" ht="15" x14ac:dyDescent="0.25">
      <c r="B2247"/>
      <c r="M2247"/>
    </row>
    <row r="2248" spans="2:13" ht="15" x14ac:dyDescent="0.25">
      <c r="B2248"/>
      <c r="M2248"/>
    </row>
    <row r="2249" spans="2:13" ht="15" x14ac:dyDescent="0.25">
      <c r="B2249"/>
      <c r="M2249"/>
    </row>
    <row r="2250" spans="2:13" ht="15" x14ac:dyDescent="0.25">
      <c r="B2250"/>
      <c r="M2250"/>
    </row>
    <row r="2251" spans="2:13" ht="15" x14ac:dyDescent="0.25">
      <c r="B2251"/>
      <c r="M2251"/>
    </row>
    <row r="2252" spans="2:13" ht="15" x14ac:dyDescent="0.25">
      <c r="B2252"/>
      <c r="M2252"/>
    </row>
    <row r="2253" spans="2:13" ht="15" x14ac:dyDescent="0.25">
      <c r="B2253"/>
      <c r="M2253"/>
    </row>
    <row r="2254" spans="2:13" ht="15" x14ac:dyDescent="0.25">
      <c r="B2254"/>
      <c r="M2254"/>
    </row>
    <row r="2255" spans="2:13" ht="15" x14ac:dyDescent="0.25">
      <c r="B2255"/>
      <c r="M2255"/>
    </row>
    <row r="2256" spans="2:13" ht="15" x14ac:dyDescent="0.25">
      <c r="B2256"/>
      <c r="M2256"/>
    </row>
    <row r="2257" spans="2:13" ht="15" x14ac:dyDescent="0.25">
      <c r="B2257"/>
      <c r="M2257"/>
    </row>
    <row r="2258" spans="2:13" ht="15" x14ac:dyDescent="0.25">
      <c r="B2258"/>
      <c r="M2258"/>
    </row>
    <row r="2259" spans="2:13" ht="15" x14ac:dyDescent="0.25">
      <c r="B2259"/>
      <c r="M2259"/>
    </row>
    <row r="2260" spans="2:13" ht="15" x14ac:dyDescent="0.25">
      <c r="B2260"/>
      <c r="M2260"/>
    </row>
    <row r="2261" spans="2:13" ht="15" x14ac:dyDescent="0.25">
      <c r="B2261"/>
      <c r="M2261"/>
    </row>
    <row r="2262" spans="2:13" ht="15" x14ac:dyDescent="0.25">
      <c r="B2262"/>
      <c r="M2262"/>
    </row>
    <row r="2263" spans="2:13" ht="15" x14ac:dyDescent="0.25">
      <c r="B2263"/>
      <c r="M2263"/>
    </row>
    <row r="2264" spans="2:13" ht="15" x14ac:dyDescent="0.25">
      <c r="B2264"/>
      <c r="M2264"/>
    </row>
    <row r="2265" spans="2:13" ht="15" x14ac:dyDescent="0.25">
      <c r="B2265"/>
      <c r="M2265"/>
    </row>
    <row r="2266" spans="2:13" ht="15" x14ac:dyDescent="0.25">
      <c r="B2266"/>
      <c r="M2266"/>
    </row>
    <row r="2267" spans="2:13" ht="15" x14ac:dyDescent="0.25">
      <c r="B2267"/>
      <c r="M2267"/>
    </row>
    <row r="2268" spans="2:13" ht="15" x14ac:dyDescent="0.25">
      <c r="B2268"/>
      <c r="M2268"/>
    </row>
    <row r="2269" spans="2:13" ht="15" x14ac:dyDescent="0.25">
      <c r="B2269"/>
      <c r="M2269"/>
    </row>
    <row r="2270" spans="2:13" ht="15" x14ac:dyDescent="0.25">
      <c r="B2270"/>
      <c r="M2270"/>
    </row>
    <row r="2271" spans="2:13" ht="15" x14ac:dyDescent="0.25">
      <c r="B2271"/>
      <c r="M2271"/>
    </row>
    <row r="2272" spans="2:13" ht="15" x14ac:dyDescent="0.25">
      <c r="B2272"/>
      <c r="M2272"/>
    </row>
    <row r="2273" spans="2:13" ht="15" x14ac:dyDescent="0.25">
      <c r="B2273"/>
      <c r="M2273"/>
    </row>
    <row r="2274" spans="2:13" ht="15" x14ac:dyDescent="0.25">
      <c r="B2274"/>
      <c r="M2274"/>
    </row>
    <row r="2275" spans="2:13" ht="15" x14ac:dyDescent="0.25">
      <c r="B2275"/>
      <c r="M2275"/>
    </row>
    <row r="2276" spans="2:13" ht="15" x14ac:dyDescent="0.25">
      <c r="B2276"/>
      <c r="M2276"/>
    </row>
    <row r="2277" spans="2:13" ht="15" x14ac:dyDescent="0.25">
      <c r="B2277"/>
      <c r="M2277"/>
    </row>
    <row r="2278" spans="2:13" ht="15" x14ac:dyDescent="0.25">
      <c r="B2278"/>
      <c r="M2278"/>
    </row>
    <row r="2279" spans="2:13" ht="15" x14ac:dyDescent="0.25">
      <c r="B2279"/>
      <c r="M2279"/>
    </row>
    <row r="2280" spans="2:13" ht="15" x14ac:dyDescent="0.25">
      <c r="B2280"/>
      <c r="M2280"/>
    </row>
    <row r="2281" spans="2:13" ht="15" x14ac:dyDescent="0.25">
      <c r="B2281"/>
      <c r="M2281"/>
    </row>
    <row r="2282" spans="2:13" ht="15" x14ac:dyDescent="0.25">
      <c r="B2282"/>
      <c r="M2282"/>
    </row>
    <row r="2283" spans="2:13" ht="15" x14ac:dyDescent="0.25">
      <c r="B2283"/>
      <c r="M2283"/>
    </row>
    <row r="2284" spans="2:13" ht="15" x14ac:dyDescent="0.25">
      <c r="B2284"/>
      <c r="M2284"/>
    </row>
    <row r="2285" spans="2:13" ht="15" x14ac:dyDescent="0.25">
      <c r="B2285"/>
      <c r="M2285"/>
    </row>
    <row r="2286" spans="2:13" ht="15" x14ac:dyDescent="0.25">
      <c r="B2286"/>
      <c r="M2286"/>
    </row>
    <row r="2287" spans="2:13" ht="15" x14ac:dyDescent="0.25">
      <c r="B2287"/>
      <c r="M2287"/>
    </row>
    <row r="2288" spans="2:13" ht="15" x14ac:dyDescent="0.25">
      <c r="B2288"/>
      <c r="M2288"/>
    </row>
    <row r="2289" spans="2:13" ht="15" x14ac:dyDescent="0.25">
      <c r="B2289"/>
      <c r="M2289"/>
    </row>
    <row r="2290" spans="2:13" ht="15" x14ac:dyDescent="0.25">
      <c r="B2290"/>
      <c r="M2290"/>
    </row>
    <row r="2291" spans="2:13" ht="15" x14ac:dyDescent="0.25">
      <c r="B2291"/>
      <c r="M2291"/>
    </row>
    <row r="2292" spans="2:13" ht="15" x14ac:dyDescent="0.25">
      <c r="B2292"/>
      <c r="M2292"/>
    </row>
    <row r="2293" spans="2:13" ht="15" x14ac:dyDescent="0.25">
      <c r="B2293"/>
      <c r="M2293"/>
    </row>
    <row r="2294" spans="2:13" ht="15" x14ac:dyDescent="0.25">
      <c r="B2294"/>
      <c r="M2294"/>
    </row>
    <row r="2295" spans="2:13" ht="15" x14ac:dyDescent="0.25">
      <c r="B2295"/>
      <c r="M2295"/>
    </row>
    <row r="2296" spans="2:13" ht="15" x14ac:dyDescent="0.25">
      <c r="B2296"/>
      <c r="M2296"/>
    </row>
    <row r="2297" spans="2:13" ht="15" x14ac:dyDescent="0.25">
      <c r="B2297"/>
      <c r="M2297"/>
    </row>
    <row r="2298" spans="2:13" ht="15" x14ac:dyDescent="0.25">
      <c r="B2298"/>
      <c r="M2298"/>
    </row>
    <row r="2299" spans="2:13" ht="15" x14ac:dyDescent="0.25">
      <c r="B2299"/>
      <c r="M2299"/>
    </row>
    <row r="2300" spans="2:13" ht="15" x14ac:dyDescent="0.25">
      <c r="B2300"/>
      <c r="M2300"/>
    </row>
    <row r="2301" spans="2:13" ht="15" x14ac:dyDescent="0.25">
      <c r="B2301"/>
      <c r="M2301"/>
    </row>
    <row r="2302" spans="2:13" ht="15" x14ac:dyDescent="0.25">
      <c r="B2302"/>
      <c r="M2302"/>
    </row>
    <row r="2303" spans="2:13" ht="15" x14ac:dyDescent="0.25">
      <c r="B2303"/>
      <c r="M2303"/>
    </row>
    <row r="2304" spans="2:13" ht="15" x14ac:dyDescent="0.25">
      <c r="B2304"/>
      <c r="M2304"/>
    </row>
    <row r="2305" spans="2:13" ht="15" x14ac:dyDescent="0.25">
      <c r="B2305"/>
      <c r="M2305"/>
    </row>
    <row r="2306" spans="2:13" ht="15" x14ac:dyDescent="0.25">
      <c r="B2306"/>
      <c r="M2306"/>
    </row>
    <row r="2307" spans="2:13" ht="15" x14ac:dyDescent="0.25">
      <c r="B2307"/>
      <c r="M2307"/>
    </row>
    <row r="2308" spans="2:13" ht="15" x14ac:dyDescent="0.25">
      <c r="B2308"/>
      <c r="M2308"/>
    </row>
    <row r="2309" spans="2:13" ht="15" x14ac:dyDescent="0.25">
      <c r="B2309"/>
      <c r="M2309"/>
    </row>
    <row r="2310" spans="2:13" ht="15" x14ac:dyDescent="0.25">
      <c r="B2310"/>
      <c r="M2310"/>
    </row>
    <row r="2311" spans="2:13" ht="15" x14ac:dyDescent="0.25">
      <c r="B2311"/>
      <c r="M2311"/>
    </row>
    <row r="2312" spans="2:13" ht="15" x14ac:dyDescent="0.25">
      <c r="B2312"/>
      <c r="M2312"/>
    </row>
    <row r="2313" spans="2:13" ht="15" x14ac:dyDescent="0.25">
      <c r="B2313"/>
      <c r="M2313"/>
    </row>
    <row r="2314" spans="2:13" ht="15" x14ac:dyDescent="0.25">
      <c r="B2314"/>
      <c r="M2314"/>
    </row>
    <row r="2315" spans="2:13" ht="15" x14ac:dyDescent="0.25">
      <c r="B2315"/>
      <c r="M2315"/>
    </row>
    <row r="2316" spans="2:13" ht="15" x14ac:dyDescent="0.25">
      <c r="B2316"/>
      <c r="M2316"/>
    </row>
    <row r="2317" spans="2:13" ht="15" x14ac:dyDescent="0.25">
      <c r="B2317"/>
      <c r="M2317"/>
    </row>
    <row r="2318" spans="2:13" ht="15" x14ac:dyDescent="0.25">
      <c r="B2318"/>
      <c r="M2318"/>
    </row>
    <row r="2319" spans="2:13" ht="15" x14ac:dyDescent="0.25">
      <c r="B2319"/>
      <c r="M2319"/>
    </row>
    <row r="2320" spans="2:13" ht="15" x14ac:dyDescent="0.25">
      <c r="B2320"/>
      <c r="M2320"/>
    </row>
    <row r="2321" spans="2:13" ht="15" x14ac:dyDescent="0.25">
      <c r="B2321"/>
      <c r="M2321"/>
    </row>
    <row r="2322" spans="2:13" ht="15" x14ac:dyDescent="0.25">
      <c r="B2322"/>
      <c r="M2322"/>
    </row>
    <row r="2323" spans="2:13" ht="15" x14ac:dyDescent="0.25">
      <c r="B2323"/>
      <c r="M2323"/>
    </row>
    <row r="2324" spans="2:13" ht="15" x14ac:dyDescent="0.25">
      <c r="B2324"/>
      <c r="M2324"/>
    </row>
    <row r="2325" spans="2:13" ht="15" x14ac:dyDescent="0.25">
      <c r="B2325"/>
      <c r="M2325"/>
    </row>
    <row r="2326" spans="2:13" ht="15" x14ac:dyDescent="0.25">
      <c r="B2326"/>
      <c r="M2326"/>
    </row>
    <row r="2327" spans="2:13" ht="15" x14ac:dyDescent="0.25">
      <c r="B2327"/>
      <c r="M2327"/>
    </row>
    <row r="2328" spans="2:13" ht="15" x14ac:dyDescent="0.25">
      <c r="B2328"/>
      <c r="M2328"/>
    </row>
    <row r="2329" spans="2:13" ht="15" x14ac:dyDescent="0.25">
      <c r="B2329"/>
      <c r="M2329"/>
    </row>
    <row r="2330" spans="2:13" ht="15" x14ac:dyDescent="0.25">
      <c r="B2330"/>
      <c r="M2330"/>
    </row>
    <row r="2331" spans="2:13" ht="15" x14ac:dyDescent="0.25">
      <c r="B2331"/>
      <c r="M2331"/>
    </row>
    <row r="2332" spans="2:13" ht="15" x14ac:dyDescent="0.25">
      <c r="B2332"/>
      <c r="M2332"/>
    </row>
    <row r="2333" spans="2:13" ht="15" x14ac:dyDescent="0.25">
      <c r="B2333"/>
      <c r="M2333"/>
    </row>
    <row r="2334" spans="2:13" ht="15" x14ac:dyDescent="0.25">
      <c r="B2334"/>
      <c r="M2334"/>
    </row>
    <row r="2335" spans="2:13" ht="15" x14ac:dyDescent="0.25">
      <c r="B2335"/>
      <c r="M2335"/>
    </row>
    <row r="2336" spans="2:13" ht="15" x14ac:dyDescent="0.25">
      <c r="B2336"/>
      <c r="M2336"/>
    </row>
    <row r="2337" spans="2:13" ht="15" x14ac:dyDescent="0.25">
      <c r="B2337"/>
      <c r="M2337"/>
    </row>
    <row r="2338" spans="2:13" ht="15" x14ac:dyDescent="0.25">
      <c r="B2338"/>
      <c r="M2338"/>
    </row>
    <row r="2339" spans="2:13" ht="15" x14ac:dyDescent="0.25">
      <c r="B2339"/>
      <c r="M2339"/>
    </row>
    <row r="2340" spans="2:13" ht="15" x14ac:dyDescent="0.25">
      <c r="B2340"/>
      <c r="M2340"/>
    </row>
    <row r="2341" spans="2:13" ht="15" x14ac:dyDescent="0.25">
      <c r="B2341"/>
      <c r="M2341"/>
    </row>
    <row r="2342" spans="2:13" ht="15" x14ac:dyDescent="0.25">
      <c r="B2342"/>
      <c r="M2342"/>
    </row>
    <row r="2343" spans="2:13" ht="15" x14ac:dyDescent="0.25">
      <c r="B2343"/>
      <c r="M2343"/>
    </row>
    <row r="2344" spans="2:13" ht="15" x14ac:dyDescent="0.25">
      <c r="B2344"/>
      <c r="M2344"/>
    </row>
    <row r="2345" spans="2:13" ht="15" x14ac:dyDescent="0.25">
      <c r="B2345"/>
      <c r="M2345"/>
    </row>
    <row r="2346" spans="2:13" ht="15" x14ac:dyDescent="0.25">
      <c r="B2346"/>
      <c r="M2346"/>
    </row>
    <row r="2347" spans="2:13" ht="15" x14ac:dyDescent="0.25">
      <c r="B2347"/>
      <c r="M2347"/>
    </row>
    <row r="2348" spans="2:13" ht="15" x14ac:dyDescent="0.25">
      <c r="B2348"/>
      <c r="M2348"/>
    </row>
    <row r="2349" spans="2:13" ht="15" x14ac:dyDescent="0.25">
      <c r="B2349"/>
      <c r="M2349"/>
    </row>
    <row r="2350" spans="2:13" ht="15" x14ac:dyDescent="0.25">
      <c r="B2350"/>
      <c r="M2350"/>
    </row>
    <row r="2351" spans="2:13" ht="15" x14ac:dyDescent="0.25">
      <c r="B2351"/>
      <c r="M2351"/>
    </row>
    <row r="2352" spans="2:13" ht="15" x14ac:dyDescent="0.25">
      <c r="B2352"/>
      <c r="M2352"/>
    </row>
    <row r="2353" spans="2:13" ht="15" x14ac:dyDescent="0.25">
      <c r="B2353"/>
      <c r="M2353"/>
    </row>
    <row r="2354" spans="2:13" ht="15" x14ac:dyDescent="0.25">
      <c r="B2354"/>
      <c r="M2354"/>
    </row>
    <row r="2355" spans="2:13" ht="15" x14ac:dyDescent="0.25">
      <c r="B2355"/>
      <c r="M2355"/>
    </row>
    <row r="2356" spans="2:13" ht="15" x14ac:dyDescent="0.25">
      <c r="B2356"/>
      <c r="M2356"/>
    </row>
    <row r="2357" spans="2:13" ht="15" x14ac:dyDescent="0.25">
      <c r="B2357"/>
      <c r="M2357"/>
    </row>
    <row r="2358" spans="2:13" ht="15" x14ac:dyDescent="0.25">
      <c r="B2358"/>
      <c r="M2358"/>
    </row>
    <row r="2359" spans="2:13" ht="15" x14ac:dyDescent="0.25">
      <c r="B2359"/>
      <c r="M2359"/>
    </row>
    <row r="2360" spans="2:13" ht="15" x14ac:dyDescent="0.25">
      <c r="B2360"/>
      <c r="M2360"/>
    </row>
    <row r="2361" spans="2:13" ht="15" x14ac:dyDescent="0.25">
      <c r="B2361"/>
      <c r="M2361"/>
    </row>
    <row r="2362" spans="2:13" ht="15" x14ac:dyDescent="0.25">
      <c r="B2362"/>
      <c r="M2362"/>
    </row>
    <row r="2363" spans="2:13" ht="15" x14ac:dyDescent="0.25">
      <c r="B2363"/>
      <c r="M2363"/>
    </row>
    <row r="2364" spans="2:13" ht="15" x14ac:dyDescent="0.25">
      <c r="B2364"/>
      <c r="M2364"/>
    </row>
    <row r="2365" spans="2:13" ht="15" x14ac:dyDescent="0.25">
      <c r="B2365"/>
      <c r="M2365"/>
    </row>
    <row r="2366" spans="2:13" ht="15" x14ac:dyDescent="0.25">
      <c r="B2366"/>
      <c r="M2366"/>
    </row>
    <row r="2367" spans="2:13" ht="15" x14ac:dyDescent="0.25">
      <c r="B2367"/>
      <c r="M2367"/>
    </row>
    <row r="2368" spans="2:13" ht="15" x14ac:dyDescent="0.25">
      <c r="B2368"/>
      <c r="M2368"/>
    </row>
    <row r="2369" spans="2:13" ht="15" x14ac:dyDescent="0.25">
      <c r="B2369"/>
      <c r="M2369"/>
    </row>
    <row r="2370" spans="2:13" ht="15" x14ac:dyDescent="0.25">
      <c r="B2370"/>
      <c r="M2370"/>
    </row>
    <row r="2371" spans="2:13" ht="15" x14ac:dyDescent="0.25">
      <c r="B2371"/>
      <c r="M2371"/>
    </row>
    <row r="2372" spans="2:13" ht="15" x14ac:dyDescent="0.25">
      <c r="B2372"/>
      <c r="M2372"/>
    </row>
    <row r="2373" spans="2:13" ht="15" x14ac:dyDescent="0.25">
      <c r="B2373"/>
      <c r="M2373"/>
    </row>
    <row r="2374" spans="2:13" ht="15" x14ac:dyDescent="0.25">
      <c r="B2374"/>
      <c r="M2374"/>
    </row>
    <row r="2375" spans="2:13" ht="15" x14ac:dyDescent="0.25">
      <c r="B2375"/>
      <c r="M2375"/>
    </row>
    <row r="2376" spans="2:13" ht="15" x14ac:dyDescent="0.25">
      <c r="B2376"/>
      <c r="M2376"/>
    </row>
    <row r="2377" spans="2:13" ht="15" x14ac:dyDescent="0.25">
      <c r="B2377"/>
      <c r="M2377"/>
    </row>
    <row r="2378" spans="2:13" ht="15" x14ac:dyDescent="0.25">
      <c r="B2378"/>
      <c r="M2378"/>
    </row>
    <row r="2379" spans="2:13" ht="15" x14ac:dyDescent="0.25">
      <c r="B2379"/>
      <c r="M2379"/>
    </row>
    <row r="2380" spans="2:13" ht="15" x14ac:dyDescent="0.25">
      <c r="B2380"/>
      <c r="M2380"/>
    </row>
    <row r="2381" spans="2:13" ht="15" x14ac:dyDescent="0.25">
      <c r="B2381"/>
      <c r="M2381"/>
    </row>
    <row r="2382" spans="2:13" ht="15" x14ac:dyDescent="0.25">
      <c r="B2382"/>
      <c r="M2382"/>
    </row>
    <row r="2383" spans="2:13" ht="15" x14ac:dyDescent="0.25">
      <c r="B2383"/>
      <c r="M2383"/>
    </row>
    <row r="2384" spans="2:13" ht="15" x14ac:dyDescent="0.25">
      <c r="B2384"/>
      <c r="M2384"/>
    </row>
    <row r="2385" spans="2:13" ht="15" x14ac:dyDescent="0.25">
      <c r="B2385"/>
      <c r="M2385"/>
    </row>
    <row r="2386" spans="2:13" ht="15" x14ac:dyDescent="0.25">
      <c r="B2386"/>
      <c r="M2386"/>
    </row>
    <row r="2387" spans="2:13" ht="15" x14ac:dyDescent="0.25">
      <c r="B2387"/>
      <c r="M2387"/>
    </row>
    <row r="2388" spans="2:13" ht="15" x14ac:dyDescent="0.25">
      <c r="B2388"/>
      <c r="M2388"/>
    </row>
    <row r="2389" spans="2:13" ht="15" x14ac:dyDescent="0.25">
      <c r="B2389"/>
      <c r="M2389"/>
    </row>
    <row r="2390" spans="2:13" ht="15" x14ac:dyDescent="0.25">
      <c r="B2390"/>
      <c r="M2390"/>
    </row>
    <row r="2391" spans="2:13" ht="15" x14ac:dyDescent="0.25">
      <c r="B2391"/>
      <c r="M2391"/>
    </row>
    <row r="2392" spans="2:13" ht="15" x14ac:dyDescent="0.25">
      <c r="B2392"/>
      <c r="M2392"/>
    </row>
    <row r="2393" spans="2:13" ht="15" x14ac:dyDescent="0.25">
      <c r="B2393"/>
      <c r="M2393"/>
    </row>
    <row r="2394" spans="2:13" ht="15" x14ac:dyDescent="0.25">
      <c r="B2394"/>
      <c r="M2394"/>
    </row>
    <row r="2395" spans="2:13" ht="15" x14ac:dyDescent="0.25">
      <c r="B2395"/>
      <c r="M2395"/>
    </row>
    <row r="2396" spans="2:13" ht="15" x14ac:dyDescent="0.25">
      <c r="B2396"/>
      <c r="M2396"/>
    </row>
    <row r="2397" spans="2:13" ht="15" x14ac:dyDescent="0.25">
      <c r="B2397"/>
      <c r="M2397"/>
    </row>
    <row r="2398" spans="2:13" ht="15" x14ac:dyDescent="0.25">
      <c r="B2398"/>
      <c r="M2398"/>
    </row>
    <row r="2399" spans="2:13" ht="15" x14ac:dyDescent="0.25">
      <c r="B2399"/>
      <c r="M2399"/>
    </row>
    <row r="2400" spans="2:13" ht="15" x14ac:dyDescent="0.25">
      <c r="B2400"/>
      <c r="M2400"/>
    </row>
    <row r="2401" spans="2:13" ht="15" x14ac:dyDescent="0.25">
      <c r="B2401"/>
      <c r="M2401"/>
    </row>
    <row r="2402" spans="2:13" ht="15" x14ac:dyDescent="0.25">
      <c r="B2402"/>
      <c r="M2402"/>
    </row>
    <row r="2403" spans="2:13" ht="15" x14ac:dyDescent="0.25">
      <c r="B2403"/>
      <c r="M2403"/>
    </row>
    <row r="2404" spans="2:13" ht="15" x14ac:dyDescent="0.25">
      <c r="B2404"/>
      <c r="M2404"/>
    </row>
    <row r="2405" spans="2:13" ht="15" x14ac:dyDescent="0.25">
      <c r="B2405"/>
      <c r="M2405"/>
    </row>
    <row r="2406" spans="2:13" ht="15" x14ac:dyDescent="0.25">
      <c r="B2406"/>
      <c r="M2406"/>
    </row>
    <row r="2407" spans="2:13" ht="15" x14ac:dyDescent="0.25">
      <c r="B2407"/>
      <c r="M2407"/>
    </row>
    <row r="2408" spans="2:13" ht="15" x14ac:dyDescent="0.25">
      <c r="B2408"/>
      <c r="M2408"/>
    </row>
    <row r="2409" spans="2:13" ht="15" x14ac:dyDescent="0.25">
      <c r="B2409"/>
      <c r="M2409"/>
    </row>
    <row r="2410" spans="2:13" ht="15" x14ac:dyDescent="0.25">
      <c r="B2410"/>
      <c r="M2410"/>
    </row>
    <row r="2411" spans="2:13" ht="15" x14ac:dyDescent="0.25">
      <c r="B2411"/>
      <c r="M2411"/>
    </row>
    <row r="2412" spans="2:13" ht="15" x14ac:dyDescent="0.25">
      <c r="B2412"/>
      <c r="M2412"/>
    </row>
    <row r="2413" spans="2:13" ht="15" x14ac:dyDescent="0.25">
      <c r="B2413"/>
      <c r="M2413"/>
    </row>
    <row r="2414" spans="2:13" ht="15" x14ac:dyDescent="0.25">
      <c r="B2414"/>
      <c r="M2414"/>
    </row>
    <row r="2415" spans="2:13" ht="15" x14ac:dyDescent="0.25">
      <c r="B2415"/>
      <c r="M2415"/>
    </row>
    <row r="2416" spans="2:13" ht="15" x14ac:dyDescent="0.25">
      <c r="B2416"/>
      <c r="M2416"/>
    </row>
    <row r="2417" spans="2:13" ht="15" x14ac:dyDescent="0.25">
      <c r="B2417"/>
      <c r="M2417"/>
    </row>
    <row r="2418" spans="2:13" ht="15" x14ac:dyDescent="0.25">
      <c r="B2418"/>
      <c r="M2418"/>
    </row>
    <row r="2419" spans="2:13" ht="15" x14ac:dyDescent="0.25">
      <c r="B2419"/>
      <c r="M2419"/>
    </row>
    <row r="2420" spans="2:13" ht="15" x14ac:dyDescent="0.25">
      <c r="B2420"/>
      <c r="M2420"/>
    </row>
    <row r="2421" spans="2:13" ht="15" x14ac:dyDescent="0.25">
      <c r="B2421"/>
      <c r="M2421"/>
    </row>
    <row r="2422" spans="2:13" ht="15" x14ac:dyDescent="0.25">
      <c r="B2422"/>
      <c r="M2422"/>
    </row>
    <row r="2423" spans="2:13" ht="15" x14ac:dyDescent="0.25">
      <c r="B2423"/>
      <c r="M2423"/>
    </row>
    <row r="2424" spans="2:13" ht="15" x14ac:dyDescent="0.25">
      <c r="B2424"/>
      <c r="M2424"/>
    </row>
    <row r="2425" spans="2:13" ht="15" x14ac:dyDescent="0.25">
      <c r="B2425"/>
      <c r="M2425"/>
    </row>
    <row r="2426" spans="2:13" ht="15" x14ac:dyDescent="0.25">
      <c r="B2426"/>
      <c r="M2426"/>
    </row>
    <row r="2427" spans="2:13" ht="15" x14ac:dyDescent="0.25">
      <c r="B2427"/>
      <c r="M2427"/>
    </row>
    <row r="2428" spans="2:13" ht="15" x14ac:dyDescent="0.25">
      <c r="B2428"/>
      <c r="M2428"/>
    </row>
    <row r="2429" spans="2:13" ht="15" x14ac:dyDescent="0.25">
      <c r="B2429"/>
      <c r="M2429"/>
    </row>
    <row r="2430" spans="2:13" ht="15" x14ac:dyDescent="0.25">
      <c r="B2430"/>
      <c r="M2430"/>
    </row>
    <row r="2431" spans="2:13" ht="15" x14ac:dyDescent="0.25">
      <c r="B2431"/>
      <c r="M2431"/>
    </row>
    <row r="2432" spans="2:13" ht="15" x14ac:dyDescent="0.25">
      <c r="B2432"/>
      <c r="M2432"/>
    </row>
    <row r="2433" spans="2:13" ht="15" x14ac:dyDescent="0.25">
      <c r="B2433"/>
      <c r="M2433"/>
    </row>
    <row r="2434" spans="2:13" ht="15" x14ac:dyDescent="0.25">
      <c r="B2434"/>
      <c r="M2434"/>
    </row>
    <row r="2435" spans="2:13" ht="15" x14ac:dyDescent="0.25">
      <c r="B2435"/>
      <c r="M2435"/>
    </row>
    <row r="2436" spans="2:13" ht="15" x14ac:dyDescent="0.25">
      <c r="B2436"/>
      <c r="M2436"/>
    </row>
    <row r="2437" spans="2:13" ht="15" x14ac:dyDescent="0.25">
      <c r="B2437"/>
      <c r="M2437"/>
    </row>
    <row r="2438" spans="2:13" ht="15" x14ac:dyDescent="0.25">
      <c r="B2438"/>
      <c r="M2438"/>
    </row>
    <row r="2439" spans="2:13" ht="15" x14ac:dyDescent="0.25">
      <c r="B2439"/>
      <c r="M2439"/>
    </row>
    <row r="2440" spans="2:13" ht="15" x14ac:dyDescent="0.25">
      <c r="B2440"/>
      <c r="M2440"/>
    </row>
    <row r="2441" spans="2:13" ht="15" x14ac:dyDescent="0.25">
      <c r="B2441"/>
      <c r="M2441"/>
    </row>
    <row r="2442" spans="2:13" ht="15" x14ac:dyDescent="0.25">
      <c r="B2442"/>
      <c r="M2442"/>
    </row>
    <row r="2443" spans="2:13" ht="15" x14ac:dyDescent="0.25">
      <c r="B2443"/>
      <c r="M2443"/>
    </row>
    <row r="2444" spans="2:13" ht="15" x14ac:dyDescent="0.25">
      <c r="B2444"/>
      <c r="M2444"/>
    </row>
    <row r="2445" spans="2:13" ht="15" x14ac:dyDescent="0.25">
      <c r="B2445"/>
      <c r="M2445"/>
    </row>
    <row r="2446" spans="2:13" ht="15" x14ac:dyDescent="0.25">
      <c r="B2446"/>
      <c r="M2446"/>
    </row>
    <row r="2447" spans="2:13" ht="15" x14ac:dyDescent="0.25">
      <c r="B2447"/>
      <c r="M2447"/>
    </row>
    <row r="2448" spans="2:13" ht="15" x14ac:dyDescent="0.25">
      <c r="B2448"/>
      <c r="M2448"/>
    </row>
    <row r="2449" spans="2:13" ht="15" x14ac:dyDescent="0.25">
      <c r="B2449"/>
      <c r="M2449"/>
    </row>
    <row r="2450" spans="2:13" ht="15" x14ac:dyDescent="0.25">
      <c r="B2450"/>
      <c r="M2450"/>
    </row>
    <row r="2451" spans="2:13" ht="15" x14ac:dyDescent="0.25">
      <c r="B2451"/>
      <c r="M2451"/>
    </row>
    <row r="2452" spans="2:13" ht="15" x14ac:dyDescent="0.25">
      <c r="B2452"/>
      <c r="M2452"/>
    </row>
    <row r="2453" spans="2:13" ht="15" x14ac:dyDescent="0.25">
      <c r="B2453"/>
      <c r="M2453"/>
    </row>
    <row r="2454" spans="2:13" ht="15" x14ac:dyDescent="0.25">
      <c r="B2454"/>
      <c r="M2454"/>
    </row>
    <row r="2455" spans="2:13" ht="15" x14ac:dyDescent="0.25">
      <c r="B2455"/>
      <c r="M2455"/>
    </row>
    <row r="2456" spans="2:13" ht="15" x14ac:dyDescent="0.25">
      <c r="B2456"/>
      <c r="M2456"/>
    </row>
    <row r="2457" spans="2:13" ht="15" x14ac:dyDescent="0.25">
      <c r="B2457"/>
      <c r="M2457"/>
    </row>
    <row r="2458" spans="2:13" ht="15" x14ac:dyDescent="0.25">
      <c r="B2458"/>
      <c r="M2458"/>
    </row>
    <row r="2459" spans="2:13" ht="15" x14ac:dyDescent="0.25">
      <c r="B2459"/>
      <c r="M2459"/>
    </row>
    <row r="2460" spans="2:13" ht="15" x14ac:dyDescent="0.25">
      <c r="B2460"/>
      <c r="M2460"/>
    </row>
    <row r="2461" spans="2:13" ht="15" x14ac:dyDescent="0.25">
      <c r="B2461"/>
      <c r="M2461"/>
    </row>
    <row r="2462" spans="2:13" ht="15" x14ac:dyDescent="0.25">
      <c r="B2462"/>
      <c r="M2462"/>
    </row>
    <row r="2463" spans="2:13" ht="15" x14ac:dyDescent="0.25">
      <c r="B2463"/>
      <c r="M2463"/>
    </row>
    <row r="2464" spans="2:13" ht="15" x14ac:dyDescent="0.25">
      <c r="B2464"/>
      <c r="M2464"/>
    </row>
    <row r="2465" spans="2:13" ht="15" x14ac:dyDescent="0.25">
      <c r="B2465"/>
      <c r="M2465"/>
    </row>
    <row r="2466" spans="2:13" ht="15" x14ac:dyDescent="0.25">
      <c r="B2466"/>
      <c r="M2466"/>
    </row>
    <row r="2467" spans="2:13" ht="15" x14ac:dyDescent="0.25">
      <c r="B2467"/>
      <c r="M2467"/>
    </row>
    <row r="2468" spans="2:13" ht="15" x14ac:dyDescent="0.25">
      <c r="B2468"/>
      <c r="M2468"/>
    </row>
    <row r="2469" spans="2:13" ht="15" x14ac:dyDescent="0.25">
      <c r="B2469"/>
      <c r="M2469"/>
    </row>
    <row r="2470" spans="2:13" ht="15" x14ac:dyDescent="0.25">
      <c r="B2470"/>
      <c r="M2470"/>
    </row>
    <row r="2471" spans="2:13" ht="15" x14ac:dyDescent="0.25">
      <c r="B2471"/>
      <c r="M2471"/>
    </row>
    <row r="2472" spans="2:13" ht="15" x14ac:dyDescent="0.25">
      <c r="B2472"/>
      <c r="M2472"/>
    </row>
    <row r="2473" spans="2:13" ht="15" x14ac:dyDescent="0.25">
      <c r="B2473"/>
      <c r="M2473"/>
    </row>
    <row r="2474" spans="2:13" ht="15" x14ac:dyDescent="0.25">
      <c r="B2474"/>
      <c r="M2474"/>
    </row>
    <row r="2475" spans="2:13" ht="15" x14ac:dyDescent="0.25">
      <c r="B2475"/>
      <c r="M2475"/>
    </row>
    <row r="2476" spans="2:13" ht="15" x14ac:dyDescent="0.25">
      <c r="B2476"/>
      <c r="M2476"/>
    </row>
    <row r="2477" spans="2:13" ht="15" x14ac:dyDescent="0.25">
      <c r="B2477"/>
      <c r="M2477"/>
    </row>
    <row r="2478" spans="2:13" ht="15" x14ac:dyDescent="0.25">
      <c r="B2478"/>
      <c r="M2478"/>
    </row>
    <row r="2479" spans="2:13" ht="15" x14ac:dyDescent="0.25">
      <c r="B2479"/>
      <c r="M2479"/>
    </row>
    <row r="2480" spans="2:13" ht="15" x14ac:dyDescent="0.25">
      <c r="B2480"/>
      <c r="M2480"/>
    </row>
    <row r="2481" spans="2:13" ht="15" x14ac:dyDescent="0.25">
      <c r="B2481"/>
      <c r="M2481"/>
    </row>
    <row r="2482" spans="2:13" ht="15" x14ac:dyDescent="0.25">
      <c r="B2482"/>
      <c r="M2482"/>
    </row>
    <row r="2483" spans="2:13" ht="15" x14ac:dyDescent="0.25">
      <c r="B2483"/>
      <c r="M2483"/>
    </row>
    <row r="2484" spans="2:13" ht="15" x14ac:dyDescent="0.25">
      <c r="B2484"/>
      <c r="M2484"/>
    </row>
    <row r="2485" spans="2:13" ht="15" x14ac:dyDescent="0.25">
      <c r="B2485"/>
      <c r="M2485"/>
    </row>
    <row r="2486" spans="2:13" ht="15" x14ac:dyDescent="0.25">
      <c r="B2486"/>
      <c r="M2486"/>
    </row>
    <row r="2487" spans="2:13" ht="15" x14ac:dyDescent="0.25">
      <c r="B2487"/>
      <c r="M2487"/>
    </row>
    <row r="2488" spans="2:13" ht="15" x14ac:dyDescent="0.25">
      <c r="B2488"/>
      <c r="M2488"/>
    </row>
    <row r="2489" spans="2:13" ht="15" x14ac:dyDescent="0.25">
      <c r="B2489"/>
      <c r="M2489"/>
    </row>
    <row r="2490" spans="2:13" ht="15" x14ac:dyDescent="0.25">
      <c r="B2490"/>
      <c r="M2490"/>
    </row>
    <row r="2491" spans="2:13" ht="15" x14ac:dyDescent="0.25">
      <c r="B2491"/>
      <c r="M2491"/>
    </row>
    <row r="2492" spans="2:13" ht="15" x14ac:dyDescent="0.25">
      <c r="B2492"/>
      <c r="M2492"/>
    </row>
    <row r="2493" spans="2:13" ht="15" x14ac:dyDescent="0.25">
      <c r="B2493"/>
      <c r="M2493"/>
    </row>
    <row r="2494" spans="2:13" ht="15" x14ac:dyDescent="0.25">
      <c r="B2494"/>
      <c r="M2494"/>
    </row>
    <row r="2495" spans="2:13" ht="15" x14ac:dyDescent="0.25">
      <c r="B2495"/>
      <c r="M2495"/>
    </row>
    <row r="2496" spans="2:13" ht="15" x14ac:dyDescent="0.25">
      <c r="B2496"/>
      <c r="M2496"/>
    </row>
    <row r="2497" spans="2:13" ht="15" x14ac:dyDescent="0.25">
      <c r="B2497"/>
      <c r="M2497"/>
    </row>
    <row r="2498" spans="2:13" ht="15" x14ac:dyDescent="0.25">
      <c r="B2498"/>
      <c r="M2498"/>
    </row>
    <row r="2499" spans="2:13" ht="15" x14ac:dyDescent="0.25">
      <c r="B2499"/>
      <c r="M2499"/>
    </row>
    <row r="2500" spans="2:13" ht="15" x14ac:dyDescent="0.25">
      <c r="B2500"/>
      <c r="M2500"/>
    </row>
    <row r="2501" spans="2:13" ht="15" x14ac:dyDescent="0.25">
      <c r="B2501"/>
      <c r="M2501"/>
    </row>
    <row r="2502" spans="2:13" ht="15" x14ac:dyDescent="0.25">
      <c r="B2502"/>
      <c r="M2502"/>
    </row>
    <row r="2503" spans="2:13" ht="15" x14ac:dyDescent="0.25">
      <c r="B2503"/>
      <c r="M2503"/>
    </row>
    <row r="2504" spans="2:13" ht="15" x14ac:dyDescent="0.25">
      <c r="B2504"/>
      <c r="M2504"/>
    </row>
    <row r="2505" spans="2:13" ht="15" x14ac:dyDescent="0.25">
      <c r="B2505"/>
      <c r="M2505"/>
    </row>
    <row r="2506" spans="2:13" ht="15" x14ac:dyDescent="0.25">
      <c r="B2506"/>
      <c r="M2506"/>
    </row>
    <row r="2507" spans="2:13" ht="15" x14ac:dyDescent="0.25">
      <c r="B2507"/>
      <c r="M2507"/>
    </row>
    <row r="2508" spans="2:13" ht="15" x14ac:dyDescent="0.25">
      <c r="B2508"/>
      <c r="M2508"/>
    </row>
    <row r="2509" spans="2:13" ht="15" x14ac:dyDescent="0.25">
      <c r="B2509"/>
      <c r="M2509"/>
    </row>
    <row r="2510" spans="2:13" ht="15" x14ac:dyDescent="0.25">
      <c r="B2510"/>
      <c r="M2510"/>
    </row>
    <row r="2511" spans="2:13" ht="15" x14ac:dyDescent="0.25">
      <c r="B2511"/>
      <c r="M2511"/>
    </row>
    <row r="2512" spans="2:13" ht="15" x14ac:dyDescent="0.25">
      <c r="B2512"/>
      <c r="M2512"/>
    </row>
    <row r="2513" spans="2:13" ht="15" x14ac:dyDescent="0.25">
      <c r="B2513"/>
      <c r="M2513"/>
    </row>
    <row r="2514" spans="2:13" ht="15" x14ac:dyDescent="0.25">
      <c r="B2514"/>
      <c r="M2514"/>
    </row>
    <row r="2515" spans="2:13" ht="15" x14ac:dyDescent="0.25">
      <c r="B2515"/>
      <c r="M2515"/>
    </row>
    <row r="2516" spans="2:13" ht="15" x14ac:dyDescent="0.25">
      <c r="B2516"/>
      <c r="M2516"/>
    </row>
    <row r="2517" spans="2:13" ht="15" x14ac:dyDescent="0.25">
      <c r="B2517"/>
      <c r="M2517"/>
    </row>
    <row r="2518" spans="2:13" ht="15" x14ac:dyDescent="0.25">
      <c r="B2518"/>
      <c r="M2518"/>
    </row>
    <row r="2519" spans="2:13" ht="15" x14ac:dyDescent="0.25">
      <c r="B2519"/>
      <c r="M2519"/>
    </row>
    <row r="2520" spans="2:13" ht="15" x14ac:dyDescent="0.25">
      <c r="B2520"/>
      <c r="M2520"/>
    </row>
    <row r="2521" spans="2:13" ht="15" x14ac:dyDescent="0.25">
      <c r="B2521"/>
      <c r="M2521"/>
    </row>
    <row r="2522" spans="2:13" ht="15" x14ac:dyDescent="0.25">
      <c r="B2522"/>
      <c r="M2522"/>
    </row>
    <row r="2523" spans="2:13" ht="15" x14ac:dyDescent="0.25">
      <c r="B2523"/>
      <c r="M2523"/>
    </row>
    <row r="2524" spans="2:13" ht="15" x14ac:dyDescent="0.25">
      <c r="B2524"/>
      <c r="M2524"/>
    </row>
    <row r="2525" spans="2:13" ht="15" x14ac:dyDescent="0.25">
      <c r="B2525"/>
      <c r="M2525"/>
    </row>
    <row r="2526" spans="2:13" ht="15" x14ac:dyDescent="0.25">
      <c r="B2526"/>
      <c r="M2526"/>
    </row>
    <row r="2527" spans="2:13" ht="15" x14ac:dyDescent="0.25">
      <c r="B2527"/>
      <c r="M2527"/>
    </row>
    <row r="2528" spans="2:13" ht="15" x14ac:dyDescent="0.25">
      <c r="B2528"/>
      <c r="M2528"/>
    </row>
    <row r="2529" spans="2:13" ht="15" x14ac:dyDescent="0.25">
      <c r="B2529"/>
      <c r="M2529"/>
    </row>
    <row r="2530" spans="2:13" ht="15" x14ac:dyDescent="0.25">
      <c r="B2530"/>
      <c r="M2530"/>
    </row>
    <row r="2531" spans="2:13" ht="15" x14ac:dyDescent="0.25">
      <c r="B2531"/>
      <c r="M2531"/>
    </row>
    <row r="2532" spans="2:13" ht="15" x14ac:dyDescent="0.25">
      <c r="B2532"/>
      <c r="M2532"/>
    </row>
    <row r="2533" spans="2:13" ht="15" x14ac:dyDescent="0.25">
      <c r="B2533"/>
      <c r="M2533"/>
    </row>
    <row r="2534" spans="2:13" ht="15" x14ac:dyDescent="0.25">
      <c r="B2534"/>
      <c r="M2534"/>
    </row>
    <row r="2535" spans="2:13" ht="15" x14ac:dyDescent="0.25">
      <c r="B2535"/>
      <c r="M2535"/>
    </row>
    <row r="2536" spans="2:13" ht="15" x14ac:dyDescent="0.25">
      <c r="B2536"/>
      <c r="M2536"/>
    </row>
    <row r="2537" spans="2:13" ht="15" x14ac:dyDescent="0.25">
      <c r="B2537"/>
      <c r="M2537"/>
    </row>
    <row r="2538" spans="2:13" ht="15" x14ac:dyDescent="0.25">
      <c r="B2538"/>
      <c r="M2538"/>
    </row>
    <row r="2539" spans="2:13" ht="15" x14ac:dyDescent="0.25">
      <c r="B2539"/>
      <c r="M2539"/>
    </row>
    <row r="2540" spans="2:13" ht="15" x14ac:dyDescent="0.25">
      <c r="B2540"/>
      <c r="M2540"/>
    </row>
    <row r="2541" spans="2:13" ht="15" x14ac:dyDescent="0.25">
      <c r="B2541"/>
      <c r="M2541"/>
    </row>
    <row r="2542" spans="2:13" ht="15" x14ac:dyDescent="0.25">
      <c r="B2542"/>
      <c r="M2542"/>
    </row>
    <row r="2543" spans="2:13" ht="15" x14ac:dyDescent="0.25">
      <c r="B2543"/>
      <c r="M2543"/>
    </row>
    <row r="2544" spans="2:13" ht="15" x14ac:dyDescent="0.25">
      <c r="B2544"/>
      <c r="M2544"/>
    </row>
    <row r="2545" spans="2:13" ht="15" x14ac:dyDescent="0.25">
      <c r="B2545"/>
      <c r="M2545"/>
    </row>
    <row r="2546" spans="2:13" ht="15" x14ac:dyDescent="0.25">
      <c r="B2546"/>
      <c r="M2546"/>
    </row>
    <row r="2547" spans="2:13" ht="15" x14ac:dyDescent="0.25">
      <c r="B2547"/>
      <c r="M2547"/>
    </row>
    <row r="2548" spans="2:13" ht="15" x14ac:dyDescent="0.25">
      <c r="B2548"/>
      <c r="M2548"/>
    </row>
    <row r="2549" spans="2:13" ht="15" x14ac:dyDescent="0.25">
      <c r="B2549"/>
      <c r="M2549"/>
    </row>
    <row r="2550" spans="2:13" ht="15" x14ac:dyDescent="0.25">
      <c r="B2550"/>
      <c r="M2550"/>
    </row>
    <row r="2551" spans="2:13" ht="15" x14ac:dyDescent="0.25">
      <c r="B2551"/>
      <c r="M2551"/>
    </row>
    <row r="2552" spans="2:13" ht="15" x14ac:dyDescent="0.25">
      <c r="B2552"/>
      <c r="M2552"/>
    </row>
    <row r="2553" spans="2:13" ht="15" x14ac:dyDescent="0.25">
      <c r="B2553"/>
      <c r="M2553"/>
    </row>
    <row r="2554" spans="2:13" ht="15" x14ac:dyDescent="0.25">
      <c r="B2554"/>
      <c r="M2554"/>
    </row>
    <row r="2555" spans="2:13" ht="15" x14ac:dyDescent="0.25">
      <c r="B2555"/>
      <c r="M2555"/>
    </row>
    <row r="2556" spans="2:13" ht="15" x14ac:dyDescent="0.25">
      <c r="B2556"/>
      <c r="M2556"/>
    </row>
    <row r="2557" spans="2:13" ht="15" x14ac:dyDescent="0.25">
      <c r="B2557"/>
      <c r="M2557"/>
    </row>
    <row r="2558" spans="2:13" ht="15" x14ac:dyDescent="0.25">
      <c r="B2558"/>
      <c r="M2558"/>
    </row>
    <row r="2559" spans="2:13" ht="15" x14ac:dyDescent="0.25">
      <c r="B2559"/>
      <c r="M2559"/>
    </row>
    <row r="2560" spans="2:13" ht="15" x14ac:dyDescent="0.25">
      <c r="B2560"/>
      <c r="M2560"/>
    </row>
    <row r="2561" spans="2:13" ht="15" x14ac:dyDescent="0.25">
      <c r="B2561"/>
      <c r="M2561"/>
    </row>
    <row r="2562" spans="2:13" ht="15" x14ac:dyDescent="0.25">
      <c r="B2562"/>
      <c r="M2562"/>
    </row>
    <row r="2563" spans="2:13" ht="15" x14ac:dyDescent="0.25">
      <c r="B2563"/>
      <c r="M2563"/>
    </row>
    <row r="2564" spans="2:13" ht="15" x14ac:dyDescent="0.25">
      <c r="B2564"/>
      <c r="M2564"/>
    </row>
    <row r="2565" spans="2:13" ht="15" x14ac:dyDescent="0.25">
      <c r="B2565"/>
      <c r="M2565"/>
    </row>
    <row r="2566" spans="2:13" ht="15" x14ac:dyDescent="0.25">
      <c r="B2566"/>
      <c r="M2566"/>
    </row>
    <row r="2567" spans="2:13" ht="15" x14ac:dyDescent="0.25">
      <c r="B2567"/>
      <c r="M2567"/>
    </row>
    <row r="2568" spans="2:13" ht="15" x14ac:dyDescent="0.25">
      <c r="B2568"/>
      <c r="M2568"/>
    </row>
    <row r="2569" spans="2:13" ht="15" x14ac:dyDescent="0.25">
      <c r="B2569"/>
      <c r="M2569"/>
    </row>
    <row r="2570" spans="2:13" ht="15" x14ac:dyDescent="0.25">
      <c r="B2570"/>
      <c r="M2570"/>
    </row>
    <row r="2571" spans="2:13" ht="15" x14ac:dyDescent="0.25">
      <c r="B2571"/>
      <c r="M2571"/>
    </row>
    <row r="2572" spans="2:13" ht="15" x14ac:dyDescent="0.25">
      <c r="B2572"/>
      <c r="M2572"/>
    </row>
    <row r="2573" spans="2:13" ht="15" x14ac:dyDescent="0.25">
      <c r="B2573"/>
      <c r="M2573"/>
    </row>
    <row r="2574" spans="2:13" ht="15" x14ac:dyDescent="0.25">
      <c r="B2574"/>
      <c r="M2574"/>
    </row>
    <row r="2575" spans="2:13" ht="15" x14ac:dyDescent="0.25">
      <c r="B2575"/>
      <c r="M2575"/>
    </row>
    <row r="2576" spans="2:13" ht="15" x14ac:dyDescent="0.25">
      <c r="B2576"/>
      <c r="M2576"/>
    </row>
    <row r="2577" spans="2:13" ht="15" x14ac:dyDescent="0.25">
      <c r="B2577"/>
      <c r="M2577"/>
    </row>
    <row r="2578" spans="2:13" ht="15" x14ac:dyDescent="0.25">
      <c r="B2578"/>
      <c r="M2578"/>
    </row>
    <row r="2579" spans="2:13" ht="15" x14ac:dyDescent="0.25">
      <c r="B2579"/>
      <c r="M2579"/>
    </row>
    <row r="2580" spans="2:13" ht="15" x14ac:dyDescent="0.25">
      <c r="B2580"/>
      <c r="M2580"/>
    </row>
    <row r="2581" spans="2:13" ht="15" x14ac:dyDescent="0.25">
      <c r="B2581"/>
      <c r="M2581"/>
    </row>
    <row r="2582" spans="2:13" ht="15" x14ac:dyDescent="0.25">
      <c r="B2582"/>
      <c r="M2582"/>
    </row>
    <row r="2583" spans="2:13" ht="15" x14ac:dyDescent="0.25">
      <c r="B2583"/>
      <c r="M2583"/>
    </row>
    <row r="2584" spans="2:13" ht="15" x14ac:dyDescent="0.25">
      <c r="B2584"/>
      <c r="M2584"/>
    </row>
    <row r="2585" spans="2:13" ht="15" x14ac:dyDescent="0.25">
      <c r="B2585"/>
      <c r="M2585"/>
    </row>
    <row r="2586" spans="2:13" ht="15" x14ac:dyDescent="0.25">
      <c r="B2586"/>
      <c r="M2586"/>
    </row>
    <row r="2587" spans="2:13" ht="15" x14ac:dyDescent="0.25">
      <c r="B2587"/>
      <c r="M2587"/>
    </row>
    <row r="2588" spans="2:13" ht="15" x14ac:dyDescent="0.25">
      <c r="B2588"/>
      <c r="M2588"/>
    </row>
    <row r="2589" spans="2:13" ht="15" x14ac:dyDescent="0.25">
      <c r="B2589"/>
      <c r="M2589"/>
    </row>
    <row r="2590" spans="2:13" ht="15" x14ac:dyDescent="0.25">
      <c r="B2590"/>
      <c r="M2590"/>
    </row>
    <row r="2591" spans="2:13" ht="15" x14ac:dyDescent="0.25">
      <c r="B2591"/>
      <c r="M2591"/>
    </row>
    <row r="2592" spans="2:13" ht="15" x14ac:dyDescent="0.25">
      <c r="B2592"/>
      <c r="M2592"/>
    </row>
    <row r="2593" spans="2:13" ht="15" x14ac:dyDescent="0.25">
      <c r="B2593"/>
      <c r="M2593"/>
    </row>
    <row r="2594" spans="2:13" ht="15" x14ac:dyDescent="0.25">
      <c r="B2594"/>
      <c r="M2594"/>
    </row>
    <row r="2595" spans="2:13" ht="15" x14ac:dyDescent="0.25">
      <c r="B2595"/>
      <c r="M2595"/>
    </row>
    <row r="2596" spans="2:13" ht="15" x14ac:dyDescent="0.25">
      <c r="B2596"/>
      <c r="M2596"/>
    </row>
    <row r="2597" spans="2:13" ht="15" x14ac:dyDescent="0.25">
      <c r="B2597"/>
      <c r="M2597"/>
    </row>
    <row r="2598" spans="2:13" ht="15" x14ac:dyDescent="0.25">
      <c r="B2598"/>
      <c r="M2598"/>
    </row>
    <row r="2599" spans="2:13" ht="15" x14ac:dyDescent="0.25">
      <c r="B2599"/>
      <c r="M2599"/>
    </row>
    <row r="2600" spans="2:13" ht="15" x14ac:dyDescent="0.25">
      <c r="B2600"/>
      <c r="M2600"/>
    </row>
    <row r="2601" spans="2:13" ht="15" x14ac:dyDescent="0.25">
      <c r="B2601"/>
      <c r="M2601"/>
    </row>
    <row r="2602" spans="2:13" ht="15" x14ac:dyDescent="0.25">
      <c r="B2602"/>
      <c r="M2602"/>
    </row>
    <row r="2603" spans="2:13" ht="15" x14ac:dyDescent="0.25">
      <c r="B2603"/>
      <c r="M2603"/>
    </row>
    <row r="2604" spans="2:13" ht="15" x14ac:dyDescent="0.25">
      <c r="B2604"/>
      <c r="M2604"/>
    </row>
    <row r="2605" spans="2:13" ht="15" x14ac:dyDescent="0.25">
      <c r="B2605"/>
      <c r="M2605"/>
    </row>
    <row r="2606" spans="2:13" ht="15" x14ac:dyDescent="0.25">
      <c r="B2606"/>
      <c r="M2606"/>
    </row>
    <row r="2607" spans="2:13" ht="15" x14ac:dyDescent="0.25">
      <c r="B2607"/>
      <c r="M2607"/>
    </row>
    <row r="2608" spans="2:13" ht="15" x14ac:dyDescent="0.25">
      <c r="B2608"/>
      <c r="M2608"/>
    </row>
    <row r="2609" spans="2:13" ht="15" x14ac:dyDescent="0.25">
      <c r="B2609"/>
      <c r="M2609"/>
    </row>
    <row r="2610" spans="2:13" ht="15" x14ac:dyDescent="0.25">
      <c r="B2610"/>
      <c r="M2610"/>
    </row>
    <row r="2611" spans="2:13" ht="15" x14ac:dyDescent="0.25">
      <c r="B2611"/>
      <c r="M2611"/>
    </row>
    <row r="2612" spans="2:13" ht="15" x14ac:dyDescent="0.25">
      <c r="B2612"/>
      <c r="M2612"/>
    </row>
    <row r="2613" spans="2:13" ht="15" x14ac:dyDescent="0.25">
      <c r="B2613"/>
      <c r="M2613"/>
    </row>
    <row r="2614" spans="2:13" ht="15" x14ac:dyDescent="0.25">
      <c r="B2614"/>
      <c r="M2614"/>
    </row>
    <row r="2615" spans="2:13" ht="15" x14ac:dyDescent="0.25">
      <c r="B2615"/>
      <c r="M2615"/>
    </row>
    <row r="2616" spans="2:13" ht="15" x14ac:dyDescent="0.25">
      <c r="B2616"/>
      <c r="M2616"/>
    </row>
    <row r="2617" spans="2:13" ht="15" x14ac:dyDescent="0.25">
      <c r="B2617"/>
      <c r="M2617"/>
    </row>
    <row r="2618" spans="2:13" ht="15" x14ac:dyDescent="0.25">
      <c r="B2618"/>
      <c r="M2618"/>
    </row>
    <row r="2619" spans="2:13" ht="15" x14ac:dyDescent="0.25">
      <c r="B2619"/>
      <c r="M2619"/>
    </row>
    <row r="2620" spans="2:13" ht="15" x14ac:dyDescent="0.25">
      <c r="B2620"/>
      <c r="M2620"/>
    </row>
    <row r="2621" spans="2:13" ht="15" x14ac:dyDescent="0.25">
      <c r="B2621"/>
      <c r="M2621"/>
    </row>
    <row r="2622" spans="2:13" ht="15" x14ac:dyDescent="0.25">
      <c r="B2622"/>
      <c r="M2622"/>
    </row>
    <row r="2623" spans="2:13" ht="15" x14ac:dyDescent="0.25">
      <c r="B2623"/>
      <c r="M2623"/>
    </row>
    <row r="2624" spans="2:13" ht="15" x14ac:dyDescent="0.25">
      <c r="B2624"/>
      <c r="M2624"/>
    </row>
    <row r="2625" spans="2:13" ht="15" x14ac:dyDescent="0.25">
      <c r="B2625"/>
      <c r="M2625"/>
    </row>
    <row r="2626" spans="2:13" ht="15" x14ac:dyDescent="0.25">
      <c r="B2626"/>
      <c r="M2626"/>
    </row>
    <row r="2627" spans="2:13" ht="15" x14ac:dyDescent="0.25">
      <c r="B2627"/>
      <c r="M2627"/>
    </row>
    <row r="2628" spans="2:13" ht="15" x14ac:dyDescent="0.25">
      <c r="B2628"/>
      <c r="M2628"/>
    </row>
    <row r="2629" spans="2:13" ht="15" x14ac:dyDescent="0.25">
      <c r="B2629"/>
      <c r="M2629"/>
    </row>
    <row r="2630" spans="2:13" ht="15" x14ac:dyDescent="0.25">
      <c r="B2630"/>
      <c r="M2630"/>
    </row>
    <row r="2631" spans="2:13" ht="15" x14ac:dyDescent="0.25">
      <c r="B2631"/>
      <c r="M2631"/>
    </row>
    <row r="2632" spans="2:13" ht="15" x14ac:dyDescent="0.25">
      <c r="B2632"/>
      <c r="M2632"/>
    </row>
    <row r="2633" spans="2:13" ht="15" x14ac:dyDescent="0.25">
      <c r="B2633"/>
      <c r="M2633"/>
    </row>
    <row r="2634" spans="2:13" ht="15" x14ac:dyDescent="0.25">
      <c r="B2634"/>
      <c r="M2634"/>
    </row>
    <row r="2635" spans="2:13" ht="15" x14ac:dyDescent="0.25">
      <c r="B2635"/>
      <c r="M2635"/>
    </row>
    <row r="2636" spans="2:13" ht="15" x14ac:dyDescent="0.25">
      <c r="B2636"/>
      <c r="M2636"/>
    </row>
    <row r="2637" spans="2:13" ht="15" x14ac:dyDescent="0.25">
      <c r="B2637"/>
      <c r="M2637"/>
    </row>
    <row r="2638" spans="2:13" ht="15" x14ac:dyDescent="0.25">
      <c r="B2638"/>
      <c r="M2638"/>
    </row>
    <row r="2639" spans="2:13" ht="15" x14ac:dyDescent="0.25">
      <c r="B2639"/>
      <c r="M2639"/>
    </row>
    <row r="2640" spans="2:13" ht="15" x14ac:dyDescent="0.25">
      <c r="B2640"/>
      <c r="M2640"/>
    </row>
    <row r="2641" spans="2:13" ht="15" x14ac:dyDescent="0.25">
      <c r="B2641"/>
      <c r="M2641"/>
    </row>
    <row r="2642" spans="2:13" ht="15" x14ac:dyDescent="0.25">
      <c r="B2642"/>
      <c r="M2642"/>
    </row>
    <row r="2643" spans="2:13" ht="15" x14ac:dyDescent="0.25">
      <c r="B2643"/>
      <c r="M2643"/>
    </row>
    <row r="2644" spans="2:13" ht="15" x14ac:dyDescent="0.25">
      <c r="B2644"/>
      <c r="M2644"/>
    </row>
    <row r="2645" spans="2:13" ht="15" x14ac:dyDescent="0.25">
      <c r="B2645"/>
      <c r="M2645"/>
    </row>
    <row r="2646" spans="2:13" ht="15" x14ac:dyDescent="0.25">
      <c r="B2646"/>
      <c r="M2646"/>
    </row>
    <row r="2647" spans="2:13" ht="15" x14ac:dyDescent="0.25">
      <c r="B2647"/>
      <c r="M2647"/>
    </row>
    <row r="2648" spans="2:13" ht="15" x14ac:dyDescent="0.25">
      <c r="B2648"/>
      <c r="M2648"/>
    </row>
    <row r="2649" spans="2:13" ht="15" x14ac:dyDescent="0.25">
      <c r="B2649"/>
      <c r="M2649"/>
    </row>
    <row r="2650" spans="2:13" ht="15" x14ac:dyDescent="0.25">
      <c r="B2650"/>
      <c r="M2650"/>
    </row>
    <row r="2651" spans="2:13" ht="15" x14ac:dyDescent="0.25">
      <c r="B2651"/>
      <c r="M2651"/>
    </row>
    <row r="2652" spans="2:13" ht="15" x14ac:dyDescent="0.25">
      <c r="B2652"/>
      <c r="M2652"/>
    </row>
    <row r="2653" spans="2:13" ht="15" x14ac:dyDescent="0.25">
      <c r="B2653"/>
      <c r="M2653"/>
    </row>
    <row r="2654" spans="2:13" ht="15" x14ac:dyDescent="0.25">
      <c r="B2654"/>
      <c r="M2654"/>
    </row>
    <row r="2655" spans="2:13" ht="15" x14ac:dyDescent="0.25">
      <c r="B2655"/>
      <c r="M2655"/>
    </row>
    <row r="2656" spans="2:13" ht="15" x14ac:dyDescent="0.25">
      <c r="B2656"/>
      <c r="M2656"/>
    </row>
    <row r="2657" spans="2:13" ht="15" x14ac:dyDescent="0.25">
      <c r="B2657"/>
      <c r="M2657"/>
    </row>
    <row r="2658" spans="2:13" ht="15" x14ac:dyDescent="0.25">
      <c r="B2658"/>
      <c r="M2658"/>
    </row>
    <row r="2659" spans="2:13" ht="15" x14ac:dyDescent="0.25">
      <c r="B2659"/>
      <c r="M2659"/>
    </row>
    <row r="2660" spans="2:13" ht="15" x14ac:dyDescent="0.25">
      <c r="B2660"/>
      <c r="M2660"/>
    </row>
    <row r="2661" spans="2:13" ht="15" x14ac:dyDescent="0.25">
      <c r="B2661"/>
      <c r="M2661"/>
    </row>
    <row r="2662" spans="2:13" ht="15" x14ac:dyDescent="0.25">
      <c r="B2662"/>
      <c r="M2662"/>
    </row>
    <row r="2663" spans="2:13" ht="15" x14ac:dyDescent="0.25">
      <c r="B2663"/>
      <c r="M2663"/>
    </row>
    <row r="2664" spans="2:13" ht="15" x14ac:dyDescent="0.25">
      <c r="B2664"/>
      <c r="M2664"/>
    </row>
    <row r="2665" spans="2:13" ht="15" x14ac:dyDescent="0.25">
      <c r="B2665"/>
      <c r="M2665"/>
    </row>
    <row r="2666" spans="2:13" ht="15" x14ac:dyDescent="0.25">
      <c r="B2666"/>
      <c r="M2666"/>
    </row>
    <row r="2667" spans="2:13" ht="15" x14ac:dyDescent="0.25">
      <c r="B2667"/>
      <c r="M2667"/>
    </row>
    <row r="2668" spans="2:13" ht="15" x14ac:dyDescent="0.25">
      <c r="B2668"/>
      <c r="M2668"/>
    </row>
    <row r="2669" spans="2:13" ht="15" x14ac:dyDescent="0.25">
      <c r="B2669"/>
      <c r="M2669"/>
    </row>
    <row r="2670" spans="2:13" ht="15" x14ac:dyDescent="0.25">
      <c r="B2670"/>
      <c r="M2670"/>
    </row>
    <row r="2671" spans="2:13" ht="15" x14ac:dyDescent="0.25">
      <c r="B2671"/>
      <c r="M2671"/>
    </row>
    <row r="2672" spans="2:13" ht="15" x14ac:dyDescent="0.25">
      <c r="B2672"/>
      <c r="M2672"/>
    </row>
    <row r="2673" spans="2:13" ht="15" x14ac:dyDescent="0.25">
      <c r="B2673"/>
      <c r="M2673"/>
    </row>
    <row r="2674" spans="2:13" ht="15" x14ac:dyDescent="0.25">
      <c r="B2674"/>
      <c r="M2674"/>
    </row>
    <row r="2675" spans="2:13" ht="15" x14ac:dyDescent="0.25">
      <c r="B2675"/>
      <c r="M2675"/>
    </row>
    <row r="2676" spans="2:13" ht="15" x14ac:dyDescent="0.25">
      <c r="B2676"/>
      <c r="M2676"/>
    </row>
    <row r="2677" spans="2:13" ht="15" x14ac:dyDescent="0.25">
      <c r="B2677"/>
      <c r="M2677"/>
    </row>
    <row r="2678" spans="2:13" ht="15" x14ac:dyDescent="0.25">
      <c r="B2678"/>
      <c r="M2678"/>
    </row>
    <row r="2679" spans="2:13" ht="15" x14ac:dyDescent="0.25">
      <c r="B2679"/>
      <c r="M2679"/>
    </row>
    <row r="2680" spans="2:13" ht="15" x14ac:dyDescent="0.25">
      <c r="B2680"/>
      <c r="M2680"/>
    </row>
    <row r="2681" spans="2:13" ht="15" x14ac:dyDescent="0.25">
      <c r="B2681"/>
      <c r="M2681"/>
    </row>
    <row r="2682" spans="2:13" ht="15" x14ac:dyDescent="0.25">
      <c r="B2682"/>
      <c r="M2682"/>
    </row>
    <row r="2683" spans="2:13" ht="15" x14ac:dyDescent="0.25">
      <c r="B2683"/>
      <c r="M2683"/>
    </row>
    <row r="2684" spans="2:13" ht="15" x14ac:dyDescent="0.25">
      <c r="B2684"/>
      <c r="M2684"/>
    </row>
    <row r="2685" spans="2:13" ht="15" x14ac:dyDescent="0.25">
      <c r="B2685"/>
      <c r="M2685"/>
    </row>
    <row r="2686" spans="2:13" ht="15" x14ac:dyDescent="0.25">
      <c r="B2686"/>
      <c r="M2686"/>
    </row>
    <row r="2687" spans="2:13" ht="15" x14ac:dyDescent="0.25">
      <c r="B2687"/>
      <c r="M2687"/>
    </row>
    <row r="2688" spans="2:13" ht="15" x14ac:dyDescent="0.25">
      <c r="B2688"/>
      <c r="M2688"/>
    </row>
    <row r="2689" spans="2:13" ht="15" x14ac:dyDescent="0.25">
      <c r="B2689"/>
      <c r="M2689"/>
    </row>
    <row r="2690" spans="2:13" ht="15" x14ac:dyDescent="0.25">
      <c r="B2690"/>
      <c r="M2690"/>
    </row>
    <row r="2691" spans="2:13" ht="15" x14ac:dyDescent="0.25">
      <c r="B2691"/>
      <c r="M2691"/>
    </row>
    <row r="2692" spans="2:13" ht="15" x14ac:dyDescent="0.25">
      <c r="B2692"/>
      <c r="M2692"/>
    </row>
    <row r="2693" spans="2:13" ht="15" x14ac:dyDescent="0.25">
      <c r="B2693"/>
      <c r="M2693"/>
    </row>
    <row r="2694" spans="2:13" ht="15" x14ac:dyDescent="0.25">
      <c r="B2694"/>
      <c r="M2694"/>
    </row>
    <row r="2695" spans="2:13" ht="15" x14ac:dyDescent="0.25">
      <c r="B2695"/>
      <c r="M2695"/>
    </row>
    <row r="2696" spans="2:13" ht="15" x14ac:dyDescent="0.25">
      <c r="B2696"/>
      <c r="M2696"/>
    </row>
    <row r="2697" spans="2:13" ht="15" x14ac:dyDescent="0.25">
      <c r="B2697"/>
      <c r="M2697"/>
    </row>
    <row r="2698" spans="2:13" ht="15" x14ac:dyDescent="0.25">
      <c r="B2698"/>
      <c r="M2698"/>
    </row>
    <row r="2699" spans="2:13" ht="15" x14ac:dyDescent="0.25">
      <c r="B2699"/>
      <c r="M2699"/>
    </row>
    <row r="2700" spans="2:13" ht="15" x14ac:dyDescent="0.25">
      <c r="B2700"/>
      <c r="M2700"/>
    </row>
    <row r="2701" spans="2:13" ht="15" x14ac:dyDescent="0.25">
      <c r="B2701"/>
      <c r="M2701"/>
    </row>
    <row r="2702" spans="2:13" ht="15" x14ac:dyDescent="0.25">
      <c r="B2702"/>
      <c r="M2702"/>
    </row>
    <row r="2703" spans="2:13" ht="15" x14ac:dyDescent="0.25">
      <c r="B2703"/>
      <c r="M2703"/>
    </row>
    <row r="2704" spans="2:13" ht="15" x14ac:dyDescent="0.25">
      <c r="B2704"/>
      <c r="M2704"/>
    </row>
    <row r="2705" spans="2:13" ht="15" x14ac:dyDescent="0.25">
      <c r="B2705"/>
      <c r="M2705"/>
    </row>
    <row r="2706" spans="2:13" ht="15" x14ac:dyDescent="0.25">
      <c r="B2706"/>
      <c r="M2706"/>
    </row>
    <row r="2707" spans="2:13" ht="15" x14ac:dyDescent="0.25">
      <c r="B2707"/>
      <c r="M2707"/>
    </row>
    <row r="2708" spans="2:13" ht="15" x14ac:dyDescent="0.25">
      <c r="B2708"/>
      <c r="M2708"/>
    </row>
    <row r="2709" spans="2:13" ht="15" x14ac:dyDescent="0.25">
      <c r="B2709"/>
      <c r="M2709"/>
    </row>
    <row r="2710" spans="2:13" ht="15" x14ac:dyDescent="0.25">
      <c r="B2710"/>
      <c r="M2710"/>
    </row>
    <row r="2711" spans="2:13" ht="15" x14ac:dyDescent="0.25">
      <c r="B2711"/>
      <c r="M2711"/>
    </row>
    <row r="2712" spans="2:13" ht="15" x14ac:dyDescent="0.25">
      <c r="B2712"/>
      <c r="M2712"/>
    </row>
    <row r="2713" spans="2:13" ht="15" x14ac:dyDescent="0.25">
      <c r="B2713"/>
      <c r="M2713"/>
    </row>
    <row r="2714" spans="2:13" ht="15" x14ac:dyDescent="0.25">
      <c r="B2714"/>
      <c r="M2714"/>
    </row>
    <row r="2715" spans="2:13" ht="15" x14ac:dyDescent="0.25">
      <c r="B2715"/>
      <c r="M2715"/>
    </row>
    <row r="2716" spans="2:13" ht="15" x14ac:dyDescent="0.25">
      <c r="B2716"/>
      <c r="M2716"/>
    </row>
    <row r="2717" spans="2:13" ht="15" x14ac:dyDescent="0.25">
      <c r="B2717"/>
      <c r="M2717"/>
    </row>
    <row r="2718" spans="2:13" ht="15" x14ac:dyDescent="0.25">
      <c r="B2718"/>
      <c r="M2718"/>
    </row>
    <row r="2719" spans="2:13" ht="15" x14ac:dyDescent="0.25">
      <c r="B2719"/>
      <c r="M2719"/>
    </row>
    <row r="2720" spans="2:13" ht="15" x14ac:dyDescent="0.25">
      <c r="B2720"/>
      <c r="M2720"/>
    </row>
    <row r="2721" spans="2:13" ht="15" x14ac:dyDescent="0.25">
      <c r="B2721"/>
      <c r="M2721"/>
    </row>
    <row r="2722" spans="2:13" ht="15" x14ac:dyDescent="0.25">
      <c r="B2722"/>
      <c r="M2722"/>
    </row>
    <row r="2723" spans="2:13" ht="15" x14ac:dyDescent="0.25">
      <c r="B2723"/>
      <c r="M2723"/>
    </row>
    <row r="2724" spans="2:13" ht="15" x14ac:dyDescent="0.25">
      <c r="B2724"/>
      <c r="M2724"/>
    </row>
    <row r="2725" spans="2:13" ht="15" x14ac:dyDescent="0.25">
      <c r="B2725"/>
      <c r="M2725"/>
    </row>
    <row r="2726" spans="2:13" ht="15" x14ac:dyDescent="0.25">
      <c r="B2726"/>
      <c r="M2726"/>
    </row>
    <row r="2727" spans="2:13" ht="15" x14ac:dyDescent="0.25">
      <c r="B2727"/>
      <c r="M2727"/>
    </row>
    <row r="2728" spans="2:13" ht="15" x14ac:dyDescent="0.25">
      <c r="B2728"/>
      <c r="M2728"/>
    </row>
    <row r="2729" spans="2:13" ht="15" x14ac:dyDescent="0.25">
      <c r="B2729"/>
      <c r="M2729"/>
    </row>
    <row r="2730" spans="2:13" ht="15" x14ac:dyDescent="0.25">
      <c r="B2730"/>
      <c r="M2730"/>
    </row>
    <row r="2731" spans="2:13" ht="15" x14ac:dyDescent="0.25">
      <c r="B2731"/>
      <c r="M2731"/>
    </row>
    <row r="2732" spans="2:13" ht="15" x14ac:dyDescent="0.25">
      <c r="B2732"/>
      <c r="M2732"/>
    </row>
    <row r="2733" spans="2:13" ht="15" x14ac:dyDescent="0.25">
      <c r="B2733"/>
      <c r="M2733"/>
    </row>
    <row r="2734" spans="2:13" ht="15" x14ac:dyDescent="0.25">
      <c r="B2734"/>
      <c r="M2734"/>
    </row>
    <row r="2735" spans="2:13" ht="15" x14ac:dyDescent="0.25">
      <c r="B2735"/>
      <c r="M2735"/>
    </row>
    <row r="2736" spans="2:13" ht="15" x14ac:dyDescent="0.25">
      <c r="B2736"/>
      <c r="M2736"/>
    </row>
    <row r="2737" spans="2:13" ht="15" x14ac:dyDescent="0.25">
      <c r="B2737"/>
      <c r="M2737"/>
    </row>
    <row r="2738" spans="2:13" ht="15" x14ac:dyDescent="0.25">
      <c r="B2738"/>
      <c r="M2738"/>
    </row>
    <row r="2739" spans="2:13" ht="15" x14ac:dyDescent="0.25">
      <c r="B2739"/>
      <c r="M2739"/>
    </row>
    <row r="2740" spans="2:13" ht="15" x14ac:dyDescent="0.25">
      <c r="B2740"/>
      <c r="M2740"/>
    </row>
    <row r="2741" spans="2:13" ht="15" x14ac:dyDescent="0.25">
      <c r="B2741"/>
      <c r="M2741"/>
    </row>
    <row r="2742" spans="2:13" ht="15" x14ac:dyDescent="0.25">
      <c r="B2742"/>
      <c r="M2742"/>
    </row>
    <row r="2743" spans="2:13" ht="15" x14ac:dyDescent="0.25">
      <c r="B2743"/>
      <c r="M2743"/>
    </row>
    <row r="2744" spans="2:13" ht="15" x14ac:dyDescent="0.25">
      <c r="B2744"/>
      <c r="M2744"/>
    </row>
    <row r="2745" spans="2:13" ht="15" x14ac:dyDescent="0.25">
      <c r="B2745"/>
      <c r="M2745"/>
    </row>
    <row r="2746" spans="2:13" ht="15" x14ac:dyDescent="0.25">
      <c r="B2746"/>
      <c r="M2746"/>
    </row>
    <row r="2747" spans="2:13" ht="15" x14ac:dyDescent="0.25">
      <c r="B2747"/>
      <c r="M2747"/>
    </row>
    <row r="2748" spans="2:13" ht="15" x14ac:dyDescent="0.25">
      <c r="B2748"/>
      <c r="M2748"/>
    </row>
    <row r="2749" spans="2:13" ht="15" x14ac:dyDescent="0.25">
      <c r="B2749"/>
      <c r="M2749"/>
    </row>
    <row r="2750" spans="2:13" ht="15" x14ac:dyDescent="0.25">
      <c r="B2750"/>
      <c r="M2750"/>
    </row>
    <row r="2751" spans="2:13" ht="15" x14ac:dyDescent="0.25">
      <c r="B2751"/>
      <c r="M2751"/>
    </row>
    <row r="2752" spans="2:13" ht="15" x14ac:dyDescent="0.25">
      <c r="B2752"/>
      <c r="M2752"/>
    </row>
    <row r="2753" spans="2:13" ht="15" x14ac:dyDescent="0.25">
      <c r="B2753"/>
      <c r="M2753"/>
    </row>
    <row r="2754" spans="2:13" ht="15" x14ac:dyDescent="0.25">
      <c r="B2754"/>
      <c r="M2754"/>
    </row>
    <row r="2755" spans="2:13" ht="15" x14ac:dyDescent="0.25">
      <c r="B2755"/>
      <c r="M2755"/>
    </row>
    <row r="2756" spans="2:13" ht="15" x14ac:dyDescent="0.25">
      <c r="B2756"/>
      <c r="M2756"/>
    </row>
    <row r="2757" spans="2:13" ht="15" x14ac:dyDescent="0.25">
      <c r="B2757"/>
      <c r="M2757"/>
    </row>
    <row r="2758" spans="2:13" ht="15" x14ac:dyDescent="0.25">
      <c r="B2758"/>
      <c r="M2758"/>
    </row>
    <row r="2759" spans="2:13" ht="15" x14ac:dyDescent="0.25">
      <c r="B2759"/>
      <c r="M2759"/>
    </row>
    <row r="2760" spans="2:13" ht="15" x14ac:dyDescent="0.25">
      <c r="B2760"/>
      <c r="M2760"/>
    </row>
    <row r="2761" spans="2:13" ht="15" x14ac:dyDescent="0.25">
      <c r="B2761"/>
      <c r="M2761"/>
    </row>
    <row r="2762" spans="2:13" ht="15" x14ac:dyDescent="0.25">
      <c r="B2762"/>
      <c r="M2762"/>
    </row>
    <row r="2763" spans="2:13" ht="15" x14ac:dyDescent="0.25">
      <c r="B2763"/>
      <c r="M2763"/>
    </row>
    <row r="2764" spans="2:13" ht="15" x14ac:dyDescent="0.25">
      <c r="B2764"/>
      <c r="M2764"/>
    </row>
    <row r="2765" spans="2:13" ht="15" x14ac:dyDescent="0.25">
      <c r="B2765"/>
      <c r="M2765"/>
    </row>
    <row r="2766" spans="2:13" ht="15" x14ac:dyDescent="0.25">
      <c r="B2766"/>
      <c r="M2766"/>
    </row>
    <row r="2767" spans="2:13" ht="15" x14ac:dyDescent="0.25">
      <c r="B2767"/>
      <c r="M2767"/>
    </row>
    <row r="2768" spans="2:13" ht="15" x14ac:dyDescent="0.25">
      <c r="B2768"/>
      <c r="M2768"/>
    </row>
    <row r="2769" spans="2:13" ht="15" x14ac:dyDescent="0.25">
      <c r="B2769"/>
      <c r="M2769"/>
    </row>
    <row r="2770" spans="2:13" ht="15" x14ac:dyDescent="0.25">
      <c r="B2770"/>
      <c r="M2770"/>
    </row>
    <row r="2771" spans="2:13" ht="15" x14ac:dyDescent="0.25">
      <c r="B2771"/>
      <c r="M2771"/>
    </row>
    <row r="2772" spans="2:13" ht="15" x14ac:dyDescent="0.25">
      <c r="B2772"/>
      <c r="M2772"/>
    </row>
    <row r="2773" spans="2:13" ht="15" x14ac:dyDescent="0.25">
      <c r="B2773"/>
      <c r="M2773"/>
    </row>
    <row r="2774" spans="2:13" ht="15" x14ac:dyDescent="0.25">
      <c r="B2774"/>
      <c r="M2774"/>
    </row>
    <row r="2775" spans="2:13" ht="15" x14ac:dyDescent="0.25">
      <c r="B2775"/>
      <c r="M2775"/>
    </row>
    <row r="2776" spans="2:13" ht="15" x14ac:dyDescent="0.25">
      <c r="B2776"/>
      <c r="M2776"/>
    </row>
    <row r="2777" spans="2:13" ht="15" x14ac:dyDescent="0.25">
      <c r="B2777"/>
      <c r="M2777"/>
    </row>
    <row r="2778" spans="2:13" ht="15" x14ac:dyDescent="0.25">
      <c r="B2778"/>
      <c r="M2778"/>
    </row>
    <row r="2779" spans="2:13" ht="15" x14ac:dyDescent="0.25">
      <c r="B2779"/>
      <c r="M2779"/>
    </row>
    <row r="2780" spans="2:13" ht="15" x14ac:dyDescent="0.25">
      <c r="B2780"/>
      <c r="M2780"/>
    </row>
    <row r="2781" spans="2:13" ht="15" x14ac:dyDescent="0.25">
      <c r="B2781"/>
      <c r="M2781"/>
    </row>
    <row r="2782" spans="2:13" ht="15" x14ac:dyDescent="0.25">
      <c r="B2782"/>
      <c r="M2782"/>
    </row>
    <row r="2783" spans="2:13" ht="15" x14ac:dyDescent="0.25">
      <c r="B2783"/>
      <c r="M2783"/>
    </row>
    <row r="2784" spans="2:13" ht="15" x14ac:dyDescent="0.25">
      <c r="B2784"/>
      <c r="M2784"/>
    </row>
    <row r="2785" spans="2:13" ht="15" x14ac:dyDescent="0.25">
      <c r="B2785"/>
      <c r="M2785"/>
    </row>
    <row r="2786" spans="2:13" ht="15" x14ac:dyDescent="0.25">
      <c r="B2786"/>
      <c r="M2786"/>
    </row>
    <row r="2787" spans="2:13" ht="15" x14ac:dyDescent="0.25">
      <c r="B2787"/>
      <c r="M2787"/>
    </row>
    <row r="2788" spans="2:13" ht="15" x14ac:dyDescent="0.25">
      <c r="B2788"/>
      <c r="M2788"/>
    </row>
    <row r="2789" spans="2:13" ht="15" x14ac:dyDescent="0.25">
      <c r="B2789"/>
      <c r="M2789"/>
    </row>
    <row r="2790" spans="2:13" ht="15" x14ac:dyDescent="0.25">
      <c r="B2790"/>
      <c r="M2790"/>
    </row>
    <row r="2791" spans="2:13" ht="15" x14ac:dyDescent="0.25">
      <c r="B2791"/>
      <c r="M2791"/>
    </row>
    <row r="2792" spans="2:13" ht="15" x14ac:dyDescent="0.25">
      <c r="B2792"/>
      <c r="M2792"/>
    </row>
    <row r="2793" spans="2:13" ht="15" x14ac:dyDescent="0.25">
      <c r="B2793"/>
      <c r="M2793"/>
    </row>
    <row r="2794" spans="2:13" ht="15" x14ac:dyDescent="0.25">
      <c r="B2794"/>
      <c r="M2794"/>
    </row>
    <row r="2795" spans="2:13" ht="15" x14ac:dyDescent="0.25">
      <c r="B2795"/>
      <c r="M2795"/>
    </row>
    <row r="2796" spans="2:13" ht="15" x14ac:dyDescent="0.25">
      <c r="B2796"/>
      <c r="M2796"/>
    </row>
    <row r="2797" spans="2:13" ht="15" x14ac:dyDescent="0.25">
      <c r="B2797"/>
      <c r="M2797"/>
    </row>
    <row r="2798" spans="2:13" ht="15" x14ac:dyDescent="0.25">
      <c r="B2798"/>
      <c r="M2798"/>
    </row>
    <row r="2799" spans="2:13" ht="15" x14ac:dyDescent="0.25">
      <c r="B2799"/>
      <c r="M2799"/>
    </row>
    <row r="2800" spans="2:13" ht="15" x14ac:dyDescent="0.25">
      <c r="B2800"/>
      <c r="M2800"/>
    </row>
    <row r="2801" spans="2:13" ht="15" x14ac:dyDescent="0.25">
      <c r="B2801"/>
      <c r="M2801"/>
    </row>
    <row r="2802" spans="2:13" ht="15" x14ac:dyDescent="0.25">
      <c r="B2802"/>
      <c r="M2802"/>
    </row>
    <row r="2803" spans="2:13" ht="15" x14ac:dyDescent="0.25">
      <c r="B2803"/>
      <c r="M2803"/>
    </row>
    <row r="2804" spans="2:13" ht="15" x14ac:dyDescent="0.25">
      <c r="B2804"/>
      <c r="M2804"/>
    </row>
    <row r="2805" spans="2:13" ht="15" x14ac:dyDescent="0.25">
      <c r="B2805"/>
      <c r="M2805"/>
    </row>
    <row r="2806" spans="2:13" ht="15" x14ac:dyDescent="0.25">
      <c r="B2806"/>
      <c r="M2806"/>
    </row>
    <row r="2807" spans="2:13" ht="15" x14ac:dyDescent="0.25">
      <c r="B2807"/>
      <c r="M2807"/>
    </row>
    <row r="2808" spans="2:13" ht="15" x14ac:dyDescent="0.25">
      <c r="B2808"/>
      <c r="M2808"/>
    </row>
    <row r="2809" spans="2:13" ht="15" x14ac:dyDescent="0.25">
      <c r="B2809"/>
      <c r="M2809"/>
    </row>
    <row r="2810" spans="2:13" ht="15" x14ac:dyDescent="0.25">
      <c r="B2810"/>
      <c r="M2810"/>
    </row>
    <row r="2811" spans="2:13" ht="15" x14ac:dyDescent="0.25">
      <c r="B2811"/>
      <c r="M2811"/>
    </row>
    <row r="2812" spans="2:13" ht="15" x14ac:dyDescent="0.25">
      <c r="B2812"/>
      <c r="M2812"/>
    </row>
    <row r="2813" spans="2:13" ht="15" x14ac:dyDescent="0.25">
      <c r="B2813"/>
      <c r="M2813"/>
    </row>
    <row r="2814" spans="2:13" ht="15" x14ac:dyDescent="0.25">
      <c r="B2814"/>
      <c r="M2814"/>
    </row>
    <row r="2815" spans="2:13" ht="15" x14ac:dyDescent="0.25">
      <c r="B2815"/>
      <c r="M2815"/>
    </row>
    <row r="2816" spans="2:13" ht="15" x14ac:dyDescent="0.25">
      <c r="B2816"/>
      <c r="M2816"/>
    </row>
    <row r="2817" spans="2:13" ht="15" x14ac:dyDescent="0.25">
      <c r="B2817"/>
      <c r="M2817"/>
    </row>
    <row r="2818" spans="2:13" ht="15" x14ac:dyDescent="0.25">
      <c r="B2818"/>
      <c r="M2818"/>
    </row>
    <row r="2819" spans="2:13" ht="15" x14ac:dyDescent="0.25">
      <c r="B2819"/>
      <c r="M2819"/>
    </row>
    <row r="2820" spans="2:13" ht="15" x14ac:dyDescent="0.25">
      <c r="B2820"/>
      <c r="M2820"/>
    </row>
    <row r="2821" spans="2:13" ht="15" x14ac:dyDescent="0.25">
      <c r="B2821"/>
      <c r="M2821"/>
    </row>
    <row r="2822" spans="2:13" ht="15" x14ac:dyDescent="0.25">
      <c r="B2822"/>
      <c r="M2822"/>
    </row>
    <row r="2823" spans="2:13" ht="15" x14ac:dyDescent="0.25">
      <c r="B2823"/>
      <c r="M2823"/>
    </row>
    <row r="2824" spans="2:13" ht="15" x14ac:dyDescent="0.25">
      <c r="B2824"/>
      <c r="M2824"/>
    </row>
    <row r="2825" spans="2:13" ht="15" x14ac:dyDescent="0.25">
      <c r="B2825"/>
      <c r="M2825"/>
    </row>
    <row r="2826" spans="2:13" ht="15" x14ac:dyDescent="0.25">
      <c r="B2826"/>
      <c r="M2826"/>
    </row>
    <row r="2827" spans="2:13" ht="15" x14ac:dyDescent="0.25">
      <c r="B2827"/>
      <c r="M2827"/>
    </row>
    <row r="2828" spans="2:13" ht="15" x14ac:dyDescent="0.25">
      <c r="B2828"/>
      <c r="M2828"/>
    </row>
    <row r="2829" spans="2:13" ht="15" x14ac:dyDescent="0.25">
      <c r="B2829"/>
      <c r="M2829"/>
    </row>
    <row r="2830" spans="2:13" ht="15" x14ac:dyDescent="0.25">
      <c r="B2830"/>
      <c r="M2830"/>
    </row>
    <row r="2831" spans="2:13" ht="15" x14ac:dyDescent="0.25">
      <c r="B2831"/>
      <c r="M2831"/>
    </row>
    <row r="2832" spans="2:13" ht="15" x14ac:dyDescent="0.25">
      <c r="B2832"/>
      <c r="M2832"/>
    </row>
    <row r="2833" spans="2:13" ht="15" x14ac:dyDescent="0.25">
      <c r="B2833"/>
      <c r="M2833"/>
    </row>
    <row r="2834" spans="2:13" ht="15" x14ac:dyDescent="0.25">
      <c r="B2834"/>
      <c r="M2834"/>
    </row>
    <row r="2835" spans="2:13" ht="15" x14ac:dyDescent="0.25">
      <c r="B2835"/>
      <c r="M2835"/>
    </row>
    <row r="2836" spans="2:13" ht="15" x14ac:dyDescent="0.25">
      <c r="B2836"/>
      <c r="M2836"/>
    </row>
    <row r="2837" spans="2:13" ht="15" x14ac:dyDescent="0.25">
      <c r="B2837"/>
      <c r="M2837"/>
    </row>
    <row r="2838" spans="2:13" ht="15" x14ac:dyDescent="0.25">
      <c r="B2838"/>
      <c r="M2838"/>
    </row>
    <row r="2839" spans="2:13" ht="15" x14ac:dyDescent="0.25">
      <c r="B2839"/>
      <c r="M2839"/>
    </row>
    <row r="2840" spans="2:13" ht="15" x14ac:dyDescent="0.25">
      <c r="B2840"/>
      <c r="M2840"/>
    </row>
    <row r="2841" spans="2:13" ht="15" x14ac:dyDescent="0.25">
      <c r="B2841"/>
      <c r="M2841"/>
    </row>
    <row r="2842" spans="2:13" ht="15" x14ac:dyDescent="0.25">
      <c r="B2842"/>
      <c r="M2842"/>
    </row>
    <row r="2843" spans="2:13" ht="15" x14ac:dyDescent="0.25">
      <c r="B2843"/>
      <c r="M2843"/>
    </row>
    <row r="2844" spans="2:13" ht="15" x14ac:dyDescent="0.25">
      <c r="B2844"/>
      <c r="M2844"/>
    </row>
    <row r="2845" spans="2:13" ht="15" x14ac:dyDescent="0.25">
      <c r="B2845"/>
      <c r="M2845"/>
    </row>
    <row r="2846" spans="2:13" ht="15" x14ac:dyDescent="0.25">
      <c r="B2846"/>
      <c r="M2846"/>
    </row>
    <row r="2847" spans="2:13" ht="15" x14ac:dyDescent="0.25">
      <c r="B2847"/>
      <c r="M2847"/>
    </row>
    <row r="2848" spans="2:13" ht="15" x14ac:dyDescent="0.25">
      <c r="B2848"/>
      <c r="M2848"/>
    </row>
    <row r="2849" spans="2:13" ht="15" x14ac:dyDescent="0.25">
      <c r="B2849"/>
      <c r="M2849"/>
    </row>
    <row r="2850" spans="2:13" ht="15" x14ac:dyDescent="0.25">
      <c r="B2850"/>
      <c r="M2850"/>
    </row>
    <row r="2851" spans="2:13" ht="15" x14ac:dyDescent="0.25">
      <c r="B2851"/>
      <c r="M2851"/>
    </row>
    <row r="2852" spans="2:13" ht="15" x14ac:dyDescent="0.25">
      <c r="B2852"/>
      <c r="M2852"/>
    </row>
    <row r="2853" spans="2:13" ht="15" x14ac:dyDescent="0.25">
      <c r="B2853"/>
      <c r="M2853"/>
    </row>
    <row r="2854" spans="2:13" ht="15" x14ac:dyDescent="0.25">
      <c r="B2854"/>
      <c r="M2854"/>
    </row>
    <row r="2855" spans="2:13" ht="15" x14ac:dyDescent="0.25">
      <c r="B2855"/>
      <c r="M2855"/>
    </row>
    <row r="2856" spans="2:13" ht="15" x14ac:dyDescent="0.25">
      <c r="B2856"/>
      <c r="M2856"/>
    </row>
    <row r="2857" spans="2:13" ht="15" x14ac:dyDescent="0.25">
      <c r="B2857"/>
      <c r="M2857"/>
    </row>
    <row r="2858" spans="2:13" ht="15" x14ac:dyDescent="0.25">
      <c r="B2858"/>
      <c r="M2858"/>
    </row>
    <row r="2859" spans="2:13" ht="15" x14ac:dyDescent="0.25">
      <c r="B2859"/>
      <c r="M2859"/>
    </row>
    <row r="2860" spans="2:13" ht="15" x14ac:dyDescent="0.25">
      <c r="B2860"/>
      <c r="M2860"/>
    </row>
    <row r="2861" spans="2:13" ht="15" x14ac:dyDescent="0.25">
      <c r="B2861"/>
      <c r="M2861"/>
    </row>
    <row r="2862" spans="2:13" ht="15" x14ac:dyDescent="0.25">
      <c r="B2862"/>
      <c r="M2862"/>
    </row>
    <row r="2863" spans="2:13" ht="15" x14ac:dyDescent="0.25">
      <c r="B2863"/>
      <c r="M2863"/>
    </row>
    <row r="2864" spans="2:13" ht="15" x14ac:dyDescent="0.25">
      <c r="B2864"/>
      <c r="M2864"/>
    </row>
    <row r="2865" spans="2:13" ht="15" x14ac:dyDescent="0.25">
      <c r="B2865"/>
      <c r="M2865"/>
    </row>
    <row r="2866" spans="2:13" ht="15" x14ac:dyDescent="0.25">
      <c r="B2866"/>
      <c r="M2866"/>
    </row>
    <row r="2867" spans="2:13" ht="15" x14ac:dyDescent="0.25">
      <c r="B2867"/>
      <c r="M2867"/>
    </row>
    <row r="2868" spans="2:13" ht="15" x14ac:dyDescent="0.25">
      <c r="B2868"/>
      <c r="M2868"/>
    </row>
    <row r="2869" spans="2:13" ht="15" x14ac:dyDescent="0.25">
      <c r="B2869"/>
      <c r="M2869"/>
    </row>
    <row r="2870" spans="2:13" ht="15" x14ac:dyDescent="0.25">
      <c r="B2870"/>
      <c r="M2870"/>
    </row>
    <row r="2871" spans="2:13" ht="15" x14ac:dyDescent="0.25">
      <c r="B2871"/>
      <c r="M2871"/>
    </row>
    <row r="2872" spans="2:13" ht="15" x14ac:dyDescent="0.25">
      <c r="B2872"/>
      <c r="M2872"/>
    </row>
    <row r="2873" spans="2:13" ht="15" x14ac:dyDescent="0.25">
      <c r="B2873"/>
      <c r="M2873"/>
    </row>
    <row r="2874" spans="2:13" ht="15" x14ac:dyDescent="0.25">
      <c r="B2874"/>
      <c r="M2874"/>
    </row>
    <row r="2875" spans="2:13" ht="15" x14ac:dyDescent="0.25">
      <c r="B2875"/>
      <c r="M2875"/>
    </row>
    <row r="2876" spans="2:13" ht="15" x14ac:dyDescent="0.25">
      <c r="B2876"/>
      <c r="M2876"/>
    </row>
    <row r="2877" spans="2:13" ht="15" x14ac:dyDescent="0.25">
      <c r="B2877"/>
      <c r="M2877"/>
    </row>
    <row r="2878" spans="2:13" ht="15" x14ac:dyDescent="0.25">
      <c r="B2878"/>
      <c r="M2878"/>
    </row>
    <row r="2879" spans="2:13" ht="15" x14ac:dyDescent="0.25">
      <c r="B2879"/>
      <c r="M2879"/>
    </row>
    <row r="2880" spans="2:13" ht="15" x14ac:dyDescent="0.25">
      <c r="B2880"/>
      <c r="M2880"/>
    </row>
    <row r="2881" spans="2:13" ht="15" x14ac:dyDescent="0.25">
      <c r="B2881"/>
      <c r="M2881"/>
    </row>
    <row r="2882" spans="2:13" ht="15" x14ac:dyDescent="0.25">
      <c r="B2882"/>
      <c r="M2882"/>
    </row>
    <row r="2883" spans="2:13" ht="15" x14ac:dyDescent="0.25">
      <c r="B2883"/>
      <c r="M2883"/>
    </row>
    <row r="2884" spans="2:13" ht="15" x14ac:dyDescent="0.25">
      <c r="B2884"/>
      <c r="M2884"/>
    </row>
    <row r="2885" spans="2:13" ht="15" x14ac:dyDescent="0.25">
      <c r="B2885"/>
      <c r="M2885"/>
    </row>
    <row r="2886" spans="2:13" ht="15" x14ac:dyDescent="0.25">
      <c r="B2886"/>
      <c r="M2886"/>
    </row>
    <row r="2887" spans="2:13" ht="15" x14ac:dyDescent="0.25">
      <c r="B2887"/>
      <c r="M2887"/>
    </row>
    <row r="2888" spans="2:13" ht="15" x14ac:dyDescent="0.25">
      <c r="B2888"/>
      <c r="M2888"/>
    </row>
    <row r="2889" spans="2:13" ht="15" x14ac:dyDescent="0.25">
      <c r="B2889"/>
      <c r="M2889"/>
    </row>
    <row r="2890" spans="2:13" ht="15" x14ac:dyDescent="0.25">
      <c r="B2890"/>
      <c r="M2890"/>
    </row>
    <row r="2891" spans="2:13" ht="15" x14ac:dyDescent="0.25">
      <c r="B2891"/>
      <c r="M2891"/>
    </row>
    <row r="2892" spans="2:13" ht="15" x14ac:dyDescent="0.25">
      <c r="B2892"/>
      <c r="M2892"/>
    </row>
    <row r="2893" spans="2:13" ht="15" x14ac:dyDescent="0.25">
      <c r="B2893"/>
      <c r="M2893"/>
    </row>
    <row r="2894" spans="2:13" ht="15" x14ac:dyDescent="0.25">
      <c r="B2894"/>
      <c r="M2894"/>
    </row>
    <row r="2895" spans="2:13" ht="15" x14ac:dyDescent="0.25">
      <c r="B2895"/>
      <c r="M2895"/>
    </row>
    <row r="2896" spans="2:13" ht="15" x14ac:dyDescent="0.25">
      <c r="B2896"/>
      <c r="M2896"/>
    </row>
    <row r="2897" spans="2:13" ht="15" x14ac:dyDescent="0.25">
      <c r="B2897"/>
      <c r="M2897"/>
    </row>
    <row r="2898" spans="2:13" ht="15" x14ac:dyDescent="0.25">
      <c r="B2898"/>
      <c r="M2898"/>
    </row>
    <row r="2899" spans="2:13" ht="15" x14ac:dyDescent="0.25">
      <c r="B2899"/>
      <c r="M2899"/>
    </row>
    <row r="2900" spans="2:13" ht="15" x14ac:dyDescent="0.25">
      <c r="B2900"/>
      <c r="M2900"/>
    </row>
    <row r="2901" spans="2:13" ht="15" x14ac:dyDescent="0.25">
      <c r="B2901"/>
      <c r="M2901"/>
    </row>
    <row r="2902" spans="2:13" ht="15" x14ac:dyDescent="0.25">
      <c r="B2902"/>
      <c r="M2902"/>
    </row>
    <row r="2903" spans="2:13" ht="15" x14ac:dyDescent="0.25">
      <c r="B2903"/>
      <c r="M2903"/>
    </row>
    <row r="2904" spans="2:13" ht="15" x14ac:dyDescent="0.25">
      <c r="B2904"/>
      <c r="M2904"/>
    </row>
    <row r="2905" spans="2:13" ht="15" x14ac:dyDescent="0.25">
      <c r="B2905"/>
      <c r="M2905"/>
    </row>
    <row r="2906" spans="2:13" ht="15" x14ac:dyDescent="0.25">
      <c r="B2906"/>
      <c r="M2906"/>
    </row>
    <row r="2907" spans="2:13" ht="15" x14ac:dyDescent="0.25">
      <c r="B2907"/>
      <c r="M2907"/>
    </row>
    <row r="2908" spans="2:13" ht="15" x14ac:dyDescent="0.25">
      <c r="B2908"/>
      <c r="M2908"/>
    </row>
    <row r="2909" spans="2:13" ht="15" x14ac:dyDescent="0.25">
      <c r="B2909"/>
      <c r="M2909"/>
    </row>
    <row r="2910" spans="2:13" ht="15" x14ac:dyDescent="0.25">
      <c r="B2910"/>
      <c r="M2910"/>
    </row>
    <row r="2911" spans="2:13" ht="15" x14ac:dyDescent="0.25">
      <c r="B2911"/>
      <c r="M2911"/>
    </row>
    <row r="2912" spans="2:13" ht="15" x14ac:dyDescent="0.25">
      <c r="B2912"/>
      <c r="M2912"/>
    </row>
    <row r="2913" spans="2:13" ht="15" x14ac:dyDescent="0.25">
      <c r="B2913"/>
      <c r="M2913"/>
    </row>
    <row r="2914" spans="2:13" ht="15" x14ac:dyDescent="0.25">
      <c r="B2914"/>
      <c r="M2914"/>
    </row>
    <row r="2915" spans="2:13" ht="15" x14ac:dyDescent="0.25">
      <c r="B2915"/>
      <c r="M2915"/>
    </row>
    <row r="2916" spans="2:13" ht="15" x14ac:dyDescent="0.25">
      <c r="B2916"/>
      <c r="M2916"/>
    </row>
    <row r="2917" spans="2:13" ht="15" x14ac:dyDescent="0.25">
      <c r="B2917"/>
      <c r="M2917"/>
    </row>
    <row r="2918" spans="2:13" ht="15" x14ac:dyDescent="0.25">
      <c r="B2918"/>
      <c r="M2918"/>
    </row>
    <row r="2919" spans="2:13" ht="15" x14ac:dyDescent="0.25">
      <c r="B2919"/>
      <c r="M2919"/>
    </row>
    <row r="2920" spans="2:13" ht="15" x14ac:dyDescent="0.25">
      <c r="B2920"/>
      <c r="M2920"/>
    </row>
    <row r="2921" spans="2:13" ht="15" x14ac:dyDescent="0.25">
      <c r="B2921"/>
      <c r="M2921"/>
    </row>
    <row r="2922" spans="2:13" ht="15" x14ac:dyDescent="0.25">
      <c r="B2922"/>
      <c r="M2922"/>
    </row>
    <row r="2923" spans="2:13" ht="15" x14ac:dyDescent="0.25">
      <c r="B2923"/>
      <c r="M2923"/>
    </row>
    <row r="2924" spans="2:13" ht="15" x14ac:dyDescent="0.25">
      <c r="B2924"/>
      <c r="M2924"/>
    </row>
    <row r="2925" spans="2:13" ht="15" x14ac:dyDescent="0.25">
      <c r="B2925"/>
      <c r="M2925"/>
    </row>
    <row r="2926" spans="2:13" ht="15" x14ac:dyDescent="0.25">
      <c r="B2926"/>
      <c r="M2926"/>
    </row>
    <row r="2927" spans="2:13" ht="15" x14ac:dyDescent="0.25">
      <c r="B2927"/>
      <c r="M2927"/>
    </row>
    <row r="2928" spans="2:13" ht="15" x14ac:dyDescent="0.25">
      <c r="B2928"/>
      <c r="M2928"/>
    </row>
    <row r="2929" spans="2:13" ht="15" x14ac:dyDescent="0.25">
      <c r="B2929"/>
      <c r="M2929"/>
    </row>
    <row r="2930" spans="2:13" ht="15" x14ac:dyDescent="0.25">
      <c r="B2930"/>
      <c r="M2930"/>
    </row>
    <row r="2931" spans="2:13" ht="15" x14ac:dyDescent="0.25">
      <c r="B2931"/>
      <c r="M2931"/>
    </row>
    <row r="2932" spans="2:13" ht="15" x14ac:dyDescent="0.25">
      <c r="B2932"/>
      <c r="M2932"/>
    </row>
    <row r="2933" spans="2:13" ht="15" x14ac:dyDescent="0.25">
      <c r="B2933"/>
      <c r="M2933"/>
    </row>
    <row r="2934" spans="2:13" ht="15" x14ac:dyDescent="0.25">
      <c r="B2934"/>
      <c r="M2934"/>
    </row>
    <row r="2935" spans="2:13" ht="15" x14ac:dyDescent="0.25">
      <c r="B2935"/>
      <c r="M2935"/>
    </row>
    <row r="2936" spans="2:13" ht="15" x14ac:dyDescent="0.25">
      <c r="B2936"/>
      <c r="M2936"/>
    </row>
    <row r="2937" spans="2:13" ht="15" x14ac:dyDescent="0.25">
      <c r="B2937"/>
      <c r="M2937"/>
    </row>
    <row r="2938" spans="2:13" ht="15" x14ac:dyDescent="0.25">
      <c r="B2938"/>
      <c r="M2938"/>
    </row>
    <row r="2939" spans="2:13" ht="15" x14ac:dyDescent="0.25">
      <c r="B2939"/>
      <c r="M2939"/>
    </row>
    <row r="2940" spans="2:13" ht="15" x14ac:dyDescent="0.25">
      <c r="B2940"/>
      <c r="M2940"/>
    </row>
    <row r="2941" spans="2:13" ht="15" x14ac:dyDescent="0.25">
      <c r="B2941"/>
      <c r="M2941"/>
    </row>
    <row r="2942" spans="2:13" ht="15" x14ac:dyDescent="0.25">
      <c r="B2942"/>
      <c r="M2942"/>
    </row>
    <row r="2943" spans="2:13" ht="15" x14ac:dyDescent="0.25">
      <c r="B2943"/>
      <c r="M2943"/>
    </row>
    <row r="2944" spans="2:13" ht="15" x14ac:dyDescent="0.25">
      <c r="B2944"/>
      <c r="M2944"/>
    </row>
    <row r="2945" spans="2:13" ht="15" x14ac:dyDescent="0.25">
      <c r="B2945"/>
      <c r="M2945"/>
    </row>
    <row r="2946" spans="2:13" ht="15" x14ac:dyDescent="0.25">
      <c r="B2946"/>
      <c r="M2946"/>
    </row>
    <row r="2947" spans="2:13" ht="15" x14ac:dyDescent="0.25">
      <c r="B2947"/>
      <c r="M2947"/>
    </row>
    <row r="2948" spans="2:13" ht="15" x14ac:dyDescent="0.25">
      <c r="B2948"/>
      <c r="M2948"/>
    </row>
    <row r="2949" spans="2:13" ht="15" x14ac:dyDescent="0.25">
      <c r="B2949"/>
      <c r="M2949"/>
    </row>
    <row r="2950" spans="2:13" ht="15" x14ac:dyDescent="0.25">
      <c r="B2950"/>
      <c r="M2950"/>
    </row>
    <row r="2951" spans="2:13" ht="15" x14ac:dyDescent="0.25">
      <c r="B2951"/>
      <c r="M2951"/>
    </row>
    <row r="2952" spans="2:13" ht="15" x14ac:dyDescent="0.25">
      <c r="B2952"/>
      <c r="M2952"/>
    </row>
    <row r="2953" spans="2:13" ht="15" x14ac:dyDescent="0.25">
      <c r="B2953"/>
      <c r="M2953"/>
    </row>
    <row r="2954" spans="2:13" ht="15" x14ac:dyDescent="0.25">
      <c r="B2954"/>
      <c r="M2954"/>
    </row>
    <row r="2955" spans="2:13" ht="15" x14ac:dyDescent="0.25">
      <c r="B2955"/>
      <c r="M2955"/>
    </row>
    <row r="2956" spans="2:13" ht="15" x14ac:dyDescent="0.25">
      <c r="B2956"/>
      <c r="M2956"/>
    </row>
    <row r="2957" spans="2:13" ht="15" x14ac:dyDescent="0.25">
      <c r="B2957"/>
      <c r="M2957"/>
    </row>
    <row r="2958" spans="2:13" ht="15" x14ac:dyDescent="0.25">
      <c r="B2958"/>
      <c r="M2958"/>
    </row>
    <row r="2959" spans="2:13" ht="15" x14ac:dyDescent="0.25">
      <c r="B2959"/>
      <c r="M2959"/>
    </row>
    <row r="2960" spans="2:13" ht="15" x14ac:dyDescent="0.25">
      <c r="B2960"/>
      <c r="M2960"/>
    </row>
    <row r="2961" spans="2:13" ht="15" x14ac:dyDescent="0.25">
      <c r="B2961"/>
      <c r="M2961"/>
    </row>
    <row r="2962" spans="2:13" ht="15" x14ac:dyDescent="0.25">
      <c r="B2962"/>
      <c r="M2962"/>
    </row>
    <row r="2963" spans="2:13" ht="15" x14ac:dyDescent="0.25">
      <c r="B2963"/>
      <c r="M2963"/>
    </row>
    <row r="2964" spans="2:13" ht="15" x14ac:dyDescent="0.25">
      <c r="B2964"/>
      <c r="M2964"/>
    </row>
    <row r="2965" spans="2:13" ht="15" x14ac:dyDescent="0.25">
      <c r="B2965"/>
      <c r="M2965"/>
    </row>
    <row r="2966" spans="2:13" ht="15" x14ac:dyDescent="0.25">
      <c r="B2966"/>
      <c r="M2966"/>
    </row>
    <row r="2967" spans="2:13" ht="15" x14ac:dyDescent="0.25">
      <c r="B2967"/>
      <c r="M2967"/>
    </row>
    <row r="2968" spans="2:13" ht="15" x14ac:dyDescent="0.25">
      <c r="B2968"/>
      <c r="M2968"/>
    </row>
    <row r="2969" spans="2:13" ht="15" x14ac:dyDescent="0.25">
      <c r="B2969"/>
      <c r="M2969"/>
    </row>
    <row r="2970" spans="2:13" ht="15" x14ac:dyDescent="0.25">
      <c r="B2970"/>
      <c r="M2970"/>
    </row>
    <row r="2971" spans="2:13" ht="15" x14ac:dyDescent="0.25">
      <c r="B2971"/>
      <c r="M2971"/>
    </row>
    <row r="2972" spans="2:13" ht="15" x14ac:dyDescent="0.25">
      <c r="B2972"/>
      <c r="M2972"/>
    </row>
    <row r="2973" spans="2:13" ht="15" x14ac:dyDescent="0.25">
      <c r="B2973"/>
      <c r="M2973"/>
    </row>
    <row r="2974" spans="2:13" ht="15" x14ac:dyDescent="0.25">
      <c r="B2974"/>
      <c r="M2974"/>
    </row>
    <row r="2975" spans="2:13" ht="15" x14ac:dyDescent="0.25">
      <c r="B2975"/>
      <c r="M2975"/>
    </row>
    <row r="2976" spans="2:13" ht="15" x14ac:dyDescent="0.25">
      <c r="B2976"/>
      <c r="M2976"/>
    </row>
    <row r="2977" spans="2:13" ht="15" x14ac:dyDescent="0.25">
      <c r="B2977"/>
      <c r="M2977"/>
    </row>
    <row r="2978" spans="2:13" ht="15" x14ac:dyDescent="0.25">
      <c r="B2978"/>
      <c r="M2978"/>
    </row>
    <row r="2979" spans="2:13" ht="15" x14ac:dyDescent="0.25">
      <c r="B2979"/>
      <c r="M2979"/>
    </row>
    <row r="2980" spans="2:13" ht="15" x14ac:dyDescent="0.25">
      <c r="B2980"/>
      <c r="M2980"/>
    </row>
    <row r="2981" spans="2:13" ht="15" x14ac:dyDescent="0.25">
      <c r="B2981"/>
      <c r="M2981"/>
    </row>
    <row r="2982" spans="2:13" ht="15" x14ac:dyDescent="0.25">
      <c r="B2982"/>
      <c r="M2982"/>
    </row>
    <row r="2983" spans="2:13" ht="15" x14ac:dyDescent="0.25">
      <c r="B2983"/>
      <c r="M2983"/>
    </row>
    <row r="2984" spans="2:13" ht="15" x14ac:dyDescent="0.25">
      <c r="B2984"/>
      <c r="M2984"/>
    </row>
    <row r="2985" spans="2:13" ht="15" x14ac:dyDescent="0.25">
      <c r="B2985"/>
      <c r="M2985"/>
    </row>
    <row r="2986" spans="2:13" ht="15" x14ac:dyDescent="0.25">
      <c r="B2986"/>
      <c r="M2986"/>
    </row>
    <row r="2987" spans="2:13" ht="15" x14ac:dyDescent="0.25">
      <c r="B2987"/>
      <c r="M2987"/>
    </row>
    <row r="2988" spans="2:13" ht="15" x14ac:dyDescent="0.25">
      <c r="B2988"/>
      <c r="M2988"/>
    </row>
    <row r="2989" spans="2:13" ht="15" x14ac:dyDescent="0.25">
      <c r="B2989"/>
      <c r="M2989"/>
    </row>
    <row r="2990" spans="2:13" ht="15" x14ac:dyDescent="0.25">
      <c r="B2990"/>
      <c r="M2990"/>
    </row>
    <row r="2991" spans="2:13" ht="15" x14ac:dyDescent="0.25">
      <c r="B2991"/>
      <c r="M2991"/>
    </row>
    <row r="2992" spans="2:13" ht="15" x14ac:dyDescent="0.25">
      <c r="B2992"/>
      <c r="M2992"/>
    </row>
    <row r="2993" spans="2:13" ht="15" x14ac:dyDescent="0.25">
      <c r="B2993"/>
      <c r="M2993"/>
    </row>
    <row r="2994" spans="2:13" ht="15" x14ac:dyDescent="0.25">
      <c r="B2994"/>
      <c r="M2994"/>
    </row>
    <row r="2995" spans="2:13" ht="15" x14ac:dyDescent="0.25">
      <c r="B2995"/>
      <c r="M2995"/>
    </row>
    <row r="2996" spans="2:13" ht="15" x14ac:dyDescent="0.25">
      <c r="B2996"/>
      <c r="M2996"/>
    </row>
    <row r="2997" spans="2:13" ht="15" x14ac:dyDescent="0.25">
      <c r="B2997"/>
      <c r="M2997"/>
    </row>
    <row r="2998" spans="2:13" ht="15" x14ac:dyDescent="0.25">
      <c r="B2998"/>
      <c r="M2998"/>
    </row>
    <row r="2999" spans="2:13" ht="15" x14ac:dyDescent="0.25">
      <c r="B2999"/>
      <c r="M2999"/>
    </row>
    <row r="3000" spans="2:13" ht="15" x14ac:dyDescent="0.25">
      <c r="B3000"/>
      <c r="M3000"/>
    </row>
    <row r="3001" spans="2:13" ht="15" x14ac:dyDescent="0.25">
      <c r="B3001"/>
      <c r="M3001"/>
    </row>
    <row r="3002" spans="2:13" ht="15" x14ac:dyDescent="0.25">
      <c r="B3002"/>
      <c r="M3002"/>
    </row>
    <row r="3003" spans="2:13" ht="15" x14ac:dyDescent="0.25">
      <c r="B3003"/>
      <c r="M3003"/>
    </row>
    <row r="3004" spans="2:13" ht="15" x14ac:dyDescent="0.25">
      <c r="B3004"/>
      <c r="M3004"/>
    </row>
    <row r="3005" spans="2:13" ht="15" x14ac:dyDescent="0.25">
      <c r="B3005"/>
      <c r="M3005"/>
    </row>
    <row r="3006" spans="2:13" ht="15" x14ac:dyDescent="0.25">
      <c r="B3006"/>
      <c r="M3006"/>
    </row>
    <row r="3007" spans="2:13" ht="15" x14ac:dyDescent="0.25">
      <c r="B3007"/>
      <c r="M3007"/>
    </row>
    <row r="3008" spans="2:13" ht="15" x14ac:dyDescent="0.25">
      <c r="B3008"/>
      <c r="M3008"/>
    </row>
    <row r="3009" spans="2:13" ht="15" x14ac:dyDescent="0.25">
      <c r="B3009"/>
      <c r="M3009"/>
    </row>
    <row r="3010" spans="2:13" ht="15" x14ac:dyDescent="0.25">
      <c r="B3010"/>
      <c r="M3010"/>
    </row>
    <row r="3011" spans="2:13" ht="15" x14ac:dyDescent="0.25">
      <c r="B3011"/>
      <c r="M3011"/>
    </row>
    <row r="3012" spans="2:13" ht="15" x14ac:dyDescent="0.25">
      <c r="B3012"/>
      <c r="M3012"/>
    </row>
    <row r="3013" spans="2:13" ht="15" x14ac:dyDescent="0.25">
      <c r="B3013"/>
      <c r="M3013"/>
    </row>
    <row r="3014" spans="2:13" ht="15" x14ac:dyDescent="0.25">
      <c r="B3014"/>
      <c r="M3014"/>
    </row>
    <row r="3015" spans="2:13" ht="15" x14ac:dyDescent="0.25">
      <c r="B3015"/>
      <c r="M3015"/>
    </row>
    <row r="3016" spans="2:13" ht="15" x14ac:dyDescent="0.25">
      <c r="B3016"/>
      <c r="M3016"/>
    </row>
    <row r="3017" spans="2:13" ht="15" x14ac:dyDescent="0.25">
      <c r="B3017"/>
      <c r="M3017"/>
    </row>
    <row r="3018" spans="2:13" ht="15" x14ac:dyDescent="0.25">
      <c r="B3018"/>
      <c r="M3018"/>
    </row>
    <row r="3019" spans="2:13" ht="15" x14ac:dyDescent="0.25">
      <c r="B3019"/>
      <c r="M3019"/>
    </row>
    <row r="3020" spans="2:13" ht="15" x14ac:dyDescent="0.25">
      <c r="B3020"/>
      <c r="M3020"/>
    </row>
    <row r="3021" spans="2:13" ht="15" x14ac:dyDescent="0.25">
      <c r="B3021"/>
      <c r="M3021"/>
    </row>
    <row r="3022" spans="2:13" ht="15" x14ac:dyDescent="0.25">
      <c r="B3022"/>
      <c r="M3022"/>
    </row>
    <row r="3023" spans="2:13" ht="15" x14ac:dyDescent="0.25">
      <c r="B3023"/>
      <c r="M3023"/>
    </row>
    <row r="3024" spans="2:13" ht="15" x14ac:dyDescent="0.25">
      <c r="B3024"/>
      <c r="M3024"/>
    </row>
    <row r="3025" spans="2:13" ht="15" x14ac:dyDescent="0.25">
      <c r="B3025"/>
      <c r="M3025"/>
    </row>
    <row r="3026" spans="2:13" ht="15" x14ac:dyDescent="0.25">
      <c r="B3026"/>
      <c r="M3026"/>
    </row>
    <row r="3027" spans="2:13" ht="15" x14ac:dyDescent="0.25">
      <c r="B3027"/>
      <c r="M3027"/>
    </row>
    <row r="3028" spans="2:13" ht="15" x14ac:dyDescent="0.25">
      <c r="B3028"/>
      <c r="M3028"/>
    </row>
    <row r="3029" spans="2:13" ht="15" x14ac:dyDescent="0.25">
      <c r="B3029"/>
      <c r="M3029"/>
    </row>
    <row r="3030" spans="2:13" ht="15" x14ac:dyDescent="0.25">
      <c r="B3030"/>
      <c r="M3030"/>
    </row>
    <row r="3031" spans="2:13" ht="15" x14ac:dyDescent="0.25">
      <c r="B3031"/>
      <c r="M3031"/>
    </row>
    <row r="3032" spans="2:13" ht="15" x14ac:dyDescent="0.25">
      <c r="B3032"/>
      <c r="M3032"/>
    </row>
    <row r="3033" spans="2:13" ht="15" x14ac:dyDescent="0.25">
      <c r="B3033"/>
      <c r="M3033"/>
    </row>
    <row r="3034" spans="2:13" ht="15" x14ac:dyDescent="0.25">
      <c r="B3034"/>
      <c r="M3034"/>
    </row>
    <row r="3035" spans="2:13" ht="15" x14ac:dyDescent="0.25">
      <c r="B3035"/>
      <c r="M3035"/>
    </row>
    <row r="3036" spans="2:13" ht="15" x14ac:dyDescent="0.25">
      <c r="B3036"/>
      <c r="M3036"/>
    </row>
    <row r="3037" spans="2:13" ht="15" x14ac:dyDescent="0.25">
      <c r="B3037"/>
      <c r="M3037"/>
    </row>
    <row r="3038" spans="2:13" ht="15" x14ac:dyDescent="0.25">
      <c r="B3038"/>
      <c r="M3038"/>
    </row>
    <row r="3039" spans="2:13" ht="15" x14ac:dyDescent="0.25">
      <c r="B3039"/>
      <c r="M3039"/>
    </row>
    <row r="3040" spans="2:13" ht="15" x14ac:dyDescent="0.25">
      <c r="B3040"/>
      <c r="M3040"/>
    </row>
    <row r="3041" spans="2:13" ht="15" x14ac:dyDescent="0.25">
      <c r="B3041"/>
      <c r="M3041"/>
    </row>
    <row r="3042" spans="2:13" ht="15" x14ac:dyDescent="0.25">
      <c r="B3042"/>
      <c r="M3042"/>
    </row>
    <row r="3043" spans="2:13" ht="15" x14ac:dyDescent="0.25">
      <c r="B3043"/>
      <c r="M3043"/>
    </row>
    <row r="3044" spans="2:13" ht="15" x14ac:dyDescent="0.25">
      <c r="B3044"/>
      <c r="M3044"/>
    </row>
    <row r="3045" spans="2:13" ht="15" x14ac:dyDescent="0.25">
      <c r="B3045"/>
      <c r="M3045"/>
    </row>
    <row r="3046" spans="2:13" ht="15" x14ac:dyDescent="0.25">
      <c r="B3046"/>
      <c r="M3046"/>
    </row>
    <row r="3047" spans="2:13" ht="15" x14ac:dyDescent="0.25">
      <c r="B3047"/>
      <c r="M3047"/>
    </row>
    <row r="3048" spans="2:13" ht="15" x14ac:dyDescent="0.25">
      <c r="B3048"/>
      <c r="M3048"/>
    </row>
    <row r="3049" spans="2:13" ht="15" x14ac:dyDescent="0.25">
      <c r="B3049"/>
      <c r="M3049"/>
    </row>
    <row r="3050" spans="2:13" ht="15" x14ac:dyDescent="0.25">
      <c r="B3050"/>
      <c r="M3050"/>
    </row>
    <row r="3051" spans="2:13" ht="15" x14ac:dyDescent="0.25">
      <c r="B3051"/>
      <c r="M3051"/>
    </row>
    <row r="3052" spans="2:13" ht="15" x14ac:dyDescent="0.25">
      <c r="B3052"/>
      <c r="M3052"/>
    </row>
    <row r="3053" spans="2:13" ht="15" x14ac:dyDescent="0.25">
      <c r="B3053"/>
      <c r="M3053"/>
    </row>
    <row r="3054" spans="2:13" ht="15" x14ac:dyDescent="0.25">
      <c r="B3054"/>
      <c r="M3054"/>
    </row>
    <row r="3055" spans="2:13" ht="15" x14ac:dyDescent="0.25">
      <c r="B3055"/>
      <c r="M3055"/>
    </row>
    <row r="3056" spans="2:13" ht="15" x14ac:dyDescent="0.25">
      <c r="B3056"/>
      <c r="M3056"/>
    </row>
    <row r="3057" spans="2:13" ht="15" x14ac:dyDescent="0.25">
      <c r="B3057"/>
      <c r="M3057"/>
    </row>
    <row r="3058" spans="2:13" ht="15" x14ac:dyDescent="0.25">
      <c r="B3058"/>
      <c r="M3058"/>
    </row>
    <row r="3059" spans="2:13" ht="15" x14ac:dyDescent="0.25">
      <c r="B3059"/>
      <c r="M3059"/>
    </row>
    <row r="3060" spans="2:13" ht="15" x14ac:dyDescent="0.25">
      <c r="B3060"/>
      <c r="M3060"/>
    </row>
    <row r="3061" spans="2:13" ht="15" x14ac:dyDescent="0.25">
      <c r="B3061"/>
      <c r="M3061"/>
    </row>
    <row r="3062" spans="2:13" ht="15" x14ac:dyDescent="0.25">
      <c r="B3062"/>
      <c r="M3062"/>
    </row>
    <row r="3063" spans="2:13" ht="15" x14ac:dyDescent="0.25">
      <c r="B3063"/>
      <c r="M3063"/>
    </row>
    <row r="3064" spans="2:13" ht="15" x14ac:dyDescent="0.25">
      <c r="B3064"/>
      <c r="M3064"/>
    </row>
    <row r="3065" spans="2:13" ht="15" x14ac:dyDescent="0.25">
      <c r="B3065"/>
      <c r="M3065"/>
    </row>
    <row r="3066" spans="2:13" ht="15" x14ac:dyDescent="0.25">
      <c r="B3066"/>
      <c r="M3066"/>
    </row>
    <row r="3067" spans="2:13" ht="15" x14ac:dyDescent="0.25">
      <c r="B3067"/>
      <c r="M3067"/>
    </row>
    <row r="3068" spans="2:13" ht="15" x14ac:dyDescent="0.25">
      <c r="B3068"/>
      <c r="M3068"/>
    </row>
    <row r="3069" spans="2:13" ht="15" x14ac:dyDescent="0.25">
      <c r="B3069"/>
      <c r="M3069"/>
    </row>
    <row r="3070" spans="2:13" ht="15" x14ac:dyDescent="0.25">
      <c r="B3070"/>
      <c r="M3070"/>
    </row>
    <row r="3071" spans="2:13" ht="15" x14ac:dyDescent="0.25">
      <c r="B3071"/>
      <c r="M3071"/>
    </row>
    <row r="3072" spans="2:13" ht="15" x14ac:dyDescent="0.25">
      <c r="B3072"/>
      <c r="M3072"/>
    </row>
    <row r="3073" spans="2:13" ht="15" x14ac:dyDescent="0.25">
      <c r="B3073"/>
      <c r="M3073"/>
    </row>
    <row r="3074" spans="2:13" ht="15" x14ac:dyDescent="0.25">
      <c r="B3074"/>
      <c r="M3074"/>
    </row>
    <row r="3075" spans="2:13" ht="15" x14ac:dyDescent="0.25">
      <c r="B3075"/>
      <c r="M3075"/>
    </row>
    <row r="3076" spans="2:13" ht="15" x14ac:dyDescent="0.25">
      <c r="B3076"/>
      <c r="M3076"/>
    </row>
    <row r="3077" spans="2:13" ht="15" x14ac:dyDescent="0.25">
      <c r="B3077"/>
      <c r="M3077"/>
    </row>
    <row r="3078" spans="2:13" ht="15" x14ac:dyDescent="0.25">
      <c r="B3078"/>
      <c r="M3078"/>
    </row>
    <row r="3079" spans="2:13" ht="15" x14ac:dyDescent="0.25">
      <c r="B3079"/>
      <c r="M3079"/>
    </row>
    <row r="3080" spans="2:13" ht="15" x14ac:dyDescent="0.25">
      <c r="B3080"/>
      <c r="M3080"/>
    </row>
    <row r="3081" spans="2:13" ht="15" x14ac:dyDescent="0.25">
      <c r="B3081"/>
      <c r="M3081"/>
    </row>
    <row r="3082" spans="2:13" ht="15" x14ac:dyDescent="0.25">
      <c r="B3082"/>
      <c r="M3082"/>
    </row>
    <row r="3083" spans="2:13" ht="15" x14ac:dyDescent="0.25">
      <c r="B3083"/>
      <c r="M3083"/>
    </row>
    <row r="3084" spans="2:13" ht="15" x14ac:dyDescent="0.25">
      <c r="B3084"/>
      <c r="M3084"/>
    </row>
    <row r="3085" spans="2:13" ht="15" x14ac:dyDescent="0.25">
      <c r="B3085"/>
      <c r="M3085"/>
    </row>
    <row r="3086" spans="2:13" ht="15" x14ac:dyDescent="0.25">
      <c r="B3086"/>
      <c r="M3086"/>
    </row>
    <row r="3087" spans="2:13" ht="15" x14ac:dyDescent="0.25">
      <c r="B3087"/>
      <c r="M3087"/>
    </row>
    <row r="3088" spans="2:13" ht="15" x14ac:dyDescent="0.25">
      <c r="B3088"/>
      <c r="M3088"/>
    </row>
    <row r="3089" spans="2:13" ht="15" x14ac:dyDescent="0.25">
      <c r="B3089"/>
      <c r="M3089"/>
    </row>
    <row r="3090" spans="2:13" ht="15" x14ac:dyDescent="0.25">
      <c r="B3090"/>
      <c r="M3090"/>
    </row>
    <row r="3091" spans="2:13" ht="15" x14ac:dyDescent="0.25">
      <c r="B3091"/>
      <c r="M3091"/>
    </row>
    <row r="3092" spans="2:13" ht="15" x14ac:dyDescent="0.25">
      <c r="B3092"/>
      <c r="M3092"/>
    </row>
    <row r="3093" spans="2:13" ht="15" x14ac:dyDescent="0.25">
      <c r="B3093"/>
      <c r="M3093"/>
    </row>
    <row r="3094" spans="2:13" ht="15" x14ac:dyDescent="0.25">
      <c r="B3094"/>
      <c r="M3094"/>
    </row>
    <row r="3095" spans="2:13" ht="15" x14ac:dyDescent="0.25">
      <c r="B3095"/>
      <c r="M3095"/>
    </row>
    <row r="3096" spans="2:13" ht="15" x14ac:dyDescent="0.25">
      <c r="B3096"/>
      <c r="M3096"/>
    </row>
    <row r="3097" spans="2:13" ht="15" x14ac:dyDescent="0.25">
      <c r="B3097"/>
      <c r="M3097"/>
    </row>
    <row r="3098" spans="2:13" ht="15" x14ac:dyDescent="0.25">
      <c r="B3098"/>
      <c r="M3098"/>
    </row>
    <row r="3099" spans="2:13" ht="15" x14ac:dyDescent="0.25">
      <c r="B3099"/>
      <c r="M3099"/>
    </row>
    <row r="3100" spans="2:13" ht="15" x14ac:dyDescent="0.25">
      <c r="B3100"/>
      <c r="M3100"/>
    </row>
    <row r="3101" spans="2:13" ht="15" x14ac:dyDescent="0.25">
      <c r="B3101"/>
      <c r="M3101"/>
    </row>
    <row r="3102" spans="2:13" ht="15" x14ac:dyDescent="0.25">
      <c r="B3102"/>
      <c r="M3102"/>
    </row>
    <row r="3103" spans="2:13" ht="15" x14ac:dyDescent="0.25">
      <c r="B3103"/>
      <c r="M3103"/>
    </row>
    <row r="3104" spans="2:13" ht="15" x14ac:dyDescent="0.25">
      <c r="B3104"/>
      <c r="M3104"/>
    </row>
    <row r="3105" spans="2:13" ht="15" x14ac:dyDescent="0.25">
      <c r="B3105"/>
      <c r="M3105"/>
    </row>
    <row r="3106" spans="2:13" ht="15" x14ac:dyDescent="0.25">
      <c r="B3106"/>
      <c r="M3106"/>
    </row>
    <row r="3107" spans="2:13" ht="15" x14ac:dyDescent="0.25">
      <c r="B3107"/>
      <c r="M3107"/>
    </row>
    <row r="3108" spans="2:13" ht="15" x14ac:dyDescent="0.25">
      <c r="B3108"/>
      <c r="M3108"/>
    </row>
    <row r="3109" spans="2:13" ht="15" x14ac:dyDescent="0.25">
      <c r="B3109"/>
      <c r="M3109"/>
    </row>
    <row r="3110" spans="2:13" ht="15" x14ac:dyDescent="0.25">
      <c r="B3110"/>
      <c r="M3110"/>
    </row>
    <row r="3111" spans="2:13" ht="15" x14ac:dyDescent="0.25">
      <c r="B3111"/>
      <c r="M3111"/>
    </row>
    <row r="3112" spans="2:13" ht="15" x14ac:dyDescent="0.25">
      <c r="B3112"/>
      <c r="M3112"/>
    </row>
    <row r="3113" spans="2:13" ht="15" x14ac:dyDescent="0.25">
      <c r="B3113"/>
      <c r="M3113"/>
    </row>
    <row r="3114" spans="2:13" ht="15" x14ac:dyDescent="0.25">
      <c r="B3114"/>
      <c r="M3114"/>
    </row>
    <row r="3115" spans="2:13" ht="15" x14ac:dyDescent="0.25">
      <c r="B3115"/>
      <c r="M3115"/>
    </row>
    <row r="3116" spans="2:13" ht="15" x14ac:dyDescent="0.25">
      <c r="B3116"/>
      <c r="M3116"/>
    </row>
    <row r="3117" spans="2:13" ht="15" x14ac:dyDescent="0.25">
      <c r="B3117"/>
      <c r="M3117"/>
    </row>
    <row r="3118" spans="2:13" ht="15" x14ac:dyDescent="0.25">
      <c r="B3118"/>
      <c r="M3118"/>
    </row>
    <row r="3119" spans="2:13" ht="15" x14ac:dyDescent="0.25">
      <c r="B3119"/>
      <c r="M3119"/>
    </row>
    <row r="3120" spans="2:13" ht="15" x14ac:dyDescent="0.25">
      <c r="B3120"/>
      <c r="M3120"/>
    </row>
    <row r="3121" spans="2:13" ht="15" x14ac:dyDescent="0.25">
      <c r="B3121"/>
      <c r="M3121"/>
    </row>
    <row r="3122" spans="2:13" ht="15" x14ac:dyDescent="0.25">
      <c r="B3122"/>
      <c r="M3122"/>
    </row>
    <row r="3123" spans="2:13" ht="15" x14ac:dyDescent="0.25">
      <c r="B3123"/>
      <c r="M3123"/>
    </row>
    <row r="3124" spans="2:13" ht="15" x14ac:dyDescent="0.25">
      <c r="B3124"/>
      <c r="M3124"/>
    </row>
    <row r="3125" spans="2:13" ht="15" x14ac:dyDescent="0.25">
      <c r="B3125"/>
      <c r="M3125"/>
    </row>
    <row r="3126" spans="2:13" ht="15" x14ac:dyDescent="0.25">
      <c r="B3126"/>
      <c r="M3126"/>
    </row>
    <row r="3127" spans="2:13" ht="15" x14ac:dyDescent="0.25">
      <c r="B3127"/>
      <c r="M3127"/>
    </row>
    <row r="3128" spans="2:13" ht="15" x14ac:dyDescent="0.25">
      <c r="B3128"/>
      <c r="M3128"/>
    </row>
    <row r="3129" spans="2:13" ht="15" x14ac:dyDescent="0.25">
      <c r="B3129"/>
      <c r="M3129"/>
    </row>
    <row r="3130" spans="2:13" ht="15" x14ac:dyDescent="0.25">
      <c r="B3130"/>
      <c r="M3130"/>
    </row>
    <row r="3131" spans="2:13" ht="15" x14ac:dyDescent="0.25">
      <c r="B3131"/>
      <c r="M3131"/>
    </row>
    <row r="3132" spans="2:13" ht="15" x14ac:dyDescent="0.25">
      <c r="B3132"/>
      <c r="M3132"/>
    </row>
    <row r="3133" spans="2:13" ht="15" x14ac:dyDescent="0.25">
      <c r="B3133"/>
      <c r="M3133"/>
    </row>
    <row r="3134" spans="2:13" ht="15" x14ac:dyDescent="0.25">
      <c r="B3134"/>
      <c r="M3134"/>
    </row>
    <row r="3135" spans="2:13" ht="15" x14ac:dyDescent="0.25">
      <c r="B3135"/>
      <c r="M3135"/>
    </row>
    <row r="3136" spans="2:13" ht="15" x14ac:dyDescent="0.25">
      <c r="B3136"/>
      <c r="M3136"/>
    </row>
    <row r="3137" spans="2:13" ht="15" x14ac:dyDescent="0.25">
      <c r="B3137"/>
      <c r="M3137"/>
    </row>
    <row r="3138" spans="2:13" ht="15" x14ac:dyDescent="0.25">
      <c r="B3138"/>
      <c r="M3138"/>
    </row>
    <row r="3139" spans="2:13" ht="15" x14ac:dyDescent="0.25">
      <c r="B3139"/>
      <c r="M3139"/>
    </row>
    <row r="3140" spans="2:13" ht="15" x14ac:dyDescent="0.25">
      <c r="B3140"/>
      <c r="M3140"/>
    </row>
    <row r="3141" spans="2:13" ht="15" x14ac:dyDescent="0.25">
      <c r="B3141"/>
      <c r="M3141"/>
    </row>
    <row r="3142" spans="2:13" ht="15" x14ac:dyDescent="0.25">
      <c r="B3142"/>
      <c r="M3142"/>
    </row>
    <row r="3143" spans="2:13" ht="15" x14ac:dyDescent="0.25">
      <c r="B3143"/>
      <c r="M3143"/>
    </row>
    <row r="3144" spans="2:13" ht="15" x14ac:dyDescent="0.25">
      <c r="B3144"/>
      <c r="M3144"/>
    </row>
    <row r="3145" spans="2:13" ht="15" x14ac:dyDescent="0.25">
      <c r="B3145"/>
      <c r="M3145"/>
    </row>
    <row r="3146" spans="2:13" ht="15" x14ac:dyDescent="0.25">
      <c r="B3146"/>
      <c r="M3146"/>
    </row>
    <row r="3147" spans="2:13" ht="15" x14ac:dyDescent="0.25">
      <c r="B3147"/>
      <c r="M3147"/>
    </row>
    <row r="3148" spans="2:13" ht="15" x14ac:dyDescent="0.25">
      <c r="B3148"/>
      <c r="M3148"/>
    </row>
    <row r="3149" spans="2:13" ht="15" x14ac:dyDescent="0.25">
      <c r="B3149"/>
      <c r="M3149"/>
    </row>
    <row r="3150" spans="2:13" ht="15" x14ac:dyDescent="0.25">
      <c r="B3150"/>
      <c r="M3150"/>
    </row>
    <row r="3151" spans="2:13" ht="15" x14ac:dyDescent="0.25">
      <c r="B3151"/>
      <c r="M3151"/>
    </row>
    <row r="3152" spans="2:13" ht="15" x14ac:dyDescent="0.25">
      <c r="B3152"/>
      <c r="M3152"/>
    </row>
    <row r="3153" spans="2:13" ht="15" x14ac:dyDescent="0.25">
      <c r="B3153"/>
      <c r="M3153"/>
    </row>
    <row r="3154" spans="2:13" ht="15" x14ac:dyDescent="0.25">
      <c r="B3154"/>
      <c r="M3154"/>
    </row>
    <row r="3155" spans="2:13" ht="15" x14ac:dyDescent="0.25">
      <c r="B3155"/>
      <c r="M3155"/>
    </row>
    <row r="3156" spans="2:13" ht="15" x14ac:dyDescent="0.25">
      <c r="B3156"/>
      <c r="M3156"/>
    </row>
    <row r="3157" spans="2:13" ht="15" x14ac:dyDescent="0.25">
      <c r="B3157"/>
      <c r="M3157"/>
    </row>
    <row r="3158" spans="2:13" ht="15" x14ac:dyDescent="0.25">
      <c r="B3158"/>
      <c r="M3158"/>
    </row>
    <row r="3159" spans="2:13" ht="15" x14ac:dyDescent="0.25">
      <c r="B3159"/>
      <c r="M3159"/>
    </row>
    <row r="3160" spans="2:13" ht="15" x14ac:dyDescent="0.25">
      <c r="B3160"/>
      <c r="M3160"/>
    </row>
    <row r="3161" spans="2:13" ht="15" x14ac:dyDescent="0.25">
      <c r="B3161"/>
      <c r="M3161"/>
    </row>
    <row r="3162" spans="2:13" ht="15" x14ac:dyDescent="0.25">
      <c r="B3162"/>
      <c r="M3162"/>
    </row>
    <row r="3163" spans="2:13" ht="15" x14ac:dyDescent="0.25">
      <c r="B3163"/>
      <c r="M3163"/>
    </row>
    <row r="3164" spans="2:13" ht="15" x14ac:dyDescent="0.25">
      <c r="B3164"/>
      <c r="M3164"/>
    </row>
    <row r="3165" spans="2:13" ht="15" x14ac:dyDescent="0.25">
      <c r="B3165"/>
      <c r="M3165"/>
    </row>
    <row r="3166" spans="2:13" ht="15" x14ac:dyDescent="0.25">
      <c r="B3166"/>
      <c r="M3166"/>
    </row>
    <row r="3167" spans="2:13" ht="15" x14ac:dyDescent="0.25">
      <c r="B3167"/>
      <c r="M3167"/>
    </row>
    <row r="3168" spans="2:13" ht="15" x14ac:dyDescent="0.25">
      <c r="B3168"/>
      <c r="M3168"/>
    </row>
    <row r="3169" spans="2:13" ht="15" x14ac:dyDescent="0.25">
      <c r="B3169"/>
      <c r="M3169"/>
    </row>
    <row r="3170" spans="2:13" ht="15" x14ac:dyDescent="0.25">
      <c r="B3170"/>
      <c r="M3170"/>
    </row>
    <row r="3171" spans="2:13" ht="15" x14ac:dyDescent="0.25">
      <c r="B3171"/>
      <c r="M3171"/>
    </row>
    <row r="3172" spans="2:13" ht="15" x14ac:dyDescent="0.25">
      <c r="B3172"/>
      <c r="M3172"/>
    </row>
    <row r="3173" spans="2:13" ht="15" x14ac:dyDescent="0.25">
      <c r="B3173"/>
      <c r="M3173"/>
    </row>
    <row r="3174" spans="2:13" ht="15" x14ac:dyDescent="0.25">
      <c r="B3174"/>
      <c r="M3174"/>
    </row>
    <row r="3175" spans="2:13" ht="15" x14ac:dyDescent="0.25">
      <c r="B3175"/>
      <c r="M3175"/>
    </row>
    <row r="3176" spans="2:13" ht="15" x14ac:dyDescent="0.25">
      <c r="B3176"/>
      <c r="M3176"/>
    </row>
    <row r="3177" spans="2:13" ht="15" x14ac:dyDescent="0.25">
      <c r="B3177"/>
      <c r="M3177"/>
    </row>
    <row r="3178" spans="2:13" ht="15" x14ac:dyDescent="0.25">
      <c r="B3178"/>
      <c r="M3178"/>
    </row>
    <row r="3179" spans="2:13" ht="15" x14ac:dyDescent="0.25">
      <c r="B3179"/>
      <c r="M3179"/>
    </row>
    <row r="3180" spans="2:13" ht="15" x14ac:dyDescent="0.25">
      <c r="B3180"/>
      <c r="M3180"/>
    </row>
    <row r="3181" spans="2:13" ht="15" x14ac:dyDescent="0.25">
      <c r="B3181"/>
      <c r="M3181"/>
    </row>
    <row r="3182" spans="2:13" ht="15" x14ac:dyDescent="0.25">
      <c r="B3182"/>
      <c r="M3182"/>
    </row>
    <row r="3183" spans="2:13" ht="15" x14ac:dyDescent="0.25">
      <c r="B3183"/>
      <c r="M3183"/>
    </row>
    <row r="3184" spans="2:13" ht="15" x14ac:dyDescent="0.25">
      <c r="B3184"/>
      <c r="M3184"/>
    </row>
    <row r="3185" spans="2:13" ht="15" x14ac:dyDescent="0.25">
      <c r="B3185"/>
      <c r="M3185"/>
    </row>
    <row r="3186" spans="2:13" ht="15" x14ac:dyDescent="0.25">
      <c r="B3186"/>
      <c r="M3186"/>
    </row>
    <row r="3187" spans="2:13" ht="15" x14ac:dyDescent="0.25">
      <c r="B3187"/>
      <c r="M3187"/>
    </row>
    <row r="3188" spans="2:13" ht="15" x14ac:dyDescent="0.25">
      <c r="B3188"/>
      <c r="M3188"/>
    </row>
    <row r="3189" spans="2:13" ht="15" x14ac:dyDescent="0.25">
      <c r="B3189"/>
      <c r="M3189"/>
    </row>
    <row r="3190" spans="2:13" ht="15" x14ac:dyDescent="0.25">
      <c r="B3190"/>
      <c r="M3190"/>
    </row>
    <row r="3191" spans="2:13" ht="15" x14ac:dyDescent="0.25">
      <c r="B3191"/>
      <c r="M3191"/>
    </row>
    <row r="3192" spans="2:13" ht="15" x14ac:dyDescent="0.25">
      <c r="B3192"/>
      <c r="M3192"/>
    </row>
    <row r="3193" spans="2:13" ht="15" x14ac:dyDescent="0.25">
      <c r="B3193"/>
      <c r="M3193"/>
    </row>
    <row r="3194" spans="2:13" ht="15" x14ac:dyDescent="0.25">
      <c r="B3194"/>
      <c r="M3194"/>
    </row>
    <row r="3195" spans="2:13" ht="15" x14ac:dyDescent="0.25">
      <c r="B3195"/>
      <c r="M3195"/>
    </row>
    <row r="3196" spans="2:13" ht="15" x14ac:dyDescent="0.25">
      <c r="B3196"/>
      <c r="M3196"/>
    </row>
    <row r="3197" spans="2:13" ht="15" x14ac:dyDescent="0.25">
      <c r="B3197"/>
      <c r="M3197"/>
    </row>
    <row r="3198" spans="2:13" ht="15" x14ac:dyDescent="0.25">
      <c r="B3198"/>
      <c r="M3198"/>
    </row>
    <row r="3199" spans="2:13" ht="15" x14ac:dyDescent="0.25">
      <c r="B3199"/>
      <c r="M3199"/>
    </row>
    <row r="3200" spans="2:13" ht="15" x14ac:dyDescent="0.25">
      <c r="B3200"/>
      <c r="M3200"/>
    </row>
    <row r="3201" spans="2:13" ht="15" x14ac:dyDescent="0.25">
      <c r="B3201"/>
      <c r="M3201"/>
    </row>
    <row r="3202" spans="2:13" ht="15" x14ac:dyDescent="0.25">
      <c r="B3202"/>
      <c r="M3202"/>
    </row>
    <row r="3203" spans="2:13" ht="15" x14ac:dyDescent="0.25">
      <c r="B3203"/>
      <c r="M3203"/>
    </row>
    <row r="3204" spans="2:13" ht="15" x14ac:dyDescent="0.25">
      <c r="B3204"/>
      <c r="M3204"/>
    </row>
    <row r="3205" spans="2:13" ht="15" x14ac:dyDescent="0.25">
      <c r="B3205"/>
      <c r="M3205"/>
    </row>
    <row r="3206" spans="2:13" ht="15" x14ac:dyDescent="0.25">
      <c r="B3206"/>
      <c r="M3206"/>
    </row>
    <row r="3207" spans="2:13" ht="15" x14ac:dyDescent="0.25">
      <c r="B3207"/>
      <c r="M3207"/>
    </row>
    <row r="3208" spans="2:13" ht="15" x14ac:dyDescent="0.25">
      <c r="B3208"/>
      <c r="M3208"/>
    </row>
    <row r="3209" spans="2:13" ht="15" x14ac:dyDescent="0.25">
      <c r="B3209"/>
      <c r="M3209"/>
    </row>
    <row r="3210" spans="2:13" ht="15" x14ac:dyDescent="0.25">
      <c r="B3210"/>
      <c r="M3210"/>
    </row>
    <row r="3211" spans="2:13" ht="15" x14ac:dyDescent="0.25">
      <c r="B3211"/>
      <c r="M3211"/>
    </row>
    <row r="3212" spans="2:13" ht="15" x14ac:dyDescent="0.25">
      <c r="B3212"/>
      <c r="M3212"/>
    </row>
    <row r="3213" spans="2:13" ht="15" x14ac:dyDescent="0.25">
      <c r="B3213"/>
      <c r="M3213"/>
    </row>
    <row r="3214" spans="2:13" ht="15" x14ac:dyDescent="0.25">
      <c r="B3214"/>
      <c r="M3214"/>
    </row>
    <row r="3215" spans="2:13" ht="15" x14ac:dyDescent="0.25">
      <c r="B3215"/>
      <c r="M3215"/>
    </row>
    <row r="3216" spans="2:13" ht="15" x14ac:dyDescent="0.25">
      <c r="B3216"/>
      <c r="M3216"/>
    </row>
    <row r="3217" spans="2:13" ht="15" x14ac:dyDescent="0.25">
      <c r="B3217"/>
      <c r="M3217"/>
    </row>
    <row r="3218" spans="2:13" ht="15" x14ac:dyDescent="0.25">
      <c r="B3218"/>
      <c r="M3218"/>
    </row>
    <row r="3219" spans="2:13" ht="15" x14ac:dyDescent="0.25">
      <c r="B3219"/>
      <c r="M3219"/>
    </row>
    <row r="3220" spans="2:13" ht="15" x14ac:dyDescent="0.25">
      <c r="B3220"/>
      <c r="M3220"/>
    </row>
    <row r="3221" spans="2:13" ht="15" x14ac:dyDescent="0.25">
      <c r="B3221"/>
      <c r="M3221"/>
    </row>
    <row r="3222" spans="2:13" ht="15" x14ac:dyDescent="0.25">
      <c r="B3222"/>
      <c r="M3222"/>
    </row>
    <row r="3223" spans="2:13" ht="15" x14ac:dyDescent="0.25">
      <c r="B3223"/>
      <c r="M3223"/>
    </row>
    <row r="3224" spans="2:13" ht="15" x14ac:dyDescent="0.25">
      <c r="B3224"/>
      <c r="M3224"/>
    </row>
    <row r="3225" spans="2:13" ht="15" x14ac:dyDescent="0.25">
      <c r="B3225"/>
      <c r="M3225"/>
    </row>
    <row r="3226" spans="2:13" ht="15" x14ac:dyDescent="0.25">
      <c r="B3226"/>
      <c r="M3226"/>
    </row>
    <row r="3227" spans="2:13" ht="15" x14ac:dyDescent="0.25">
      <c r="B3227"/>
      <c r="M3227"/>
    </row>
    <row r="3228" spans="2:13" ht="15" x14ac:dyDescent="0.25">
      <c r="B3228"/>
      <c r="M3228"/>
    </row>
    <row r="3229" spans="2:13" ht="15" x14ac:dyDescent="0.25">
      <c r="B3229"/>
      <c r="M3229"/>
    </row>
    <row r="3230" spans="2:13" ht="15" x14ac:dyDescent="0.25">
      <c r="B3230"/>
      <c r="M3230"/>
    </row>
    <row r="3231" spans="2:13" ht="15" x14ac:dyDescent="0.25">
      <c r="B3231"/>
      <c r="M3231"/>
    </row>
    <row r="3232" spans="2:13" ht="15" x14ac:dyDescent="0.25">
      <c r="B3232"/>
      <c r="M3232"/>
    </row>
    <row r="3233" spans="2:13" ht="15" x14ac:dyDescent="0.25">
      <c r="B3233"/>
      <c r="M3233"/>
    </row>
    <row r="3234" spans="2:13" ht="15" x14ac:dyDescent="0.25">
      <c r="B3234"/>
      <c r="M3234"/>
    </row>
    <row r="3235" spans="2:13" ht="15" x14ac:dyDescent="0.25">
      <c r="B3235"/>
      <c r="M3235"/>
    </row>
    <row r="3236" spans="2:13" ht="15" x14ac:dyDescent="0.25">
      <c r="B3236"/>
      <c r="M3236"/>
    </row>
    <row r="3237" spans="2:13" ht="15" x14ac:dyDescent="0.25">
      <c r="B3237"/>
      <c r="M3237"/>
    </row>
    <row r="3238" spans="2:13" ht="15" x14ac:dyDescent="0.25">
      <c r="B3238"/>
      <c r="M3238"/>
    </row>
    <row r="3239" spans="2:13" ht="15" x14ac:dyDescent="0.25">
      <c r="B3239"/>
      <c r="M3239"/>
    </row>
    <row r="3240" spans="2:13" ht="15" x14ac:dyDescent="0.25">
      <c r="B3240"/>
      <c r="M3240"/>
    </row>
    <row r="3241" spans="2:13" ht="15" x14ac:dyDescent="0.25">
      <c r="B3241"/>
      <c r="M3241"/>
    </row>
    <row r="3242" spans="2:13" ht="15" x14ac:dyDescent="0.25">
      <c r="B3242"/>
      <c r="M3242"/>
    </row>
    <row r="3243" spans="2:13" ht="15" x14ac:dyDescent="0.25">
      <c r="B3243"/>
      <c r="M3243"/>
    </row>
    <row r="3244" spans="2:13" ht="15" x14ac:dyDescent="0.25">
      <c r="B3244"/>
      <c r="M3244"/>
    </row>
    <row r="3245" spans="2:13" ht="15" x14ac:dyDescent="0.25">
      <c r="B3245"/>
      <c r="M3245"/>
    </row>
    <row r="3246" spans="2:13" ht="15" x14ac:dyDescent="0.25">
      <c r="B3246"/>
      <c r="M3246"/>
    </row>
    <row r="3247" spans="2:13" ht="15" x14ac:dyDescent="0.25">
      <c r="B3247"/>
      <c r="M3247"/>
    </row>
    <row r="3248" spans="2:13" ht="15" x14ac:dyDescent="0.25">
      <c r="B3248"/>
      <c r="M3248"/>
    </row>
    <row r="3249" spans="2:13" ht="15" x14ac:dyDescent="0.25">
      <c r="B3249"/>
      <c r="M3249"/>
    </row>
    <row r="3250" spans="2:13" ht="15" x14ac:dyDescent="0.25">
      <c r="B3250"/>
      <c r="M3250"/>
    </row>
    <row r="3251" spans="2:13" ht="15" x14ac:dyDescent="0.25">
      <c r="B3251"/>
      <c r="M3251"/>
    </row>
    <row r="3252" spans="2:13" ht="15" x14ac:dyDescent="0.25">
      <c r="B3252"/>
      <c r="M3252"/>
    </row>
    <row r="3253" spans="2:13" ht="15" x14ac:dyDescent="0.25">
      <c r="B3253"/>
      <c r="M3253"/>
    </row>
    <row r="3254" spans="2:13" ht="15" x14ac:dyDescent="0.25">
      <c r="B3254"/>
      <c r="M3254"/>
    </row>
    <row r="3255" spans="2:13" ht="15" x14ac:dyDescent="0.25">
      <c r="B3255"/>
      <c r="M3255"/>
    </row>
    <row r="3256" spans="2:13" ht="15" x14ac:dyDescent="0.25">
      <c r="B3256"/>
      <c r="M3256"/>
    </row>
    <row r="3257" spans="2:13" ht="15" x14ac:dyDescent="0.25">
      <c r="B3257"/>
      <c r="M3257"/>
    </row>
    <row r="3258" spans="2:13" ht="15" x14ac:dyDescent="0.25">
      <c r="B3258"/>
      <c r="M3258"/>
    </row>
    <row r="3259" spans="2:13" ht="15" x14ac:dyDescent="0.25">
      <c r="B3259"/>
      <c r="M3259"/>
    </row>
    <row r="3260" spans="2:13" ht="15" x14ac:dyDescent="0.25">
      <c r="B3260"/>
      <c r="M3260"/>
    </row>
    <row r="3261" spans="2:13" ht="15" x14ac:dyDescent="0.25">
      <c r="B3261"/>
      <c r="M3261"/>
    </row>
    <row r="3262" spans="2:13" ht="15" x14ac:dyDescent="0.25">
      <c r="B3262"/>
      <c r="M3262"/>
    </row>
    <row r="3263" spans="2:13" ht="15" x14ac:dyDescent="0.25">
      <c r="B3263"/>
      <c r="M3263"/>
    </row>
    <row r="3264" spans="2:13" ht="15" x14ac:dyDescent="0.25">
      <c r="B3264"/>
      <c r="M3264"/>
    </row>
    <row r="3265" spans="2:13" ht="15" x14ac:dyDescent="0.25">
      <c r="B3265"/>
      <c r="M3265"/>
    </row>
    <row r="3266" spans="2:13" ht="15" x14ac:dyDescent="0.25">
      <c r="B3266"/>
      <c r="M3266"/>
    </row>
    <row r="3267" spans="2:13" ht="15" x14ac:dyDescent="0.25">
      <c r="B3267"/>
      <c r="M3267"/>
    </row>
    <row r="3268" spans="2:13" ht="15" x14ac:dyDescent="0.25">
      <c r="B3268"/>
      <c r="M3268"/>
    </row>
    <row r="3269" spans="2:13" ht="15" x14ac:dyDescent="0.25">
      <c r="B3269"/>
      <c r="M3269"/>
    </row>
    <row r="3270" spans="2:13" ht="15" x14ac:dyDescent="0.25">
      <c r="B3270"/>
      <c r="M3270"/>
    </row>
    <row r="3271" spans="2:13" ht="15" x14ac:dyDescent="0.25">
      <c r="B3271"/>
      <c r="M3271"/>
    </row>
    <row r="3272" spans="2:13" ht="15" x14ac:dyDescent="0.25">
      <c r="B3272"/>
      <c r="M3272"/>
    </row>
    <row r="3273" spans="2:13" ht="15" x14ac:dyDescent="0.25">
      <c r="B3273"/>
      <c r="M3273"/>
    </row>
    <row r="3274" spans="2:13" ht="15" x14ac:dyDescent="0.25">
      <c r="B3274"/>
      <c r="M3274"/>
    </row>
    <row r="3275" spans="2:13" ht="15" x14ac:dyDescent="0.25">
      <c r="B3275"/>
      <c r="M3275"/>
    </row>
    <row r="3276" spans="2:13" ht="15" x14ac:dyDescent="0.25">
      <c r="B3276"/>
      <c r="M3276"/>
    </row>
    <row r="3277" spans="2:13" ht="15" x14ac:dyDescent="0.25">
      <c r="B3277"/>
      <c r="M3277"/>
    </row>
    <row r="3278" spans="2:13" ht="15" x14ac:dyDescent="0.25">
      <c r="B3278"/>
      <c r="M3278"/>
    </row>
    <row r="3279" spans="2:13" ht="15" x14ac:dyDescent="0.25">
      <c r="B3279"/>
      <c r="M3279"/>
    </row>
    <row r="3280" spans="2:13" ht="15" x14ac:dyDescent="0.25">
      <c r="B3280"/>
      <c r="M3280"/>
    </row>
    <row r="3281" spans="2:13" ht="15" x14ac:dyDescent="0.25">
      <c r="B3281"/>
      <c r="M3281"/>
    </row>
    <row r="3282" spans="2:13" ht="15" x14ac:dyDescent="0.25">
      <c r="B3282"/>
      <c r="M3282"/>
    </row>
    <row r="3283" spans="2:13" ht="15" x14ac:dyDescent="0.25">
      <c r="B3283"/>
      <c r="M3283"/>
    </row>
    <row r="3284" spans="2:13" ht="15" x14ac:dyDescent="0.25">
      <c r="B3284"/>
      <c r="M3284"/>
    </row>
    <row r="3285" spans="2:13" ht="15" x14ac:dyDescent="0.25">
      <c r="B3285"/>
      <c r="M3285"/>
    </row>
    <row r="3286" spans="2:13" ht="15" x14ac:dyDescent="0.25">
      <c r="B3286"/>
      <c r="M3286"/>
    </row>
    <row r="3287" spans="2:13" ht="15" x14ac:dyDescent="0.25">
      <c r="B3287"/>
      <c r="M3287"/>
    </row>
    <row r="3288" spans="2:13" ht="15" x14ac:dyDescent="0.25">
      <c r="B3288"/>
      <c r="M3288"/>
    </row>
    <row r="3289" spans="2:13" ht="15" x14ac:dyDescent="0.25">
      <c r="B3289"/>
      <c r="M3289"/>
    </row>
    <row r="3290" spans="2:13" ht="15" x14ac:dyDescent="0.25">
      <c r="B3290"/>
      <c r="M3290"/>
    </row>
    <row r="3291" spans="2:13" ht="15" x14ac:dyDescent="0.25">
      <c r="B3291"/>
      <c r="M3291"/>
    </row>
    <row r="3292" spans="2:13" ht="15" x14ac:dyDescent="0.25">
      <c r="B3292"/>
      <c r="M3292"/>
    </row>
    <row r="3293" spans="2:13" ht="15" x14ac:dyDescent="0.25">
      <c r="B3293"/>
      <c r="M3293"/>
    </row>
    <row r="3294" spans="2:13" ht="15" x14ac:dyDescent="0.25">
      <c r="B3294"/>
      <c r="M3294"/>
    </row>
    <row r="3295" spans="2:13" ht="15" x14ac:dyDescent="0.25">
      <c r="B3295"/>
      <c r="M3295"/>
    </row>
    <row r="3296" spans="2:13" ht="15" x14ac:dyDescent="0.25">
      <c r="B3296"/>
      <c r="M3296"/>
    </row>
    <row r="3297" spans="2:13" ht="15" x14ac:dyDescent="0.25">
      <c r="B3297"/>
      <c r="M3297"/>
    </row>
    <row r="3298" spans="2:13" ht="15" x14ac:dyDescent="0.25">
      <c r="B3298"/>
      <c r="M3298"/>
    </row>
    <row r="3299" spans="2:13" ht="15" x14ac:dyDescent="0.25">
      <c r="B3299"/>
      <c r="M3299"/>
    </row>
    <row r="3300" spans="2:13" ht="15" x14ac:dyDescent="0.25">
      <c r="B3300"/>
      <c r="M3300"/>
    </row>
    <row r="3301" spans="2:13" ht="15" x14ac:dyDescent="0.25">
      <c r="B3301"/>
      <c r="M3301"/>
    </row>
    <row r="3302" spans="2:13" ht="15" x14ac:dyDescent="0.25">
      <c r="B3302"/>
      <c r="M3302"/>
    </row>
    <row r="3303" spans="2:13" ht="15" x14ac:dyDescent="0.25">
      <c r="B3303"/>
      <c r="M3303"/>
    </row>
    <row r="3304" spans="2:13" ht="15" x14ac:dyDescent="0.25">
      <c r="B3304"/>
      <c r="M3304"/>
    </row>
    <row r="3305" spans="2:13" ht="15" x14ac:dyDescent="0.25">
      <c r="B3305"/>
      <c r="M3305"/>
    </row>
    <row r="3306" spans="2:13" ht="15" x14ac:dyDescent="0.25">
      <c r="B3306"/>
      <c r="M3306"/>
    </row>
    <row r="3307" spans="2:13" ht="15" x14ac:dyDescent="0.25">
      <c r="B3307"/>
      <c r="M3307"/>
    </row>
    <row r="3308" spans="2:13" ht="15" x14ac:dyDescent="0.25">
      <c r="B3308"/>
      <c r="M3308"/>
    </row>
    <row r="3309" spans="2:13" ht="15" x14ac:dyDescent="0.25">
      <c r="B3309"/>
      <c r="M3309"/>
    </row>
    <row r="3310" spans="2:13" ht="15" x14ac:dyDescent="0.25">
      <c r="B3310"/>
      <c r="M3310"/>
    </row>
    <row r="3311" spans="2:13" ht="15" x14ac:dyDescent="0.25">
      <c r="B3311"/>
      <c r="M3311"/>
    </row>
    <row r="3312" spans="2:13" ht="15" x14ac:dyDescent="0.25">
      <c r="B3312"/>
      <c r="M3312"/>
    </row>
    <row r="3313" spans="2:13" ht="15" x14ac:dyDescent="0.25">
      <c r="B3313"/>
      <c r="M3313"/>
    </row>
    <row r="3314" spans="2:13" ht="15" x14ac:dyDescent="0.25">
      <c r="B3314"/>
      <c r="M3314"/>
    </row>
    <row r="3315" spans="2:13" ht="15" x14ac:dyDescent="0.25">
      <c r="B3315"/>
      <c r="M3315"/>
    </row>
    <row r="3316" spans="2:13" ht="15" x14ac:dyDescent="0.25">
      <c r="B3316"/>
      <c r="M3316"/>
    </row>
    <row r="3317" spans="2:13" ht="15" x14ac:dyDescent="0.25">
      <c r="B3317"/>
      <c r="M3317"/>
    </row>
    <row r="3318" spans="2:13" ht="15" x14ac:dyDescent="0.25">
      <c r="B3318"/>
      <c r="M3318"/>
    </row>
    <row r="3319" spans="2:13" ht="15" x14ac:dyDescent="0.25">
      <c r="B3319"/>
      <c r="M3319"/>
    </row>
    <row r="3320" spans="2:13" ht="15" x14ac:dyDescent="0.25">
      <c r="B3320"/>
      <c r="M3320"/>
    </row>
    <row r="3321" spans="2:13" ht="15" x14ac:dyDescent="0.25">
      <c r="B3321"/>
      <c r="M3321"/>
    </row>
    <row r="3322" spans="2:13" ht="15" x14ac:dyDescent="0.25">
      <c r="B3322"/>
      <c r="M3322"/>
    </row>
    <row r="3323" spans="2:13" ht="15" x14ac:dyDescent="0.25">
      <c r="B3323"/>
      <c r="M3323"/>
    </row>
    <row r="3324" spans="2:13" ht="15" x14ac:dyDescent="0.25">
      <c r="B3324"/>
      <c r="M3324"/>
    </row>
    <row r="3325" spans="2:13" ht="15" x14ac:dyDescent="0.25">
      <c r="B3325"/>
      <c r="M3325"/>
    </row>
    <row r="3326" spans="2:13" ht="15" x14ac:dyDescent="0.25">
      <c r="B3326"/>
      <c r="M3326"/>
    </row>
    <row r="3327" spans="2:13" ht="15" x14ac:dyDescent="0.25">
      <c r="B3327"/>
      <c r="M3327"/>
    </row>
    <row r="3328" spans="2:13" ht="15" x14ac:dyDescent="0.25">
      <c r="B3328"/>
      <c r="M3328"/>
    </row>
    <row r="3329" spans="2:13" ht="15" x14ac:dyDescent="0.25">
      <c r="B3329"/>
      <c r="M3329"/>
    </row>
    <row r="3330" spans="2:13" ht="15" x14ac:dyDescent="0.25">
      <c r="B3330"/>
      <c r="M3330"/>
    </row>
    <row r="3331" spans="2:13" ht="15" x14ac:dyDescent="0.25">
      <c r="B3331"/>
      <c r="M3331"/>
    </row>
    <row r="3332" spans="2:13" ht="15" x14ac:dyDescent="0.25">
      <c r="B3332"/>
      <c r="M3332"/>
    </row>
    <row r="3333" spans="2:13" ht="15" x14ac:dyDescent="0.25">
      <c r="B3333"/>
      <c r="M3333"/>
    </row>
    <row r="3334" spans="2:13" ht="15" x14ac:dyDescent="0.25">
      <c r="B3334"/>
      <c r="M3334"/>
    </row>
    <row r="3335" spans="2:13" ht="15" x14ac:dyDescent="0.25">
      <c r="B3335"/>
      <c r="M3335"/>
    </row>
    <row r="3336" spans="2:13" ht="15" x14ac:dyDescent="0.25">
      <c r="B3336"/>
      <c r="M3336"/>
    </row>
    <row r="3337" spans="2:13" ht="15" x14ac:dyDescent="0.25">
      <c r="B3337"/>
      <c r="M3337"/>
    </row>
    <row r="3338" spans="2:13" ht="15" x14ac:dyDescent="0.25">
      <c r="B3338"/>
      <c r="M3338"/>
    </row>
    <row r="3339" spans="2:13" ht="15" x14ac:dyDescent="0.25">
      <c r="B3339"/>
      <c r="M3339"/>
    </row>
    <row r="3340" spans="2:13" ht="15" x14ac:dyDescent="0.25">
      <c r="B3340"/>
      <c r="M3340"/>
    </row>
    <row r="3341" spans="2:13" ht="15" x14ac:dyDescent="0.25">
      <c r="B3341"/>
      <c r="M3341"/>
    </row>
    <row r="3342" spans="2:13" ht="15" x14ac:dyDescent="0.25">
      <c r="B3342"/>
      <c r="M3342"/>
    </row>
    <row r="3343" spans="2:13" ht="15" x14ac:dyDescent="0.25">
      <c r="B3343"/>
      <c r="M3343"/>
    </row>
    <row r="3344" spans="2:13" ht="15" x14ac:dyDescent="0.25">
      <c r="B3344"/>
      <c r="M3344"/>
    </row>
    <row r="3345" spans="2:13" ht="15" x14ac:dyDescent="0.25">
      <c r="B3345"/>
      <c r="M3345"/>
    </row>
    <row r="3346" spans="2:13" ht="15" x14ac:dyDescent="0.25">
      <c r="B3346"/>
      <c r="M3346"/>
    </row>
    <row r="3347" spans="2:13" ht="15" x14ac:dyDescent="0.25">
      <c r="B3347"/>
      <c r="M3347"/>
    </row>
    <row r="3348" spans="2:13" ht="15" x14ac:dyDescent="0.25">
      <c r="B3348"/>
      <c r="M3348"/>
    </row>
    <row r="3349" spans="2:13" ht="15" x14ac:dyDescent="0.25">
      <c r="B3349"/>
      <c r="M3349"/>
    </row>
    <row r="3350" spans="2:13" ht="15" x14ac:dyDescent="0.25">
      <c r="B3350"/>
      <c r="M3350"/>
    </row>
    <row r="3351" spans="2:13" ht="15" x14ac:dyDescent="0.25">
      <c r="B3351"/>
      <c r="M3351"/>
    </row>
    <row r="3352" spans="2:13" ht="15" x14ac:dyDescent="0.25">
      <c r="B3352"/>
      <c r="M3352"/>
    </row>
    <row r="3353" spans="2:13" ht="15" x14ac:dyDescent="0.25">
      <c r="B3353"/>
      <c r="M3353"/>
    </row>
    <row r="3354" spans="2:13" ht="15" x14ac:dyDescent="0.25">
      <c r="B3354"/>
      <c r="M3354"/>
    </row>
    <row r="3355" spans="2:13" ht="15" x14ac:dyDescent="0.25">
      <c r="B3355"/>
      <c r="M3355"/>
    </row>
    <row r="3356" spans="2:13" ht="15" x14ac:dyDescent="0.25">
      <c r="B3356"/>
      <c r="M3356"/>
    </row>
    <row r="3357" spans="2:13" ht="15" x14ac:dyDescent="0.25">
      <c r="B3357"/>
      <c r="M3357"/>
    </row>
    <row r="3358" spans="2:13" ht="15" x14ac:dyDescent="0.25">
      <c r="B3358"/>
      <c r="M3358"/>
    </row>
    <row r="3359" spans="2:13" ht="15" x14ac:dyDescent="0.25">
      <c r="B3359"/>
      <c r="M3359"/>
    </row>
    <row r="3360" spans="2:13" ht="15" x14ac:dyDescent="0.25">
      <c r="B3360"/>
      <c r="M3360"/>
    </row>
    <row r="3361" spans="2:13" ht="15" x14ac:dyDescent="0.25">
      <c r="B3361"/>
      <c r="M3361"/>
    </row>
    <row r="3362" spans="2:13" ht="15" x14ac:dyDescent="0.25">
      <c r="B3362"/>
      <c r="M3362"/>
    </row>
    <row r="3363" spans="2:13" ht="15" x14ac:dyDescent="0.25">
      <c r="B3363"/>
      <c r="M3363"/>
    </row>
    <row r="3364" spans="2:13" ht="15" x14ac:dyDescent="0.25">
      <c r="B3364"/>
      <c r="M3364"/>
    </row>
    <row r="3365" spans="2:13" ht="15" x14ac:dyDescent="0.25">
      <c r="B3365"/>
      <c r="M3365"/>
    </row>
    <row r="3366" spans="2:13" ht="15" x14ac:dyDescent="0.25">
      <c r="B3366"/>
      <c r="M3366"/>
    </row>
    <row r="3367" spans="2:13" ht="15" x14ac:dyDescent="0.25">
      <c r="B3367"/>
      <c r="M3367"/>
    </row>
    <row r="3368" spans="2:13" ht="15" x14ac:dyDescent="0.25">
      <c r="B3368"/>
      <c r="M3368"/>
    </row>
    <row r="3369" spans="2:13" ht="15" x14ac:dyDescent="0.25">
      <c r="B3369"/>
      <c r="M3369"/>
    </row>
    <row r="3370" spans="2:13" ht="15" x14ac:dyDescent="0.25">
      <c r="B3370"/>
      <c r="M3370"/>
    </row>
    <row r="3371" spans="2:13" ht="15" x14ac:dyDescent="0.25">
      <c r="B3371"/>
      <c r="M3371"/>
    </row>
    <row r="3372" spans="2:13" ht="15" x14ac:dyDescent="0.25">
      <c r="B3372"/>
      <c r="M3372"/>
    </row>
    <row r="3373" spans="2:13" ht="15" x14ac:dyDescent="0.25">
      <c r="B3373"/>
      <c r="M3373"/>
    </row>
    <row r="3374" spans="2:13" ht="15" x14ac:dyDescent="0.25">
      <c r="B3374"/>
      <c r="M3374"/>
    </row>
    <row r="3375" spans="2:13" ht="15" x14ac:dyDescent="0.25">
      <c r="B3375"/>
      <c r="M3375"/>
    </row>
    <row r="3376" spans="2:13" ht="15" x14ac:dyDescent="0.25">
      <c r="B3376"/>
      <c r="M3376"/>
    </row>
    <row r="3377" spans="2:13" ht="15" x14ac:dyDescent="0.25">
      <c r="B3377"/>
      <c r="M3377"/>
    </row>
    <row r="3378" spans="2:13" ht="15" x14ac:dyDescent="0.25">
      <c r="B3378"/>
      <c r="M3378"/>
    </row>
    <row r="3379" spans="2:13" ht="15" x14ac:dyDescent="0.25">
      <c r="B3379"/>
      <c r="M3379"/>
    </row>
    <row r="3380" spans="2:13" ht="15" x14ac:dyDescent="0.25">
      <c r="B3380"/>
      <c r="M3380"/>
    </row>
    <row r="3381" spans="2:13" ht="15" x14ac:dyDescent="0.25">
      <c r="B3381"/>
      <c r="M3381"/>
    </row>
    <row r="3382" spans="2:13" ht="15" x14ac:dyDescent="0.25">
      <c r="B3382"/>
      <c r="M3382"/>
    </row>
    <row r="3383" spans="2:13" ht="15" x14ac:dyDescent="0.25">
      <c r="B3383"/>
      <c r="M3383"/>
    </row>
    <row r="3384" spans="2:13" ht="15" x14ac:dyDescent="0.25">
      <c r="B3384"/>
      <c r="M3384"/>
    </row>
    <row r="3385" spans="2:13" ht="15" x14ac:dyDescent="0.25">
      <c r="B3385"/>
      <c r="M3385"/>
    </row>
    <row r="3386" spans="2:13" ht="15" x14ac:dyDescent="0.25">
      <c r="B3386"/>
      <c r="M3386"/>
    </row>
    <row r="3387" spans="2:13" ht="15" x14ac:dyDescent="0.25">
      <c r="B3387"/>
      <c r="M3387"/>
    </row>
    <row r="3388" spans="2:13" ht="15" x14ac:dyDescent="0.25">
      <c r="B3388"/>
      <c r="M3388"/>
    </row>
    <row r="3389" spans="2:13" ht="15" x14ac:dyDescent="0.25">
      <c r="B3389"/>
      <c r="M3389"/>
    </row>
    <row r="3390" spans="2:13" ht="15" x14ac:dyDescent="0.25">
      <c r="B3390"/>
      <c r="M3390"/>
    </row>
    <row r="3391" spans="2:13" ht="15" x14ac:dyDescent="0.25">
      <c r="B3391"/>
      <c r="M3391"/>
    </row>
    <row r="3392" spans="2:13" ht="15" x14ac:dyDescent="0.25">
      <c r="B3392"/>
      <c r="M3392"/>
    </row>
    <row r="3393" spans="2:13" ht="15" x14ac:dyDescent="0.25">
      <c r="B3393"/>
      <c r="M3393"/>
    </row>
    <row r="3394" spans="2:13" ht="15" x14ac:dyDescent="0.25">
      <c r="B3394"/>
      <c r="M3394"/>
    </row>
    <row r="3395" spans="2:13" ht="15" x14ac:dyDescent="0.25">
      <c r="B3395"/>
      <c r="M3395"/>
    </row>
    <row r="3396" spans="2:13" ht="15" x14ac:dyDescent="0.25">
      <c r="B3396"/>
      <c r="M3396"/>
    </row>
    <row r="3397" spans="2:13" ht="15" x14ac:dyDescent="0.25">
      <c r="B3397"/>
      <c r="M3397"/>
    </row>
    <row r="3398" spans="2:13" ht="15" x14ac:dyDescent="0.25">
      <c r="B3398"/>
      <c r="M3398"/>
    </row>
    <row r="3399" spans="2:13" ht="15" x14ac:dyDescent="0.25">
      <c r="B3399"/>
      <c r="M3399"/>
    </row>
    <row r="3400" spans="2:13" ht="15" x14ac:dyDescent="0.25">
      <c r="B3400"/>
      <c r="M3400"/>
    </row>
    <row r="3401" spans="2:13" ht="15" x14ac:dyDescent="0.25">
      <c r="B3401"/>
      <c r="M3401"/>
    </row>
    <row r="3402" spans="2:13" ht="15" x14ac:dyDescent="0.25">
      <c r="B3402"/>
      <c r="M3402"/>
    </row>
    <row r="3403" spans="2:13" ht="15" x14ac:dyDescent="0.25">
      <c r="B3403"/>
      <c r="M3403"/>
    </row>
    <row r="3404" spans="2:13" ht="15" x14ac:dyDescent="0.25">
      <c r="B3404"/>
      <c r="M3404"/>
    </row>
    <row r="3405" spans="2:13" ht="15" x14ac:dyDescent="0.25">
      <c r="B3405"/>
      <c r="M3405"/>
    </row>
    <row r="3406" spans="2:13" ht="15" x14ac:dyDescent="0.25">
      <c r="B3406"/>
      <c r="M3406"/>
    </row>
    <row r="3407" spans="2:13" ht="15" x14ac:dyDescent="0.25">
      <c r="B3407"/>
      <c r="M3407"/>
    </row>
    <row r="3408" spans="2:13" ht="15" x14ac:dyDescent="0.25">
      <c r="B3408"/>
      <c r="M3408"/>
    </row>
    <row r="3409" spans="2:13" ht="15" x14ac:dyDescent="0.25">
      <c r="B3409"/>
      <c r="M3409"/>
    </row>
    <row r="3410" spans="2:13" ht="15" x14ac:dyDescent="0.25">
      <c r="B3410"/>
      <c r="M3410"/>
    </row>
    <row r="3411" spans="2:13" ht="15" x14ac:dyDescent="0.25">
      <c r="B3411"/>
      <c r="M3411"/>
    </row>
    <row r="3412" spans="2:13" ht="15" x14ac:dyDescent="0.25">
      <c r="B3412"/>
      <c r="M3412"/>
    </row>
    <row r="3413" spans="2:13" ht="15" x14ac:dyDescent="0.25">
      <c r="B3413"/>
      <c r="M3413"/>
    </row>
    <row r="3414" spans="2:13" ht="15" x14ac:dyDescent="0.25">
      <c r="B3414"/>
      <c r="M3414"/>
    </row>
    <row r="3415" spans="2:13" ht="15" x14ac:dyDescent="0.25">
      <c r="B3415"/>
      <c r="M3415"/>
    </row>
    <row r="3416" spans="2:13" ht="15" x14ac:dyDescent="0.25">
      <c r="B3416"/>
      <c r="M3416"/>
    </row>
    <row r="3417" spans="2:13" ht="15" x14ac:dyDescent="0.25">
      <c r="B3417"/>
      <c r="M3417"/>
    </row>
    <row r="3418" spans="2:13" ht="15" x14ac:dyDescent="0.25">
      <c r="B3418"/>
      <c r="M3418"/>
    </row>
    <row r="3419" spans="2:13" ht="15" x14ac:dyDescent="0.25">
      <c r="B3419"/>
      <c r="M3419"/>
    </row>
    <row r="3420" spans="2:13" ht="15" x14ac:dyDescent="0.25">
      <c r="B3420"/>
      <c r="M3420"/>
    </row>
    <row r="3421" spans="2:13" ht="15" x14ac:dyDescent="0.25">
      <c r="B3421"/>
      <c r="M3421"/>
    </row>
    <row r="3422" spans="2:13" ht="15" x14ac:dyDescent="0.25">
      <c r="B3422"/>
      <c r="M3422"/>
    </row>
    <row r="3423" spans="2:13" ht="15" x14ac:dyDescent="0.25">
      <c r="B3423"/>
      <c r="M3423"/>
    </row>
    <row r="3424" spans="2:13" ht="15" x14ac:dyDescent="0.25">
      <c r="B3424"/>
      <c r="M3424"/>
    </row>
    <row r="3425" spans="2:13" ht="15" x14ac:dyDescent="0.25">
      <c r="B3425"/>
      <c r="M3425"/>
    </row>
    <row r="3426" spans="2:13" ht="15" x14ac:dyDescent="0.25">
      <c r="B3426"/>
      <c r="M3426"/>
    </row>
    <row r="3427" spans="2:13" ht="15" x14ac:dyDescent="0.25">
      <c r="B3427"/>
      <c r="M3427"/>
    </row>
    <row r="3428" spans="2:13" ht="15" x14ac:dyDescent="0.25">
      <c r="B3428"/>
      <c r="M3428"/>
    </row>
    <row r="3429" spans="2:13" ht="15" x14ac:dyDescent="0.25">
      <c r="B3429"/>
      <c r="M3429"/>
    </row>
    <row r="3430" spans="2:13" ht="15" x14ac:dyDescent="0.25">
      <c r="B3430"/>
      <c r="M3430"/>
    </row>
    <row r="3431" spans="2:13" ht="15" x14ac:dyDescent="0.25">
      <c r="B3431"/>
      <c r="M3431"/>
    </row>
    <row r="3432" spans="2:13" ht="15" x14ac:dyDescent="0.25">
      <c r="B3432"/>
      <c r="M3432"/>
    </row>
    <row r="3433" spans="2:13" ht="15" x14ac:dyDescent="0.25">
      <c r="B3433"/>
      <c r="M3433"/>
    </row>
    <row r="3434" spans="2:13" ht="15" x14ac:dyDescent="0.25">
      <c r="B3434"/>
      <c r="M3434"/>
    </row>
    <row r="3435" spans="2:13" ht="15" x14ac:dyDescent="0.25">
      <c r="B3435"/>
      <c r="M3435"/>
    </row>
    <row r="3436" spans="2:13" ht="15" x14ac:dyDescent="0.25">
      <c r="B3436"/>
      <c r="M3436"/>
    </row>
    <row r="3437" spans="2:13" ht="15" x14ac:dyDescent="0.25">
      <c r="B3437"/>
      <c r="M3437"/>
    </row>
    <row r="3438" spans="2:13" ht="15" x14ac:dyDescent="0.25">
      <c r="B3438"/>
      <c r="M3438"/>
    </row>
    <row r="3439" spans="2:13" ht="15" x14ac:dyDescent="0.25">
      <c r="B3439"/>
      <c r="M3439"/>
    </row>
    <row r="3440" spans="2:13" ht="15" x14ac:dyDescent="0.25">
      <c r="B3440"/>
      <c r="M3440"/>
    </row>
    <row r="3441" spans="2:13" ht="15" x14ac:dyDescent="0.25">
      <c r="B3441"/>
      <c r="M3441"/>
    </row>
    <row r="3442" spans="2:13" ht="15" x14ac:dyDescent="0.25">
      <c r="B3442"/>
      <c r="M3442"/>
    </row>
    <row r="3443" spans="2:13" ht="15" x14ac:dyDescent="0.25">
      <c r="B3443"/>
      <c r="M3443"/>
    </row>
    <row r="3444" spans="2:13" ht="15" x14ac:dyDescent="0.25">
      <c r="B3444"/>
      <c r="M3444"/>
    </row>
    <row r="3445" spans="2:13" ht="15" x14ac:dyDescent="0.25">
      <c r="B3445"/>
      <c r="M3445"/>
    </row>
    <row r="3446" spans="2:13" ht="15" x14ac:dyDescent="0.25">
      <c r="B3446"/>
      <c r="M3446"/>
    </row>
    <row r="3447" spans="2:13" ht="15" x14ac:dyDescent="0.25">
      <c r="B3447"/>
      <c r="M3447"/>
    </row>
    <row r="3448" spans="2:13" ht="15" x14ac:dyDescent="0.25">
      <c r="B3448"/>
      <c r="M3448"/>
    </row>
    <row r="3449" spans="2:13" ht="15" x14ac:dyDescent="0.25">
      <c r="B3449"/>
      <c r="M3449"/>
    </row>
    <row r="3450" spans="2:13" ht="15" x14ac:dyDescent="0.25">
      <c r="B3450"/>
      <c r="M3450"/>
    </row>
    <row r="3451" spans="2:13" ht="15" x14ac:dyDescent="0.25">
      <c r="B3451"/>
      <c r="M3451"/>
    </row>
    <row r="3452" spans="2:13" ht="15" x14ac:dyDescent="0.25">
      <c r="B3452"/>
      <c r="M3452"/>
    </row>
    <row r="3453" spans="2:13" ht="15" x14ac:dyDescent="0.25">
      <c r="B3453"/>
      <c r="M3453"/>
    </row>
    <row r="3454" spans="2:13" ht="15" x14ac:dyDescent="0.25">
      <c r="B3454"/>
      <c r="M3454"/>
    </row>
    <row r="3455" spans="2:13" ht="15" x14ac:dyDescent="0.25">
      <c r="B3455"/>
      <c r="M3455"/>
    </row>
    <row r="3456" spans="2:13" ht="15" x14ac:dyDescent="0.25">
      <c r="B3456"/>
      <c r="M3456"/>
    </row>
    <row r="3457" spans="2:13" ht="15" x14ac:dyDescent="0.25">
      <c r="B3457"/>
      <c r="M3457"/>
    </row>
    <row r="3458" spans="2:13" ht="15" x14ac:dyDescent="0.25">
      <c r="B3458"/>
      <c r="M3458"/>
    </row>
    <row r="3459" spans="2:13" ht="15" x14ac:dyDescent="0.25">
      <c r="B3459"/>
      <c r="M3459"/>
    </row>
    <row r="3460" spans="2:13" ht="15" x14ac:dyDescent="0.25">
      <c r="B3460"/>
      <c r="M3460"/>
    </row>
    <row r="3461" spans="2:13" ht="15" x14ac:dyDescent="0.25">
      <c r="B3461"/>
      <c r="M3461"/>
    </row>
    <row r="3462" spans="2:13" ht="15" x14ac:dyDescent="0.25">
      <c r="B3462"/>
      <c r="M3462"/>
    </row>
    <row r="3463" spans="2:13" ht="15" x14ac:dyDescent="0.25">
      <c r="B3463"/>
      <c r="M3463"/>
    </row>
    <row r="3464" spans="2:13" ht="15" x14ac:dyDescent="0.25">
      <c r="B3464"/>
      <c r="M3464"/>
    </row>
    <row r="3465" spans="2:13" ht="15" x14ac:dyDescent="0.25">
      <c r="B3465"/>
      <c r="M3465"/>
    </row>
    <row r="3466" spans="2:13" ht="15" x14ac:dyDescent="0.25">
      <c r="B3466"/>
      <c r="M3466"/>
    </row>
    <row r="3467" spans="2:13" ht="15" x14ac:dyDescent="0.25">
      <c r="B3467"/>
      <c r="M3467"/>
    </row>
    <row r="3468" spans="2:13" ht="15" x14ac:dyDescent="0.25">
      <c r="B3468"/>
      <c r="M3468"/>
    </row>
    <row r="3469" spans="2:13" ht="15" x14ac:dyDescent="0.25">
      <c r="B3469"/>
      <c r="M3469"/>
    </row>
    <row r="3470" spans="2:13" ht="15" x14ac:dyDescent="0.25">
      <c r="B3470"/>
      <c r="M3470"/>
    </row>
    <row r="3471" spans="2:13" ht="15" x14ac:dyDescent="0.25">
      <c r="B3471"/>
      <c r="M3471"/>
    </row>
    <row r="3472" spans="2:13" ht="15" x14ac:dyDescent="0.25">
      <c r="B3472"/>
      <c r="M3472"/>
    </row>
    <row r="3473" spans="2:13" ht="15" x14ac:dyDescent="0.25">
      <c r="B3473"/>
      <c r="M3473"/>
    </row>
    <row r="3474" spans="2:13" ht="15" x14ac:dyDescent="0.25">
      <c r="B3474"/>
      <c r="M3474"/>
    </row>
    <row r="3475" spans="2:13" ht="15" x14ac:dyDescent="0.25">
      <c r="B3475"/>
      <c r="M3475"/>
    </row>
    <row r="3476" spans="2:13" ht="15" x14ac:dyDescent="0.25">
      <c r="B3476"/>
      <c r="M3476"/>
    </row>
    <row r="3477" spans="2:13" ht="15" x14ac:dyDescent="0.25">
      <c r="B3477"/>
      <c r="M3477"/>
    </row>
    <row r="3478" spans="2:13" ht="15" x14ac:dyDescent="0.25">
      <c r="B3478"/>
      <c r="M3478"/>
    </row>
    <row r="3479" spans="2:13" ht="15" x14ac:dyDescent="0.25">
      <c r="B3479"/>
      <c r="M3479"/>
    </row>
    <row r="3480" spans="2:13" ht="15" x14ac:dyDescent="0.25">
      <c r="B3480"/>
      <c r="M3480"/>
    </row>
    <row r="3481" spans="2:13" ht="15" x14ac:dyDescent="0.25">
      <c r="B3481"/>
      <c r="M3481"/>
    </row>
    <row r="3482" spans="2:13" ht="15" x14ac:dyDescent="0.25">
      <c r="B3482"/>
      <c r="M3482"/>
    </row>
    <row r="3483" spans="2:13" ht="15" x14ac:dyDescent="0.25">
      <c r="B3483"/>
      <c r="M3483"/>
    </row>
    <row r="3484" spans="2:13" ht="15" x14ac:dyDescent="0.25">
      <c r="B3484"/>
      <c r="M3484"/>
    </row>
    <row r="3485" spans="2:13" ht="15" x14ac:dyDescent="0.25">
      <c r="B3485"/>
      <c r="M3485"/>
    </row>
    <row r="3486" spans="2:13" ht="15" x14ac:dyDescent="0.25">
      <c r="B3486"/>
      <c r="M3486"/>
    </row>
    <row r="3487" spans="2:13" ht="15" x14ac:dyDescent="0.25">
      <c r="B3487"/>
      <c r="M3487"/>
    </row>
    <row r="3488" spans="2:13" ht="15" x14ac:dyDescent="0.25">
      <c r="B3488"/>
      <c r="M3488"/>
    </row>
    <row r="3489" spans="2:13" ht="15" x14ac:dyDescent="0.25">
      <c r="B3489"/>
      <c r="M3489"/>
    </row>
    <row r="3490" spans="2:13" ht="15" x14ac:dyDescent="0.25">
      <c r="B3490"/>
      <c r="M3490"/>
    </row>
    <row r="3491" spans="2:13" ht="15" x14ac:dyDescent="0.25">
      <c r="B3491"/>
      <c r="M3491"/>
    </row>
    <row r="3492" spans="2:13" ht="15" x14ac:dyDescent="0.25">
      <c r="B3492"/>
      <c r="M3492"/>
    </row>
    <row r="3493" spans="2:13" ht="15" x14ac:dyDescent="0.25">
      <c r="B3493"/>
      <c r="M3493"/>
    </row>
    <row r="3494" spans="2:13" ht="15" x14ac:dyDescent="0.25">
      <c r="B3494"/>
      <c r="M3494"/>
    </row>
    <row r="3495" spans="2:13" ht="15" x14ac:dyDescent="0.25">
      <c r="B3495"/>
      <c r="M3495"/>
    </row>
    <row r="3496" spans="2:13" ht="15" x14ac:dyDescent="0.25">
      <c r="B3496"/>
      <c r="M3496"/>
    </row>
    <row r="3497" spans="2:13" ht="15" x14ac:dyDescent="0.25">
      <c r="B3497"/>
      <c r="M3497"/>
    </row>
    <row r="3498" spans="2:13" ht="15" x14ac:dyDescent="0.25">
      <c r="B3498"/>
      <c r="M3498"/>
    </row>
    <row r="3499" spans="2:13" ht="15" x14ac:dyDescent="0.25">
      <c r="B3499"/>
      <c r="M3499"/>
    </row>
    <row r="3500" spans="2:13" ht="15" x14ac:dyDescent="0.25">
      <c r="B3500"/>
      <c r="M3500"/>
    </row>
    <row r="3501" spans="2:13" ht="15" x14ac:dyDescent="0.25">
      <c r="B3501"/>
      <c r="M3501"/>
    </row>
    <row r="3502" spans="2:13" ht="15" x14ac:dyDescent="0.25">
      <c r="B3502"/>
      <c r="M3502"/>
    </row>
    <row r="3503" spans="2:13" ht="15" x14ac:dyDescent="0.25">
      <c r="B3503"/>
      <c r="M3503"/>
    </row>
    <row r="3504" spans="2:13" ht="15" x14ac:dyDescent="0.25">
      <c r="B3504"/>
      <c r="M3504"/>
    </row>
    <row r="3505" spans="2:13" ht="15" x14ac:dyDescent="0.25">
      <c r="B3505"/>
      <c r="M3505"/>
    </row>
    <row r="3506" spans="2:13" ht="15" x14ac:dyDescent="0.25">
      <c r="B3506"/>
      <c r="M3506"/>
    </row>
    <row r="3507" spans="2:13" ht="15" x14ac:dyDescent="0.25">
      <c r="B3507"/>
      <c r="M3507"/>
    </row>
    <row r="3508" spans="2:13" ht="15" x14ac:dyDescent="0.25">
      <c r="B3508"/>
      <c r="M3508"/>
    </row>
    <row r="3509" spans="2:13" ht="15" x14ac:dyDescent="0.25">
      <c r="B3509"/>
      <c r="M3509"/>
    </row>
    <row r="3510" spans="2:13" ht="15" x14ac:dyDescent="0.25">
      <c r="B3510"/>
      <c r="M3510"/>
    </row>
    <row r="3511" spans="2:13" ht="15" x14ac:dyDescent="0.25">
      <c r="B3511"/>
      <c r="M3511"/>
    </row>
    <row r="3512" spans="2:13" ht="15" x14ac:dyDescent="0.25">
      <c r="B3512"/>
      <c r="M3512"/>
    </row>
    <row r="3513" spans="2:13" ht="15" x14ac:dyDescent="0.25">
      <c r="B3513"/>
      <c r="M3513"/>
    </row>
    <row r="3514" spans="2:13" ht="15" x14ac:dyDescent="0.25">
      <c r="B3514"/>
      <c r="M3514"/>
    </row>
    <row r="3515" spans="2:13" ht="15" x14ac:dyDescent="0.25">
      <c r="B3515"/>
      <c r="M3515"/>
    </row>
    <row r="3516" spans="2:13" ht="15" x14ac:dyDescent="0.25">
      <c r="B3516"/>
      <c r="M3516"/>
    </row>
    <row r="3517" spans="2:13" ht="15" x14ac:dyDescent="0.25">
      <c r="B3517"/>
      <c r="M3517"/>
    </row>
    <row r="3518" spans="2:13" ht="15" x14ac:dyDescent="0.25">
      <c r="B3518"/>
      <c r="M3518"/>
    </row>
    <row r="3519" spans="2:13" ht="15" x14ac:dyDescent="0.25">
      <c r="B3519"/>
      <c r="M3519"/>
    </row>
    <row r="3520" spans="2:13" ht="15" x14ac:dyDescent="0.25">
      <c r="B3520"/>
      <c r="M3520"/>
    </row>
    <row r="3521" spans="2:13" ht="15" x14ac:dyDescent="0.25">
      <c r="B3521"/>
      <c r="M3521"/>
    </row>
    <row r="3522" spans="2:13" ht="15" x14ac:dyDescent="0.25">
      <c r="B3522"/>
      <c r="M3522"/>
    </row>
    <row r="3523" spans="2:13" ht="15" x14ac:dyDescent="0.25">
      <c r="B3523"/>
      <c r="M3523"/>
    </row>
    <row r="3524" spans="2:13" ht="15" x14ac:dyDescent="0.25">
      <c r="B3524"/>
      <c r="M3524"/>
    </row>
    <row r="3525" spans="2:13" ht="15" x14ac:dyDescent="0.25">
      <c r="B3525"/>
      <c r="M3525"/>
    </row>
    <row r="3526" spans="2:13" ht="15" x14ac:dyDescent="0.25">
      <c r="B3526"/>
      <c r="M3526"/>
    </row>
    <row r="3527" spans="2:13" ht="15" x14ac:dyDescent="0.25">
      <c r="B3527"/>
      <c r="M3527"/>
    </row>
    <row r="3528" spans="2:13" ht="15" x14ac:dyDescent="0.25">
      <c r="B3528"/>
      <c r="M3528"/>
    </row>
    <row r="3529" spans="2:13" ht="15" x14ac:dyDescent="0.25">
      <c r="B3529"/>
      <c r="M3529"/>
    </row>
    <row r="3530" spans="2:13" ht="15" x14ac:dyDescent="0.25">
      <c r="B3530"/>
      <c r="M3530"/>
    </row>
    <row r="3531" spans="2:13" ht="15" x14ac:dyDescent="0.25">
      <c r="B3531"/>
      <c r="M3531"/>
    </row>
    <row r="3532" spans="2:13" ht="15" x14ac:dyDescent="0.25">
      <c r="B3532"/>
      <c r="M3532"/>
    </row>
    <row r="3533" spans="2:13" ht="15" x14ac:dyDescent="0.25">
      <c r="B3533"/>
      <c r="M3533"/>
    </row>
    <row r="3534" spans="2:13" ht="15" x14ac:dyDescent="0.25">
      <c r="B3534"/>
      <c r="M3534"/>
    </row>
    <row r="3535" spans="2:13" ht="15" x14ac:dyDescent="0.25">
      <c r="B3535"/>
      <c r="M3535"/>
    </row>
    <row r="3536" spans="2:13" ht="15" x14ac:dyDescent="0.25">
      <c r="B3536"/>
      <c r="M3536"/>
    </row>
    <row r="3537" spans="2:13" ht="15" x14ac:dyDescent="0.25">
      <c r="B3537"/>
      <c r="M3537"/>
    </row>
    <row r="3538" spans="2:13" ht="15" x14ac:dyDescent="0.25">
      <c r="B3538"/>
      <c r="M3538"/>
    </row>
    <row r="3539" spans="2:13" ht="15" x14ac:dyDescent="0.25">
      <c r="B3539"/>
      <c r="M3539"/>
    </row>
    <row r="3540" spans="2:13" ht="15" x14ac:dyDescent="0.25">
      <c r="B3540"/>
      <c r="M3540"/>
    </row>
    <row r="3541" spans="2:13" ht="15" x14ac:dyDescent="0.25">
      <c r="B3541"/>
      <c r="M3541"/>
    </row>
    <row r="3542" spans="2:13" ht="15" x14ac:dyDescent="0.25">
      <c r="B3542"/>
      <c r="M3542"/>
    </row>
    <row r="3543" spans="2:13" ht="15" x14ac:dyDescent="0.25">
      <c r="B3543"/>
      <c r="M3543"/>
    </row>
    <row r="3544" spans="2:13" ht="15" x14ac:dyDescent="0.25">
      <c r="B3544"/>
      <c r="M3544"/>
    </row>
    <row r="3545" spans="2:13" ht="15" x14ac:dyDescent="0.25">
      <c r="B3545"/>
      <c r="M3545"/>
    </row>
    <row r="3546" spans="2:13" ht="15" x14ac:dyDescent="0.25">
      <c r="B3546"/>
      <c r="M3546"/>
    </row>
    <row r="3547" spans="2:13" ht="15" x14ac:dyDescent="0.25">
      <c r="B3547"/>
      <c r="M3547"/>
    </row>
    <row r="3548" spans="2:13" ht="15" x14ac:dyDescent="0.25">
      <c r="B3548"/>
      <c r="M3548"/>
    </row>
    <row r="3549" spans="2:13" ht="15" x14ac:dyDescent="0.25">
      <c r="B3549"/>
      <c r="M3549"/>
    </row>
    <row r="3550" spans="2:13" ht="15" x14ac:dyDescent="0.25">
      <c r="B3550"/>
      <c r="M3550"/>
    </row>
    <row r="3551" spans="2:13" ht="15" x14ac:dyDescent="0.25">
      <c r="B3551"/>
      <c r="M3551"/>
    </row>
    <row r="3552" spans="2:13" ht="15" x14ac:dyDescent="0.25">
      <c r="B3552"/>
      <c r="M3552"/>
    </row>
    <row r="3553" spans="2:13" ht="15" x14ac:dyDescent="0.25">
      <c r="B3553"/>
      <c r="M3553"/>
    </row>
    <row r="3554" spans="2:13" ht="15" x14ac:dyDescent="0.25">
      <c r="B3554"/>
      <c r="M3554"/>
    </row>
    <row r="3555" spans="2:13" ht="15" x14ac:dyDescent="0.25">
      <c r="B3555"/>
      <c r="M3555"/>
    </row>
    <row r="3556" spans="2:13" ht="15" x14ac:dyDescent="0.25">
      <c r="B3556"/>
      <c r="M3556"/>
    </row>
    <row r="3557" spans="2:13" ht="15" x14ac:dyDescent="0.25">
      <c r="B3557"/>
      <c r="M3557"/>
    </row>
    <row r="3558" spans="2:13" ht="15" x14ac:dyDescent="0.25">
      <c r="B3558"/>
      <c r="M3558"/>
    </row>
    <row r="3559" spans="2:13" ht="15" x14ac:dyDescent="0.25">
      <c r="B3559"/>
      <c r="M3559"/>
    </row>
    <row r="3560" spans="2:13" ht="15" x14ac:dyDescent="0.25">
      <c r="B3560"/>
      <c r="M3560"/>
    </row>
    <row r="3561" spans="2:13" ht="15" x14ac:dyDescent="0.25">
      <c r="B3561"/>
      <c r="M3561"/>
    </row>
    <row r="3562" spans="2:13" ht="15" x14ac:dyDescent="0.25">
      <c r="B3562"/>
      <c r="M3562"/>
    </row>
    <row r="3563" spans="2:13" ht="15" x14ac:dyDescent="0.25">
      <c r="B3563"/>
      <c r="M3563"/>
    </row>
    <row r="3564" spans="2:13" ht="15" x14ac:dyDescent="0.25">
      <c r="B3564"/>
      <c r="M3564"/>
    </row>
    <row r="3565" spans="2:13" ht="15" x14ac:dyDescent="0.25">
      <c r="B3565"/>
      <c r="M3565"/>
    </row>
    <row r="3566" spans="2:13" ht="15" x14ac:dyDescent="0.25">
      <c r="B3566"/>
      <c r="M3566"/>
    </row>
    <row r="3567" spans="2:13" ht="15" x14ac:dyDescent="0.25">
      <c r="B3567"/>
      <c r="M3567"/>
    </row>
    <row r="3568" spans="2:13" ht="15" x14ac:dyDescent="0.25">
      <c r="B3568"/>
      <c r="M3568"/>
    </row>
    <row r="3569" spans="2:13" ht="15" x14ac:dyDescent="0.25">
      <c r="B3569"/>
      <c r="M3569"/>
    </row>
    <row r="3570" spans="2:13" ht="15" x14ac:dyDescent="0.25">
      <c r="B3570"/>
      <c r="M3570"/>
    </row>
    <row r="3571" spans="2:13" ht="15" x14ac:dyDescent="0.25">
      <c r="B3571"/>
      <c r="M3571"/>
    </row>
    <row r="3572" spans="2:13" ht="15" x14ac:dyDescent="0.25">
      <c r="B3572"/>
      <c r="M3572"/>
    </row>
    <row r="3573" spans="2:13" ht="15" x14ac:dyDescent="0.25">
      <c r="B3573"/>
      <c r="M3573"/>
    </row>
    <row r="3574" spans="2:13" ht="15" x14ac:dyDescent="0.25">
      <c r="B3574"/>
      <c r="M3574"/>
    </row>
    <row r="3575" spans="2:13" ht="15" x14ac:dyDescent="0.25">
      <c r="B3575"/>
      <c r="M3575"/>
    </row>
    <row r="3576" spans="2:13" ht="15" x14ac:dyDescent="0.25">
      <c r="B3576"/>
      <c r="M3576"/>
    </row>
    <row r="3577" spans="2:13" ht="15" x14ac:dyDescent="0.25">
      <c r="B3577"/>
      <c r="M3577"/>
    </row>
    <row r="3578" spans="2:13" ht="15" x14ac:dyDescent="0.25">
      <c r="B3578"/>
      <c r="M3578"/>
    </row>
    <row r="3579" spans="2:13" ht="15" x14ac:dyDescent="0.25">
      <c r="B3579"/>
      <c r="M3579"/>
    </row>
    <row r="3580" spans="2:13" ht="15" x14ac:dyDescent="0.25">
      <c r="B3580"/>
      <c r="M3580"/>
    </row>
    <row r="3581" spans="2:13" ht="15" x14ac:dyDescent="0.25">
      <c r="B3581"/>
      <c r="M3581"/>
    </row>
    <row r="3582" spans="2:13" ht="15" x14ac:dyDescent="0.25">
      <c r="B3582"/>
      <c r="M3582"/>
    </row>
    <row r="3583" spans="2:13" ht="15" x14ac:dyDescent="0.25">
      <c r="B3583"/>
      <c r="M3583"/>
    </row>
    <row r="3584" spans="2:13" ht="15" x14ac:dyDescent="0.25">
      <c r="B3584"/>
      <c r="M3584"/>
    </row>
    <row r="3585" spans="2:13" ht="15" x14ac:dyDescent="0.25">
      <c r="B3585"/>
      <c r="M3585"/>
    </row>
    <row r="3586" spans="2:13" ht="15" x14ac:dyDescent="0.25">
      <c r="B3586"/>
      <c r="M3586"/>
    </row>
    <row r="3587" spans="2:13" ht="15" x14ac:dyDescent="0.25">
      <c r="B3587"/>
      <c r="M3587"/>
    </row>
    <row r="3588" spans="2:13" ht="15" x14ac:dyDescent="0.25">
      <c r="B3588"/>
      <c r="M3588"/>
    </row>
    <row r="3589" spans="2:13" ht="15" x14ac:dyDescent="0.25">
      <c r="B3589"/>
      <c r="M3589"/>
    </row>
    <row r="3590" spans="2:13" ht="15" x14ac:dyDescent="0.25">
      <c r="B3590"/>
      <c r="M3590"/>
    </row>
    <row r="3591" spans="2:13" ht="15" x14ac:dyDescent="0.25">
      <c r="B3591"/>
      <c r="M3591"/>
    </row>
    <row r="3592" spans="2:13" ht="15" x14ac:dyDescent="0.25">
      <c r="B3592"/>
      <c r="M3592"/>
    </row>
    <row r="3593" spans="2:13" ht="15" x14ac:dyDescent="0.25">
      <c r="B3593"/>
      <c r="M3593"/>
    </row>
    <row r="3594" spans="2:13" ht="15" x14ac:dyDescent="0.25">
      <c r="B3594"/>
      <c r="M3594"/>
    </row>
    <row r="3595" spans="2:13" ht="15" x14ac:dyDescent="0.25">
      <c r="B3595"/>
      <c r="M3595"/>
    </row>
    <row r="3596" spans="2:13" ht="15" x14ac:dyDescent="0.25">
      <c r="B3596"/>
      <c r="M3596"/>
    </row>
    <row r="3597" spans="2:13" ht="15" x14ac:dyDescent="0.25">
      <c r="B3597"/>
      <c r="M3597"/>
    </row>
    <row r="3598" spans="2:13" ht="15" x14ac:dyDescent="0.25">
      <c r="B3598"/>
      <c r="M3598"/>
    </row>
    <row r="3599" spans="2:13" ht="15" x14ac:dyDescent="0.25">
      <c r="B3599"/>
      <c r="M3599"/>
    </row>
    <row r="3600" spans="2:13" ht="15" x14ac:dyDescent="0.25">
      <c r="B3600"/>
      <c r="M3600"/>
    </row>
    <row r="3601" spans="2:13" ht="15" x14ac:dyDescent="0.25">
      <c r="B3601"/>
      <c r="M3601"/>
    </row>
    <row r="3602" spans="2:13" ht="15" x14ac:dyDescent="0.25">
      <c r="B3602"/>
      <c r="M3602"/>
    </row>
    <row r="3603" spans="2:13" ht="15" x14ac:dyDescent="0.25">
      <c r="B3603"/>
      <c r="M3603"/>
    </row>
    <row r="3604" spans="2:13" ht="15" x14ac:dyDescent="0.25">
      <c r="B3604"/>
      <c r="M3604"/>
    </row>
    <row r="3605" spans="2:13" ht="15" x14ac:dyDescent="0.25">
      <c r="B3605"/>
      <c r="M3605"/>
    </row>
    <row r="3606" spans="2:13" ht="15" x14ac:dyDescent="0.25">
      <c r="B3606"/>
      <c r="M3606"/>
    </row>
    <row r="3607" spans="2:13" ht="15" x14ac:dyDescent="0.25">
      <c r="B3607"/>
      <c r="M3607"/>
    </row>
    <row r="3608" spans="2:13" ht="15" x14ac:dyDescent="0.25">
      <c r="B3608"/>
      <c r="M3608"/>
    </row>
    <row r="3609" spans="2:13" ht="15" x14ac:dyDescent="0.25">
      <c r="B3609"/>
      <c r="M3609"/>
    </row>
    <row r="3610" spans="2:13" ht="15" x14ac:dyDescent="0.25">
      <c r="B3610"/>
      <c r="M3610"/>
    </row>
    <row r="3611" spans="2:13" ht="15" x14ac:dyDescent="0.25">
      <c r="B3611"/>
      <c r="M3611"/>
    </row>
    <row r="3612" spans="2:13" ht="15" x14ac:dyDescent="0.25">
      <c r="B3612"/>
      <c r="M3612"/>
    </row>
    <row r="3613" spans="2:13" ht="15" x14ac:dyDescent="0.25">
      <c r="B3613"/>
      <c r="M3613"/>
    </row>
    <row r="3614" spans="2:13" ht="15" x14ac:dyDescent="0.25">
      <c r="B3614"/>
      <c r="M3614"/>
    </row>
    <row r="3615" spans="2:13" ht="15" x14ac:dyDescent="0.25">
      <c r="B3615"/>
      <c r="M3615"/>
    </row>
    <row r="3616" spans="2:13" ht="15" x14ac:dyDescent="0.25">
      <c r="B3616"/>
      <c r="M3616"/>
    </row>
    <row r="3617" spans="2:13" ht="15" x14ac:dyDescent="0.25">
      <c r="B3617"/>
      <c r="M3617"/>
    </row>
    <row r="3618" spans="2:13" ht="15" x14ac:dyDescent="0.25">
      <c r="B3618"/>
      <c r="M3618"/>
    </row>
    <row r="3619" spans="2:13" ht="15" x14ac:dyDescent="0.25">
      <c r="B3619"/>
      <c r="M3619"/>
    </row>
    <row r="3620" spans="2:13" ht="15" x14ac:dyDescent="0.25">
      <c r="B3620"/>
      <c r="M3620"/>
    </row>
    <row r="3621" spans="2:13" ht="15" x14ac:dyDescent="0.25">
      <c r="B3621"/>
      <c r="M3621"/>
    </row>
    <row r="3622" spans="2:13" ht="15" x14ac:dyDescent="0.25">
      <c r="B3622"/>
      <c r="M3622"/>
    </row>
    <row r="3623" spans="2:13" ht="15" x14ac:dyDescent="0.25">
      <c r="B3623"/>
      <c r="M3623"/>
    </row>
    <row r="3624" spans="2:13" ht="15" x14ac:dyDescent="0.25">
      <c r="B3624"/>
      <c r="M3624"/>
    </row>
    <row r="3625" spans="2:13" ht="15" x14ac:dyDescent="0.25">
      <c r="B3625"/>
      <c r="M3625"/>
    </row>
    <row r="3626" spans="2:13" ht="15" x14ac:dyDescent="0.25">
      <c r="B3626"/>
      <c r="M3626"/>
    </row>
    <row r="3627" spans="2:13" ht="15" x14ac:dyDescent="0.25">
      <c r="B3627"/>
      <c r="M3627"/>
    </row>
    <row r="3628" spans="2:13" ht="15" x14ac:dyDescent="0.25">
      <c r="B3628"/>
      <c r="M3628"/>
    </row>
    <row r="3629" spans="2:13" ht="15" x14ac:dyDescent="0.25">
      <c r="B3629"/>
      <c r="M3629"/>
    </row>
    <row r="3630" spans="2:13" ht="15" x14ac:dyDescent="0.25">
      <c r="B3630"/>
      <c r="M3630"/>
    </row>
    <row r="3631" spans="2:13" ht="15" x14ac:dyDescent="0.25">
      <c r="B3631"/>
      <c r="M3631"/>
    </row>
    <row r="3632" spans="2:13" ht="15" x14ac:dyDescent="0.25">
      <c r="B3632"/>
      <c r="M3632"/>
    </row>
    <row r="3633" spans="2:13" ht="15" x14ac:dyDescent="0.25">
      <c r="B3633"/>
      <c r="M3633"/>
    </row>
    <row r="3634" spans="2:13" ht="15" x14ac:dyDescent="0.25">
      <c r="B3634"/>
      <c r="M3634"/>
    </row>
    <row r="3635" spans="2:13" ht="15" x14ac:dyDescent="0.25">
      <c r="B3635"/>
      <c r="M3635"/>
    </row>
    <row r="3636" spans="2:13" ht="15" x14ac:dyDescent="0.25">
      <c r="B3636"/>
      <c r="M3636"/>
    </row>
    <row r="3637" spans="2:13" ht="15" x14ac:dyDescent="0.25">
      <c r="B3637"/>
      <c r="M3637"/>
    </row>
    <row r="3638" spans="2:13" ht="15" x14ac:dyDescent="0.25">
      <c r="B3638"/>
      <c r="M3638"/>
    </row>
    <row r="3639" spans="2:13" ht="15" x14ac:dyDescent="0.25">
      <c r="B3639"/>
      <c r="M3639"/>
    </row>
    <row r="3640" spans="2:13" ht="15" x14ac:dyDescent="0.25">
      <c r="B3640"/>
      <c r="M3640"/>
    </row>
    <row r="3641" spans="2:13" ht="15" x14ac:dyDescent="0.25">
      <c r="B3641"/>
      <c r="M3641"/>
    </row>
    <row r="3642" spans="2:13" ht="15" x14ac:dyDescent="0.25">
      <c r="B3642"/>
      <c r="M3642"/>
    </row>
    <row r="3643" spans="2:13" ht="15" x14ac:dyDescent="0.25">
      <c r="B3643"/>
      <c r="M3643"/>
    </row>
    <row r="3644" spans="2:13" ht="15" x14ac:dyDescent="0.25">
      <c r="B3644"/>
      <c r="M3644"/>
    </row>
    <row r="3645" spans="2:13" ht="15" x14ac:dyDescent="0.25">
      <c r="B3645"/>
      <c r="M3645"/>
    </row>
    <row r="3646" spans="2:13" ht="15" x14ac:dyDescent="0.25">
      <c r="B3646"/>
      <c r="M3646"/>
    </row>
    <row r="3647" spans="2:13" ht="15" x14ac:dyDescent="0.25">
      <c r="B3647"/>
      <c r="M3647"/>
    </row>
    <row r="3648" spans="2:13" ht="15" x14ac:dyDescent="0.25">
      <c r="B3648"/>
      <c r="M3648"/>
    </row>
    <row r="3649" spans="2:13" ht="15" x14ac:dyDescent="0.25">
      <c r="B3649"/>
      <c r="M3649"/>
    </row>
    <row r="3650" spans="2:13" ht="15" x14ac:dyDescent="0.25">
      <c r="B3650"/>
      <c r="M3650"/>
    </row>
    <row r="3651" spans="2:13" ht="15" x14ac:dyDescent="0.25">
      <c r="B3651"/>
      <c r="M3651"/>
    </row>
    <row r="3652" spans="2:13" ht="15" x14ac:dyDescent="0.25">
      <c r="B3652"/>
      <c r="M3652"/>
    </row>
    <row r="3653" spans="2:13" ht="15" x14ac:dyDescent="0.25">
      <c r="B3653"/>
      <c r="M3653"/>
    </row>
    <row r="3654" spans="2:13" ht="15" x14ac:dyDescent="0.25">
      <c r="B3654"/>
      <c r="M3654"/>
    </row>
    <row r="3655" spans="2:13" ht="15" x14ac:dyDescent="0.25">
      <c r="B3655"/>
      <c r="M3655"/>
    </row>
    <row r="3656" spans="2:13" ht="15" x14ac:dyDescent="0.25">
      <c r="B3656"/>
      <c r="M3656"/>
    </row>
    <row r="3657" spans="2:13" ht="15" x14ac:dyDescent="0.25">
      <c r="B3657"/>
      <c r="M3657"/>
    </row>
    <row r="3658" spans="2:13" ht="15" x14ac:dyDescent="0.25">
      <c r="B3658"/>
      <c r="M3658"/>
    </row>
    <row r="3659" spans="2:13" ht="15" x14ac:dyDescent="0.25">
      <c r="B3659"/>
      <c r="M3659"/>
    </row>
    <row r="3660" spans="2:13" ht="15" x14ac:dyDescent="0.25">
      <c r="B3660"/>
      <c r="M3660"/>
    </row>
    <row r="3661" spans="2:13" ht="15" x14ac:dyDescent="0.25">
      <c r="B3661"/>
      <c r="M3661"/>
    </row>
    <row r="3662" spans="2:13" ht="15" x14ac:dyDescent="0.25">
      <c r="B3662"/>
      <c r="M3662"/>
    </row>
    <row r="3663" spans="2:13" ht="15" x14ac:dyDescent="0.25">
      <c r="B3663"/>
      <c r="M3663"/>
    </row>
    <row r="3664" spans="2:13" ht="15" x14ac:dyDescent="0.25">
      <c r="B3664"/>
      <c r="M3664"/>
    </row>
    <row r="3665" spans="2:13" ht="15" x14ac:dyDescent="0.25">
      <c r="B3665"/>
      <c r="M3665"/>
    </row>
    <row r="3666" spans="2:13" ht="15" x14ac:dyDescent="0.25">
      <c r="B3666"/>
      <c r="M3666"/>
    </row>
    <row r="3667" spans="2:13" ht="15" x14ac:dyDescent="0.25">
      <c r="B3667"/>
      <c r="M3667"/>
    </row>
    <row r="3668" spans="2:13" ht="15" x14ac:dyDescent="0.25">
      <c r="B3668"/>
      <c r="M3668"/>
    </row>
    <row r="3669" spans="2:13" ht="15" x14ac:dyDescent="0.25">
      <c r="B3669"/>
      <c r="M3669"/>
    </row>
    <row r="3670" spans="2:13" ht="15" x14ac:dyDescent="0.25">
      <c r="B3670"/>
      <c r="M3670"/>
    </row>
    <row r="3671" spans="2:13" ht="15" x14ac:dyDescent="0.25">
      <c r="B3671"/>
      <c r="M3671"/>
    </row>
    <row r="3672" spans="2:13" ht="15" x14ac:dyDescent="0.25">
      <c r="B3672"/>
      <c r="M3672"/>
    </row>
    <row r="3673" spans="2:13" ht="15" x14ac:dyDescent="0.25">
      <c r="B3673"/>
      <c r="M3673"/>
    </row>
    <row r="3674" spans="2:13" ht="15" x14ac:dyDescent="0.25">
      <c r="B3674"/>
      <c r="M3674"/>
    </row>
    <row r="3675" spans="2:13" ht="15" x14ac:dyDescent="0.25">
      <c r="B3675"/>
      <c r="M3675"/>
    </row>
    <row r="3676" spans="2:13" ht="15" x14ac:dyDescent="0.25">
      <c r="B3676"/>
      <c r="M3676"/>
    </row>
    <row r="3677" spans="2:13" ht="15" x14ac:dyDescent="0.25">
      <c r="B3677"/>
      <c r="M3677"/>
    </row>
    <row r="3678" spans="2:13" ht="15" x14ac:dyDescent="0.25">
      <c r="B3678"/>
      <c r="M3678"/>
    </row>
    <row r="3679" spans="2:13" ht="15" x14ac:dyDescent="0.25">
      <c r="B3679"/>
      <c r="M3679"/>
    </row>
    <row r="3680" spans="2:13" ht="15" x14ac:dyDescent="0.25">
      <c r="B3680"/>
      <c r="M3680"/>
    </row>
    <row r="3681" spans="2:13" ht="15" x14ac:dyDescent="0.25">
      <c r="B3681"/>
      <c r="M3681"/>
    </row>
    <row r="3682" spans="2:13" ht="15" x14ac:dyDescent="0.25">
      <c r="B3682"/>
      <c r="M3682"/>
    </row>
    <row r="3683" spans="2:13" ht="15" x14ac:dyDescent="0.25">
      <c r="B3683"/>
      <c r="M3683"/>
    </row>
    <row r="3684" spans="2:13" ht="15" x14ac:dyDescent="0.25">
      <c r="B3684"/>
      <c r="M3684"/>
    </row>
    <row r="3685" spans="2:13" ht="15" x14ac:dyDescent="0.25">
      <c r="B3685"/>
      <c r="M3685"/>
    </row>
    <row r="3686" spans="2:13" ht="15" x14ac:dyDescent="0.25">
      <c r="B3686"/>
      <c r="M3686"/>
    </row>
    <row r="3687" spans="2:13" ht="15" x14ac:dyDescent="0.25">
      <c r="B3687"/>
      <c r="M3687"/>
    </row>
    <row r="3688" spans="2:13" ht="15" x14ac:dyDescent="0.25">
      <c r="B3688"/>
      <c r="M3688"/>
    </row>
    <row r="3689" spans="2:13" ht="15" x14ac:dyDescent="0.25">
      <c r="B3689"/>
      <c r="M3689"/>
    </row>
    <row r="3690" spans="2:13" ht="15" x14ac:dyDescent="0.25">
      <c r="B3690"/>
      <c r="M3690"/>
    </row>
    <row r="3691" spans="2:13" ht="15" x14ac:dyDescent="0.25">
      <c r="B3691"/>
      <c r="M3691"/>
    </row>
    <row r="3692" spans="2:13" ht="15" x14ac:dyDescent="0.25">
      <c r="B3692"/>
      <c r="M3692"/>
    </row>
    <row r="3693" spans="2:13" ht="15" x14ac:dyDescent="0.25">
      <c r="B3693"/>
      <c r="M3693"/>
    </row>
    <row r="3694" spans="2:13" ht="15" x14ac:dyDescent="0.25">
      <c r="B3694"/>
      <c r="M3694"/>
    </row>
    <row r="3695" spans="2:13" ht="15" x14ac:dyDescent="0.25">
      <c r="B3695"/>
      <c r="M3695"/>
    </row>
    <row r="3696" spans="2:13" ht="15" x14ac:dyDescent="0.25">
      <c r="B3696"/>
      <c r="M3696"/>
    </row>
    <row r="3697" spans="2:13" ht="15" x14ac:dyDescent="0.25">
      <c r="B3697"/>
      <c r="M3697"/>
    </row>
    <row r="3698" spans="2:13" ht="15" x14ac:dyDescent="0.25">
      <c r="B3698"/>
      <c r="M3698"/>
    </row>
    <row r="3699" spans="2:13" ht="15" x14ac:dyDescent="0.25">
      <c r="B3699"/>
      <c r="M3699"/>
    </row>
    <row r="3700" spans="2:13" ht="15" x14ac:dyDescent="0.25">
      <c r="B3700"/>
      <c r="M3700"/>
    </row>
    <row r="3701" spans="2:13" ht="15" x14ac:dyDescent="0.25">
      <c r="B3701"/>
      <c r="M3701"/>
    </row>
    <row r="3702" spans="2:13" ht="15" x14ac:dyDescent="0.25">
      <c r="B3702"/>
      <c r="M3702"/>
    </row>
    <row r="3703" spans="2:13" ht="15" x14ac:dyDescent="0.25">
      <c r="B3703"/>
      <c r="M3703"/>
    </row>
    <row r="3704" spans="2:13" ht="15" x14ac:dyDescent="0.25">
      <c r="B3704"/>
      <c r="M3704"/>
    </row>
    <row r="3705" spans="2:13" ht="15" x14ac:dyDescent="0.25">
      <c r="B3705"/>
      <c r="M3705"/>
    </row>
    <row r="3706" spans="2:13" ht="15" x14ac:dyDescent="0.25">
      <c r="B3706"/>
      <c r="M3706"/>
    </row>
    <row r="3707" spans="2:13" ht="15" x14ac:dyDescent="0.25">
      <c r="B3707"/>
      <c r="M3707"/>
    </row>
    <row r="3708" spans="2:13" ht="15" x14ac:dyDescent="0.25">
      <c r="B3708"/>
      <c r="M3708"/>
    </row>
    <row r="3709" spans="2:13" ht="15" x14ac:dyDescent="0.25">
      <c r="B3709"/>
      <c r="M3709"/>
    </row>
    <row r="3710" spans="2:13" ht="15" x14ac:dyDescent="0.25">
      <c r="B3710"/>
      <c r="M3710"/>
    </row>
    <row r="3711" spans="2:13" ht="15" x14ac:dyDescent="0.25">
      <c r="B3711"/>
      <c r="M3711"/>
    </row>
    <row r="3712" spans="2:13" ht="15" x14ac:dyDescent="0.25">
      <c r="B3712"/>
      <c r="M3712"/>
    </row>
    <row r="3713" spans="2:13" ht="15" x14ac:dyDescent="0.25">
      <c r="B3713"/>
      <c r="M3713"/>
    </row>
    <row r="3714" spans="2:13" ht="15" x14ac:dyDescent="0.25">
      <c r="B3714"/>
      <c r="M3714"/>
    </row>
    <row r="3715" spans="2:13" ht="15" x14ac:dyDescent="0.25">
      <c r="B3715"/>
      <c r="M3715"/>
    </row>
    <row r="3716" spans="2:13" ht="15" x14ac:dyDescent="0.25">
      <c r="B3716"/>
      <c r="M3716"/>
    </row>
    <row r="3717" spans="2:13" ht="15" x14ac:dyDescent="0.25">
      <c r="B3717"/>
      <c r="M3717"/>
    </row>
    <row r="3718" spans="2:13" ht="15" x14ac:dyDescent="0.25">
      <c r="B3718"/>
      <c r="M3718"/>
    </row>
    <row r="3719" spans="2:13" ht="15" x14ac:dyDescent="0.25">
      <c r="B3719"/>
      <c r="M3719"/>
    </row>
    <row r="3720" spans="2:13" ht="15" x14ac:dyDescent="0.25">
      <c r="B3720"/>
      <c r="M3720"/>
    </row>
    <row r="3721" spans="2:13" ht="15" x14ac:dyDescent="0.25">
      <c r="B3721"/>
      <c r="M3721"/>
    </row>
    <row r="3722" spans="2:13" ht="15" x14ac:dyDescent="0.25">
      <c r="B3722"/>
      <c r="M3722"/>
    </row>
    <row r="3723" spans="2:13" ht="15" x14ac:dyDescent="0.25">
      <c r="B3723"/>
      <c r="M3723"/>
    </row>
    <row r="3724" spans="2:13" ht="15" x14ac:dyDescent="0.25">
      <c r="B3724"/>
      <c r="M3724"/>
    </row>
    <row r="3725" spans="2:13" ht="15" x14ac:dyDescent="0.25">
      <c r="B3725"/>
      <c r="M3725"/>
    </row>
    <row r="3726" spans="2:13" ht="15" x14ac:dyDescent="0.25">
      <c r="B3726"/>
      <c r="M3726"/>
    </row>
    <row r="3727" spans="2:13" ht="15" x14ac:dyDescent="0.25">
      <c r="B3727"/>
      <c r="M3727"/>
    </row>
    <row r="3728" spans="2:13" ht="15" x14ac:dyDescent="0.25">
      <c r="B3728"/>
      <c r="M3728"/>
    </row>
    <row r="3729" spans="2:13" ht="15" x14ac:dyDescent="0.25">
      <c r="B3729"/>
      <c r="M3729"/>
    </row>
    <row r="3730" spans="2:13" ht="15" x14ac:dyDescent="0.25">
      <c r="B3730"/>
      <c r="M3730"/>
    </row>
    <row r="3731" spans="2:13" ht="15" x14ac:dyDescent="0.25">
      <c r="B3731"/>
      <c r="M3731"/>
    </row>
    <row r="3732" spans="2:13" ht="15" x14ac:dyDescent="0.25">
      <c r="B3732"/>
      <c r="M3732"/>
    </row>
    <row r="3733" spans="2:13" ht="15" x14ac:dyDescent="0.25">
      <c r="B3733"/>
      <c r="M3733"/>
    </row>
    <row r="3734" spans="2:13" ht="15" x14ac:dyDescent="0.25">
      <c r="B3734"/>
      <c r="M3734"/>
    </row>
    <row r="3735" spans="2:13" ht="15" x14ac:dyDescent="0.25">
      <c r="B3735"/>
      <c r="M3735"/>
    </row>
    <row r="3736" spans="2:13" ht="15" x14ac:dyDescent="0.25">
      <c r="B3736"/>
      <c r="M3736"/>
    </row>
    <row r="3737" spans="2:13" ht="15" x14ac:dyDescent="0.25">
      <c r="B3737"/>
      <c r="M3737"/>
    </row>
    <row r="3738" spans="2:13" ht="15" x14ac:dyDescent="0.25">
      <c r="B3738"/>
      <c r="M3738"/>
    </row>
    <row r="3739" spans="2:13" ht="15" x14ac:dyDescent="0.25">
      <c r="B3739"/>
      <c r="M3739"/>
    </row>
    <row r="3740" spans="2:13" ht="15" x14ac:dyDescent="0.25">
      <c r="B3740"/>
      <c r="M3740"/>
    </row>
    <row r="3741" spans="2:13" ht="15" x14ac:dyDescent="0.25">
      <c r="B3741"/>
      <c r="M3741"/>
    </row>
    <row r="3742" spans="2:13" ht="15" x14ac:dyDescent="0.25">
      <c r="B3742"/>
      <c r="M3742"/>
    </row>
    <row r="3743" spans="2:13" ht="15" x14ac:dyDescent="0.25">
      <c r="B3743"/>
      <c r="M3743"/>
    </row>
    <row r="3744" spans="2:13" ht="15" x14ac:dyDescent="0.25">
      <c r="B3744"/>
      <c r="M3744"/>
    </row>
    <row r="3745" spans="2:13" ht="15" x14ac:dyDescent="0.25">
      <c r="B3745"/>
      <c r="M3745"/>
    </row>
    <row r="3746" spans="2:13" ht="15" x14ac:dyDescent="0.25">
      <c r="B3746"/>
      <c r="M3746"/>
    </row>
    <row r="3747" spans="2:13" ht="15" x14ac:dyDescent="0.25">
      <c r="B3747"/>
      <c r="M3747"/>
    </row>
    <row r="3748" spans="2:13" ht="15" x14ac:dyDescent="0.25">
      <c r="B3748"/>
      <c r="M3748"/>
    </row>
    <row r="3749" spans="2:13" ht="15" x14ac:dyDescent="0.25">
      <c r="B3749"/>
      <c r="M3749"/>
    </row>
    <row r="3750" spans="2:13" ht="15" x14ac:dyDescent="0.25">
      <c r="B3750"/>
      <c r="M3750"/>
    </row>
    <row r="3751" spans="2:13" ht="15" x14ac:dyDescent="0.25">
      <c r="B3751"/>
      <c r="M3751"/>
    </row>
    <row r="3752" spans="2:13" ht="15" x14ac:dyDescent="0.25">
      <c r="B3752"/>
      <c r="M3752"/>
    </row>
    <row r="3753" spans="2:13" ht="15" x14ac:dyDescent="0.25">
      <c r="B3753"/>
      <c r="M3753"/>
    </row>
    <row r="3754" spans="2:13" ht="15" x14ac:dyDescent="0.25">
      <c r="B3754"/>
      <c r="M3754"/>
    </row>
    <row r="3755" spans="2:13" ht="15" x14ac:dyDescent="0.25">
      <c r="B3755"/>
      <c r="M3755"/>
    </row>
    <row r="3756" spans="2:13" ht="15" x14ac:dyDescent="0.25">
      <c r="B3756"/>
      <c r="M3756"/>
    </row>
    <row r="3757" spans="2:13" ht="15" x14ac:dyDescent="0.25">
      <c r="B3757"/>
      <c r="M3757"/>
    </row>
    <row r="3758" spans="2:13" ht="15" x14ac:dyDescent="0.25">
      <c r="B3758"/>
      <c r="M3758"/>
    </row>
    <row r="3759" spans="2:13" ht="15" x14ac:dyDescent="0.25">
      <c r="B3759"/>
      <c r="M3759"/>
    </row>
    <row r="3760" spans="2:13" ht="15" x14ac:dyDescent="0.25">
      <c r="B3760"/>
      <c r="M3760"/>
    </row>
    <row r="3761" spans="2:13" ht="15" x14ac:dyDescent="0.25">
      <c r="B3761"/>
      <c r="M3761"/>
    </row>
    <row r="3762" spans="2:13" ht="15" x14ac:dyDescent="0.25">
      <c r="B3762"/>
      <c r="M3762"/>
    </row>
    <row r="3763" spans="2:13" ht="15" x14ac:dyDescent="0.25">
      <c r="B3763"/>
      <c r="M3763"/>
    </row>
    <row r="3764" spans="2:13" ht="15" x14ac:dyDescent="0.25">
      <c r="B3764"/>
      <c r="M3764"/>
    </row>
    <row r="3765" spans="2:13" ht="15" x14ac:dyDescent="0.25">
      <c r="B3765"/>
      <c r="M3765"/>
    </row>
    <row r="3766" spans="2:13" ht="15" x14ac:dyDescent="0.25">
      <c r="B3766"/>
      <c r="M3766"/>
    </row>
    <row r="3767" spans="2:13" ht="15" x14ac:dyDescent="0.25">
      <c r="B3767"/>
      <c r="M3767"/>
    </row>
    <row r="3768" spans="2:13" ht="15" x14ac:dyDescent="0.25">
      <c r="B3768"/>
      <c r="M3768"/>
    </row>
    <row r="3769" spans="2:13" ht="15" x14ac:dyDescent="0.25">
      <c r="B3769"/>
      <c r="M3769"/>
    </row>
    <row r="3770" spans="2:13" ht="15" x14ac:dyDescent="0.25">
      <c r="B3770"/>
      <c r="M3770"/>
    </row>
    <row r="3771" spans="2:13" ht="15" x14ac:dyDescent="0.25">
      <c r="B3771"/>
      <c r="M3771"/>
    </row>
    <row r="3772" spans="2:13" ht="15" x14ac:dyDescent="0.25">
      <c r="B3772"/>
      <c r="M3772"/>
    </row>
    <row r="3773" spans="2:13" ht="15" x14ac:dyDescent="0.25">
      <c r="B3773"/>
      <c r="M3773"/>
    </row>
    <row r="3774" spans="2:13" ht="15" x14ac:dyDescent="0.25">
      <c r="B3774"/>
      <c r="M3774"/>
    </row>
    <row r="3775" spans="2:13" ht="15" x14ac:dyDescent="0.25">
      <c r="B3775"/>
      <c r="M3775"/>
    </row>
    <row r="3776" spans="2:13" ht="15" x14ac:dyDescent="0.25">
      <c r="B3776"/>
      <c r="M3776"/>
    </row>
    <row r="3777" spans="2:13" ht="15" x14ac:dyDescent="0.25">
      <c r="B3777"/>
      <c r="M3777"/>
    </row>
    <row r="3778" spans="2:13" ht="15" x14ac:dyDescent="0.25">
      <c r="B3778"/>
      <c r="M3778"/>
    </row>
    <row r="3779" spans="2:13" ht="15" x14ac:dyDescent="0.25">
      <c r="B3779"/>
      <c r="M3779"/>
    </row>
    <row r="3780" spans="2:13" ht="15" x14ac:dyDescent="0.25">
      <c r="B3780"/>
      <c r="M3780"/>
    </row>
    <row r="3781" spans="2:13" ht="15" x14ac:dyDescent="0.25">
      <c r="B3781"/>
      <c r="M3781"/>
    </row>
    <row r="3782" spans="2:13" ht="15" x14ac:dyDescent="0.25">
      <c r="B3782"/>
      <c r="M3782"/>
    </row>
    <row r="3783" spans="2:13" ht="15" x14ac:dyDescent="0.25">
      <c r="B3783"/>
      <c r="M3783"/>
    </row>
    <row r="3784" spans="2:13" ht="15" x14ac:dyDescent="0.25">
      <c r="B3784"/>
      <c r="M3784"/>
    </row>
    <row r="3785" spans="2:13" ht="15" x14ac:dyDescent="0.25">
      <c r="B3785"/>
      <c r="M3785"/>
    </row>
    <row r="3786" spans="2:13" ht="15" x14ac:dyDescent="0.25">
      <c r="B3786"/>
      <c r="M3786"/>
    </row>
    <row r="3787" spans="2:13" ht="15" x14ac:dyDescent="0.25">
      <c r="B3787"/>
      <c r="M3787"/>
    </row>
    <row r="3788" spans="2:13" ht="15" x14ac:dyDescent="0.25">
      <c r="B3788"/>
      <c r="M3788"/>
    </row>
    <row r="3789" spans="2:13" ht="15" x14ac:dyDescent="0.25">
      <c r="B3789"/>
      <c r="M3789"/>
    </row>
    <row r="3790" spans="2:13" ht="15" x14ac:dyDescent="0.25">
      <c r="B3790"/>
      <c r="M3790"/>
    </row>
    <row r="3791" spans="2:13" ht="15" x14ac:dyDescent="0.25">
      <c r="B3791"/>
      <c r="M3791"/>
    </row>
    <row r="3792" spans="2:13" ht="15" x14ac:dyDescent="0.25">
      <c r="B3792"/>
      <c r="M3792"/>
    </row>
    <row r="3793" spans="2:13" ht="15" x14ac:dyDescent="0.25">
      <c r="B3793"/>
      <c r="M3793"/>
    </row>
    <row r="3794" spans="2:13" ht="15" x14ac:dyDescent="0.25">
      <c r="B3794"/>
      <c r="M3794"/>
    </row>
    <row r="3795" spans="2:13" ht="15" x14ac:dyDescent="0.25">
      <c r="B3795"/>
      <c r="M3795"/>
    </row>
    <row r="3796" spans="2:13" ht="15" x14ac:dyDescent="0.25">
      <c r="B3796"/>
      <c r="M3796"/>
    </row>
    <row r="3797" spans="2:13" ht="15" x14ac:dyDescent="0.25">
      <c r="B3797"/>
      <c r="M3797"/>
    </row>
    <row r="3798" spans="2:13" ht="15" x14ac:dyDescent="0.25">
      <c r="B3798"/>
      <c r="M3798"/>
    </row>
    <row r="3799" spans="2:13" ht="15" x14ac:dyDescent="0.25">
      <c r="B3799"/>
      <c r="M3799"/>
    </row>
    <row r="3800" spans="2:13" ht="15" x14ac:dyDescent="0.25">
      <c r="B3800"/>
      <c r="M3800"/>
    </row>
    <row r="3801" spans="2:13" ht="15" x14ac:dyDescent="0.25">
      <c r="B3801"/>
      <c r="M3801"/>
    </row>
    <row r="3802" spans="2:13" ht="15" x14ac:dyDescent="0.25">
      <c r="B3802"/>
      <c r="M3802"/>
    </row>
    <row r="3803" spans="2:13" ht="15" x14ac:dyDescent="0.25">
      <c r="B3803"/>
      <c r="M3803"/>
    </row>
    <row r="3804" spans="2:13" ht="15" x14ac:dyDescent="0.25">
      <c r="B3804"/>
      <c r="M3804"/>
    </row>
    <row r="3805" spans="2:13" ht="15" x14ac:dyDescent="0.25">
      <c r="B3805"/>
      <c r="M3805"/>
    </row>
    <row r="3806" spans="2:13" ht="15" x14ac:dyDescent="0.25">
      <c r="B3806"/>
      <c r="M3806"/>
    </row>
    <row r="3807" spans="2:13" ht="15" x14ac:dyDescent="0.25">
      <c r="B3807"/>
      <c r="M3807"/>
    </row>
    <row r="3808" spans="2:13" ht="15" x14ac:dyDescent="0.25">
      <c r="B3808"/>
      <c r="M3808"/>
    </row>
    <row r="3809" spans="2:13" ht="15" x14ac:dyDescent="0.25">
      <c r="B3809"/>
      <c r="M3809"/>
    </row>
    <row r="3810" spans="2:13" ht="15" x14ac:dyDescent="0.25">
      <c r="B3810"/>
      <c r="M3810"/>
    </row>
    <row r="3811" spans="2:13" ht="15" x14ac:dyDescent="0.25">
      <c r="B3811"/>
      <c r="M3811"/>
    </row>
    <row r="3812" spans="2:13" ht="15" x14ac:dyDescent="0.25">
      <c r="B3812"/>
      <c r="M3812"/>
    </row>
    <row r="3813" spans="2:13" ht="15" x14ac:dyDescent="0.25">
      <c r="B3813"/>
      <c r="M3813"/>
    </row>
    <row r="3814" spans="2:13" ht="15" x14ac:dyDescent="0.25">
      <c r="B3814"/>
      <c r="M3814"/>
    </row>
    <row r="3815" spans="2:13" ht="15" x14ac:dyDescent="0.25">
      <c r="B3815"/>
      <c r="M3815"/>
    </row>
    <row r="3816" spans="2:13" ht="15" x14ac:dyDescent="0.25">
      <c r="B3816"/>
      <c r="M3816"/>
    </row>
    <row r="3817" spans="2:13" ht="15" x14ac:dyDescent="0.25">
      <c r="B3817"/>
      <c r="M3817"/>
    </row>
    <row r="3818" spans="2:13" ht="15" x14ac:dyDescent="0.25">
      <c r="B3818"/>
      <c r="M3818"/>
    </row>
    <row r="3819" spans="2:13" ht="15" x14ac:dyDescent="0.25">
      <c r="B3819"/>
      <c r="M3819"/>
    </row>
    <row r="3820" spans="2:13" ht="15" x14ac:dyDescent="0.25">
      <c r="B3820"/>
      <c r="M3820"/>
    </row>
    <row r="3821" spans="2:13" ht="15" x14ac:dyDescent="0.25">
      <c r="B3821"/>
      <c r="M3821"/>
    </row>
    <row r="3822" spans="2:13" ht="15" x14ac:dyDescent="0.25">
      <c r="B3822"/>
      <c r="M3822"/>
    </row>
    <row r="3823" spans="2:13" ht="15" x14ac:dyDescent="0.25">
      <c r="B3823"/>
      <c r="M3823"/>
    </row>
    <row r="3824" spans="2:13" ht="15" x14ac:dyDescent="0.25">
      <c r="B3824"/>
      <c r="M3824"/>
    </row>
    <row r="3825" spans="2:13" ht="15" x14ac:dyDescent="0.25">
      <c r="B3825"/>
      <c r="M3825"/>
    </row>
    <row r="3826" spans="2:13" ht="15" x14ac:dyDescent="0.25">
      <c r="B3826"/>
      <c r="M3826"/>
    </row>
    <row r="3827" spans="2:13" ht="15" x14ac:dyDescent="0.25">
      <c r="B3827"/>
      <c r="M3827"/>
    </row>
    <row r="3828" spans="2:13" ht="15" x14ac:dyDescent="0.25">
      <c r="B3828"/>
      <c r="M3828"/>
    </row>
    <row r="3829" spans="2:13" ht="15" x14ac:dyDescent="0.25">
      <c r="B3829"/>
      <c r="M3829"/>
    </row>
    <row r="3830" spans="2:13" ht="15" x14ac:dyDescent="0.25">
      <c r="B3830"/>
      <c r="M3830"/>
    </row>
    <row r="3831" spans="2:13" ht="15" x14ac:dyDescent="0.25">
      <c r="B3831"/>
      <c r="M3831"/>
    </row>
    <row r="3832" spans="2:13" ht="15" x14ac:dyDescent="0.25">
      <c r="B3832"/>
      <c r="M3832"/>
    </row>
    <row r="3833" spans="2:13" ht="15" x14ac:dyDescent="0.25">
      <c r="B3833"/>
      <c r="M3833"/>
    </row>
    <row r="3834" spans="2:13" ht="15" x14ac:dyDescent="0.25">
      <c r="B3834"/>
      <c r="M3834"/>
    </row>
    <row r="3835" spans="2:13" ht="15" x14ac:dyDescent="0.25">
      <c r="B3835"/>
      <c r="M3835"/>
    </row>
    <row r="3836" spans="2:13" ht="15" x14ac:dyDescent="0.25">
      <c r="B3836"/>
      <c r="M3836"/>
    </row>
    <row r="3837" spans="2:13" ht="15" x14ac:dyDescent="0.25">
      <c r="B3837"/>
      <c r="M3837"/>
    </row>
    <row r="3838" spans="2:13" ht="15" x14ac:dyDescent="0.25">
      <c r="B3838"/>
      <c r="M3838"/>
    </row>
    <row r="3839" spans="2:13" ht="15" x14ac:dyDescent="0.25">
      <c r="B3839"/>
      <c r="M3839"/>
    </row>
    <row r="3840" spans="2:13" ht="15" x14ac:dyDescent="0.25">
      <c r="B3840"/>
      <c r="M3840"/>
    </row>
    <row r="3841" spans="2:13" ht="15" x14ac:dyDescent="0.25">
      <c r="B3841"/>
      <c r="M3841"/>
    </row>
    <row r="3842" spans="2:13" ht="15" x14ac:dyDescent="0.25">
      <c r="B3842"/>
      <c r="M3842"/>
    </row>
    <row r="3843" spans="2:13" ht="15" x14ac:dyDescent="0.25">
      <c r="B3843"/>
      <c r="M3843"/>
    </row>
    <row r="3844" spans="2:13" ht="15" x14ac:dyDescent="0.25">
      <c r="B3844"/>
      <c r="M3844"/>
    </row>
    <row r="3845" spans="2:13" ht="15" x14ac:dyDescent="0.25">
      <c r="B3845"/>
      <c r="M3845"/>
    </row>
    <row r="3846" spans="2:13" ht="15" x14ac:dyDescent="0.25">
      <c r="B3846"/>
      <c r="M3846"/>
    </row>
    <row r="3847" spans="2:13" ht="15" x14ac:dyDescent="0.25">
      <c r="B3847"/>
      <c r="M3847"/>
    </row>
    <row r="3848" spans="2:13" ht="15" x14ac:dyDescent="0.25">
      <c r="B3848"/>
      <c r="M3848"/>
    </row>
    <row r="3849" spans="2:13" ht="15" x14ac:dyDescent="0.25">
      <c r="B3849"/>
      <c r="M3849"/>
    </row>
    <row r="3850" spans="2:13" ht="15" x14ac:dyDescent="0.25">
      <c r="B3850"/>
      <c r="M3850"/>
    </row>
    <row r="3851" spans="2:13" ht="15" x14ac:dyDescent="0.25">
      <c r="B3851"/>
      <c r="M3851"/>
    </row>
    <row r="3852" spans="2:13" ht="15" x14ac:dyDescent="0.25">
      <c r="B3852"/>
      <c r="M3852"/>
    </row>
    <row r="3853" spans="2:13" ht="15" x14ac:dyDescent="0.25">
      <c r="B3853"/>
      <c r="M3853"/>
    </row>
    <row r="3854" spans="2:13" ht="15" x14ac:dyDescent="0.25">
      <c r="B3854"/>
      <c r="M3854"/>
    </row>
    <row r="3855" spans="2:13" ht="15" x14ac:dyDescent="0.25">
      <c r="B3855"/>
      <c r="M3855"/>
    </row>
    <row r="3856" spans="2:13" ht="15" x14ac:dyDescent="0.25">
      <c r="B3856"/>
      <c r="M3856"/>
    </row>
    <row r="3857" spans="2:13" ht="15" x14ac:dyDescent="0.25">
      <c r="B3857"/>
      <c r="M3857"/>
    </row>
    <row r="3858" spans="2:13" ht="15" x14ac:dyDescent="0.25">
      <c r="B3858"/>
      <c r="M3858"/>
    </row>
    <row r="3859" spans="2:13" ht="15" x14ac:dyDescent="0.25">
      <c r="B3859"/>
      <c r="M3859"/>
    </row>
    <row r="3860" spans="2:13" ht="15" x14ac:dyDescent="0.25">
      <c r="B3860"/>
      <c r="M3860"/>
    </row>
    <row r="3861" spans="2:13" ht="15" x14ac:dyDescent="0.25">
      <c r="B3861"/>
      <c r="M3861"/>
    </row>
    <row r="3862" spans="2:13" ht="15" x14ac:dyDescent="0.25">
      <c r="B3862"/>
      <c r="M3862"/>
    </row>
    <row r="3863" spans="2:13" ht="15" x14ac:dyDescent="0.25">
      <c r="B3863"/>
      <c r="M3863"/>
    </row>
    <row r="3864" spans="2:13" ht="15" x14ac:dyDescent="0.25">
      <c r="B3864"/>
      <c r="M3864"/>
    </row>
    <row r="3865" spans="2:13" ht="15" x14ac:dyDescent="0.25">
      <c r="B3865"/>
      <c r="M3865"/>
    </row>
    <row r="3866" spans="2:13" ht="15" x14ac:dyDescent="0.25">
      <c r="B3866"/>
      <c r="M3866"/>
    </row>
    <row r="3867" spans="2:13" ht="15" x14ac:dyDescent="0.25">
      <c r="B3867"/>
      <c r="M3867"/>
    </row>
    <row r="3868" spans="2:13" ht="15" x14ac:dyDescent="0.25">
      <c r="B3868"/>
      <c r="M3868"/>
    </row>
    <row r="3869" spans="2:13" ht="15" x14ac:dyDescent="0.25">
      <c r="B3869"/>
      <c r="M3869"/>
    </row>
    <row r="3870" spans="2:13" ht="15" x14ac:dyDescent="0.25">
      <c r="B3870"/>
      <c r="M3870"/>
    </row>
    <row r="3871" spans="2:13" ht="15" x14ac:dyDescent="0.25">
      <c r="B3871"/>
      <c r="M3871"/>
    </row>
    <row r="3872" spans="2:13" ht="15" x14ac:dyDescent="0.25">
      <c r="B3872"/>
      <c r="M3872"/>
    </row>
    <row r="3873" spans="2:13" ht="15" x14ac:dyDescent="0.25">
      <c r="B3873"/>
      <c r="M3873"/>
    </row>
    <row r="3874" spans="2:13" ht="15" x14ac:dyDescent="0.25">
      <c r="B3874"/>
      <c r="M3874"/>
    </row>
    <row r="3875" spans="2:13" ht="15" x14ac:dyDescent="0.25">
      <c r="B3875"/>
      <c r="M3875"/>
    </row>
    <row r="3876" spans="2:13" ht="15" x14ac:dyDescent="0.25">
      <c r="B3876"/>
      <c r="M3876"/>
    </row>
    <row r="3877" spans="2:13" ht="15" x14ac:dyDescent="0.25">
      <c r="B3877"/>
      <c r="M3877"/>
    </row>
    <row r="3878" spans="2:13" ht="15" x14ac:dyDescent="0.25">
      <c r="B3878"/>
      <c r="M3878"/>
    </row>
    <row r="3879" spans="2:13" ht="15" x14ac:dyDescent="0.25">
      <c r="B3879"/>
      <c r="M3879"/>
    </row>
    <row r="3880" spans="2:13" ht="15" x14ac:dyDescent="0.25">
      <c r="B3880"/>
      <c r="M3880"/>
    </row>
    <row r="3881" spans="2:13" ht="15" x14ac:dyDescent="0.25">
      <c r="B3881"/>
      <c r="M3881"/>
    </row>
    <row r="3882" spans="2:13" ht="15" x14ac:dyDescent="0.25">
      <c r="B3882"/>
      <c r="M3882"/>
    </row>
    <row r="3883" spans="2:13" ht="15" x14ac:dyDescent="0.25">
      <c r="B3883"/>
      <c r="M3883"/>
    </row>
    <row r="3884" spans="2:13" ht="15" x14ac:dyDescent="0.25">
      <c r="B3884"/>
      <c r="M3884"/>
    </row>
    <row r="3885" spans="2:13" ht="15" x14ac:dyDescent="0.25">
      <c r="B3885"/>
      <c r="M3885"/>
    </row>
    <row r="3886" spans="2:13" ht="15" x14ac:dyDescent="0.25">
      <c r="B3886"/>
      <c r="M3886"/>
    </row>
    <row r="3887" spans="2:13" ht="15" x14ac:dyDescent="0.25">
      <c r="B3887"/>
      <c r="M3887"/>
    </row>
    <row r="3888" spans="2:13" ht="15" x14ac:dyDescent="0.25">
      <c r="B3888"/>
      <c r="M3888"/>
    </row>
    <row r="3889" spans="2:13" ht="15" x14ac:dyDescent="0.25">
      <c r="B3889"/>
      <c r="M3889"/>
    </row>
    <row r="3890" spans="2:13" ht="15" x14ac:dyDescent="0.25">
      <c r="B3890"/>
      <c r="M3890"/>
    </row>
    <row r="3891" spans="2:13" ht="15" x14ac:dyDescent="0.25">
      <c r="B3891"/>
      <c r="M3891"/>
    </row>
    <row r="3892" spans="2:13" ht="15" x14ac:dyDescent="0.25">
      <c r="B3892"/>
      <c r="M3892"/>
    </row>
    <row r="3893" spans="2:13" ht="15" x14ac:dyDescent="0.25">
      <c r="B3893"/>
      <c r="M3893"/>
    </row>
    <row r="3894" spans="2:13" ht="15" x14ac:dyDescent="0.25">
      <c r="B3894"/>
      <c r="M3894"/>
    </row>
    <row r="3895" spans="2:13" ht="15" x14ac:dyDescent="0.25">
      <c r="B3895"/>
      <c r="M3895"/>
    </row>
    <row r="3896" spans="2:13" ht="15" x14ac:dyDescent="0.25">
      <c r="B3896"/>
      <c r="M3896"/>
    </row>
    <row r="3897" spans="2:13" ht="15" x14ac:dyDescent="0.25">
      <c r="B3897"/>
      <c r="M3897"/>
    </row>
    <row r="3898" spans="2:13" ht="15" x14ac:dyDescent="0.25">
      <c r="B3898"/>
      <c r="M3898"/>
    </row>
    <row r="3899" spans="2:13" ht="15" x14ac:dyDescent="0.25">
      <c r="B3899"/>
      <c r="M3899"/>
    </row>
    <row r="3900" spans="2:13" ht="15" x14ac:dyDescent="0.25">
      <c r="B3900"/>
      <c r="M3900"/>
    </row>
    <row r="3901" spans="2:13" ht="15" x14ac:dyDescent="0.25">
      <c r="B3901"/>
      <c r="M3901"/>
    </row>
    <row r="3902" spans="2:13" ht="15" x14ac:dyDescent="0.25">
      <c r="B3902"/>
      <c r="M3902"/>
    </row>
    <row r="3903" spans="2:13" ht="15" x14ac:dyDescent="0.25">
      <c r="B3903"/>
      <c r="M3903"/>
    </row>
    <row r="3904" spans="2:13" ht="15" x14ac:dyDescent="0.25">
      <c r="B3904"/>
      <c r="M3904"/>
    </row>
    <row r="3905" spans="2:13" ht="15" x14ac:dyDescent="0.25">
      <c r="B3905"/>
      <c r="M3905"/>
    </row>
    <row r="3906" spans="2:13" ht="15" x14ac:dyDescent="0.25">
      <c r="B3906"/>
      <c r="M3906"/>
    </row>
    <row r="3907" spans="2:13" ht="15" x14ac:dyDescent="0.25">
      <c r="B3907"/>
      <c r="M3907"/>
    </row>
    <row r="3908" spans="2:13" ht="15" x14ac:dyDescent="0.25">
      <c r="B3908"/>
      <c r="M3908"/>
    </row>
    <row r="3909" spans="2:13" ht="15" x14ac:dyDescent="0.25">
      <c r="B3909"/>
      <c r="M3909"/>
    </row>
    <row r="3910" spans="2:13" ht="15" x14ac:dyDescent="0.25">
      <c r="B3910"/>
      <c r="M3910"/>
    </row>
    <row r="3911" spans="2:13" ht="15" x14ac:dyDescent="0.25">
      <c r="B3911"/>
      <c r="M3911"/>
    </row>
    <row r="3912" spans="2:13" ht="15" x14ac:dyDescent="0.25">
      <c r="B3912"/>
      <c r="M3912"/>
    </row>
    <row r="3913" spans="2:13" ht="15" x14ac:dyDescent="0.25">
      <c r="B3913"/>
      <c r="M3913"/>
    </row>
    <row r="3914" spans="2:13" ht="15" x14ac:dyDescent="0.25">
      <c r="B3914"/>
      <c r="M3914"/>
    </row>
    <row r="3915" spans="2:13" ht="15" x14ac:dyDescent="0.25">
      <c r="B3915"/>
      <c r="M3915"/>
    </row>
    <row r="3916" spans="2:13" ht="15" x14ac:dyDescent="0.25">
      <c r="B3916"/>
      <c r="M3916"/>
    </row>
    <row r="3917" spans="2:13" ht="15" x14ac:dyDescent="0.25">
      <c r="B3917"/>
      <c r="M3917"/>
    </row>
    <row r="3918" spans="2:13" ht="15" x14ac:dyDescent="0.25">
      <c r="B3918"/>
      <c r="M3918"/>
    </row>
    <row r="3919" spans="2:13" ht="15" x14ac:dyDescent="0.25">
      <c r="B3919"/>
      <c r="M3919"/>
    </row>
    <row r="3920" spans="2:13" ht="15" x14ac:dyDescent="0.25">
      <c r="B3920"/>
      <c r="M3920"/>
    </row>
    <row r="3921" spans="2:13" ht="15" x14ac:dyDescent="0.25">
      <c r="B3921"/>
      <c r="M3921"/>
    </row>
    <row r="3922" spans="2:13" ht="15" x14ac:dyDescent="0.25">
      <c r="B3922"/>
      <c r="M3922"/>
    </row>
    <row r="3923" spans="2:13" ht="15" x14ac:dyDescent="0.25">
      <c r="B3923"/>
      <c r="M3923"/>
    </row>
    <row r="3924" spans="2:13" ht="15" x14ac:dyDescent="0.25">
      <c r="B3924"/>
      <c r="M3924"/>
    </row>
    <row r="3925" spans="2:13" ht="15" x14ac:dyDescent="0.25">
      <c r="B3925"/>
      <c r="M3925"/>
    </row>
    <row r="3926" spans="2:13" ht="15" x14ac:dyDescent="0.25">
      <c r="B3926"/>
      <c r="M3926"/>
    </row>
    <row r="3927" spans="2:13" ht="15" x14ac:dyDescent="0.25">
      <c r="B3927"/>
      <c r="M3927"/>
    </row>
    <row r="3928" spans="2:13" ht="15" x14ac:dyDescent="0.25">
      <c r="B3928"/>
      <c r="M3928"/>
    </row>
    <row r="3929" spans="2:13" ht="15" x14ac:dyDescent="0.25">
      <c r="B3929"/>
      <c r="M3929"/>
    </row>
    <row r="3930" spans="2:13" ht="15" x14ac:dyDescent="0.25">
      <c r="B3930"/>
      <c r="M3930"/>
    </row>
    <row r="3931" spans="2:13" ht="15" x14ac:dyDescent="0.25">
      <c r="B3931"/>
      <c r="M3931"/>
    </row>
    <row r="3932" spans="2:13" ht="15" x14ac:dyDescent="0.25">
      <c r="B3932"/>
      <c r="M3932"/>
    </row>
    <row r="3933" spans="2:13" ht="15" x14ac:dyDescent="0.25">
      <c r="B3933"/>
      <c r="M3933"/>
    </row>
    <row r="3934" spans="2:13" ht="15" x14ac:dyDescent="0.25">
      <c r="B3934"/>
      <c r="M3934"/>
    </row>
    <row r="3935" spans="2:13" ht="15" x14ac:dyDescent="0.25">
      <c r="B3935"/>
      <c r="M3935"/>
    </row>
    <row r="3936" spans="2:13" ht="15" x14ac:dyDescent="0.25">
      <c r="B3936"/>
      <c r="M3936"/>
    </row>
    <row r="3937" spans="2:13" ht="15" x14ac:dyDescent="0.25">
      <c r="B3937"/>
      <c r="M3937"/>
    </row>
    <row r="3938" spans="2:13" ht="15" x14ac:dyDescent="0.25">
      <c r="B3938"/>
      <c r="M3938"/>
    </row>
    <row r="3939" spans="2:13" ht="15" x14ac:dyDescent="0.25">
      <c r="B3939"/>
      <c r="M3939"/>
    </row>
    <row r="3940" spans="2:13" ht="15" x14ac:dyDescent="0.25">
      <c r="B3940"/>
      <c r="M3940"/>
    </row>
    <row r="3941" spans="2:13" ht="15" x14ac:dyDescent="0.25">
      <c r="B3941"/>
      <c r="M3941"/>
    </row>
    <row r="3942" spans="2:13" ht="15" x14ac:dyDescent="0.25">
      <c r="B3942"/>
      <c r="M3942"/>
    </row>
    <row r="3943" spans="2:13" ht="15" x14ac:dyDescent="0.25">
      <c r="B3943"/>
      <c r="M3943"/>
    </row>
    <row r="3944" spans="2:13" ht="15" x14ac:dyDescent="0.25">
      <c r="B3944"/>
      <c r="M3944"/>
    </row>
    <row r="3945" spans="2:13" ht="15" x14ac:dyDescent="0.25">
      <c r="B3945"/>
      <c r="M3945"/>
    </row>
    <row r="3946" spans="2:13" ht="15" x14ac:dyDescent="0.25">
      <c r="B3946"/>
      <c r="M3946"/>
    </row>
    <row r="3947" spans="2:13" ht="15" x14ac:dyDescent="0.25">
      <c r="B3947"/>
      <c r="M3947"/>
    </row>
    <row r="3948" spans="2:13" ht="15" x14ac:dyDescent="0.25">
      <c r="B3948"/>
      <c r="M3948"/>
    </row>
    <row r="3949" spans="2:13" ht="15" x14ac:dyDescent="0.25">
      <c r="B3949"/>
      <c r="M3949"/>
    </row>
    <row r="3950" spans="2:13" ht="15" x14ac:dyDescent="0.25">
      <c r="B3950"/>
      <c r="M3950"/>
    </row>
    <row r="3951" spans="2:13" ht="15" x14ac:dyDescent="0.25">
      <c r="B3951"/>
      <c r="M3951"/>
    </row>
    <row r="3952" spans="2:13" ht="15" x14ac:dyDescent="0.25">
      <c r="B3952"/>
      <c r="M3952"/>
    </row>
    <row r="3953" spans="2:13" ht="15" x14ac:dyDescent="0.25">
      <c r="B3953"/>
      <c r="M3953"/>
    </row>
    <row r="3954" spans="2:13" ht="15" x14ac:dyDescent="0.25">
      <c r="B3954"/>
      <c r="M3954"/>
    </row>
    <row r="3955" spans="2:13" ht="15" x14ac:dyDescent="0.25">
      <c r="B3955"/>
      <c r="M3955"/>
    </row>
    <row r="3956" spans="2:13" ht="15" x14ac:dyDescent="0.25">
      <c r="B3956"/>
      <c r="M3956"/>
    </row>
    <row r="3957" spans="2:13" ht="15" x14ac:dyDescent="0.25">
      <c r="B3957"/>
      <c r="M3957"/>
    </row>
    <row r="3958" spans="2:13" ht="15" x14ac:dyDescent="0.25">
      <c r="B3958"/>
      <c r="M3958"/>
    </row>
    <row r="3959" spans="2:13" ht="15" x14ac:dyDescent="0.25">
      <c r="B3959"/>
      <c r="M3959"/>
    </row>
    <row r="3960" spans="2:13" ht="15" x14ac:dyDescent="0.25">
      <c r="B3960"/>
      <c r="M3960"/>
    </row>
    <row r="3961" spans="2:13" ht="15" x14ac:dyDescent="0.25">
      <c r="B3961"/>
      <c r="M3961"/>
    </row>
    <row r="3962" spans="2:13" ht="15" x14ac:dyDescent="0.25">
      <c r="B3962"/>
      <c r="M3962"/>
    </row>
    <row r="3963" spans="2:13" ht="15" x14ac:dyDescent="0.25">
      <c r="B3963"/>
      <c r="M3963"/>
    </row>
    <row r="3964" spans="2:13" ht="15" x14ac:dyDescent="0.25">
      <c r="B3964"/>
      <c r="M3964"/>
    </row>
    <row r="3965" spans="2:13" ht="15" x14ac:dyDescent="0.25">
      <c r="B3965"/>
      <c r="M3965"/>
    </row>
    <row r="3966" spans="2:13" ht="15" x14ac:dyDescent="0.25">
      <c r="B3966"/>
      <c r="M3966"/>
    </row>
    <row r="3967" spans="2:13" ht="15" x14ac:dyDescent="0.25">
      <c r="B3967"/>
      <c r="M3967"/>
    </row>
    <row r="3968" spans="2:13" ht="15" x14ac:dyDescent="0.25">
      <c r="B3968"/>
      <c r="M3968"/>
    </row>
    <row r="3969" spans="2:13" ht="15" x14ac:dyDescent="0.25">
      <c r="B3969"/>
      <c r="M3969"/>
    </row>
    <row r="3970" spans="2:13" ht="15" x14ac:dyDescent="0.25">
      <c r="B3970"/>
      <c r="M3970"/>
    </row>
    <row r="3971" spans="2:13" ht="15" x14ac:dyDescent="0.25">
      <c r="B3971"/>
      <c r="M3971"/>
    </row>
    <row r="3972" spans="2:13" ht="15" x14ac:dyDescent="0.25">
      <c r="B3972"/>
      <c r="M3972"/>
    </row>
    <row r="3973" spans="2:13" ht="15" x14ac:dyDescent="0.25">
      <c r="B3973"/>
      <c r="M3973"/>
    </row>
    <row r="3974" spans="2:13" ht="15" x14ac:dyDescent="0.25">
      <c r="B3974"/>
      <c r="M3974"/>
    </row>
    <row r="3975" spans="2:13" ht="15" x14ac:dyDescent="0.25">
      <c r="B3975"/>
      <c r="M3975"/>
    </row>
    <row r="3976" spans="2:13" ht="15" x14ac:dyDescent="0.25">
      <c r="B3976"/>
      <c r="M3976"/>
    </row>
    <row r="3977" spans="2:13" ht="15" x14ac:dyDescent="0.25">
      <c r="B3977"/>
      <c r="M3977"/>
    </row>
    <row r="3978" spans="2:13" ht="15" x14ac:dyDescent="0.25">
      <c r="B3978"/>
      <c r="M3978"/>
    </row>
    <row r="3979" spans="2:13" ht="15" x14ac:dyDescent="0.25">
      <c r="B3979"/>
      <c r="M3979"/>
    </row>
    <row r="3980" spans="2:13" ht="15" x14ac:dyDescent="0.25">
      <c r="B3980"/>
      <c r="M3980"/>
    </row>
    <row r="3981" spans="2:13" ht="15" x14ac:dyDescent="0.25">
      <c r="B3981"/>
      <c r="M3981"/>
    </row>
    <row r="3982" spans="2:13" ht="15" x14ac:dyDescent="0.25">
      <c r="B3982"/>
      <c r="M3982"/>
    </row>
    <row r="3983" spans="2:13" ht="15" x14ac:dyDescent="0.25">
      <c r="B3983"/>
      <c r="M3983"/>
    </row>
    <row r="3984" spans="2:13" ht="15" x14ac:dyDescent="0.25">
      <c r="B3984"/>
      <c r="M3984"/>
    </row>
    <row r="3985" spans="2:13" ht="15" x14ac:dyDescent="0.25">
      <c r="B3985"/>
      <c r="M3985"/>
    </row>
    <row r="3986" spans="2:13" ht="15" x14ac:dyDescent="0.25">
      <c r="B3986"/>
      <c r="M3986"/>
    </row>
    <row r="3987" spans="2:13" ht="15" x14ac:dyDescent="0.25">
      <c r="B3987"/>
      <c r="M3987"/>
    </row>
    <row r="3988" spans="2:13" ht="15" x14ac:dyDescent="0.25">
      <c r="B3988"/>
      <c r="M3988"/>
    </row>
    <row r="3989" spans="2:13" ht="15" x14ac:dyDescent="0.25">
      <c r="B3989"/>
      <c r="M3989"/>
    </row>
    <row r="3990" spans="2:13" ht="15" x14ac:dyDescent="0.25">
      <c r="B3990"/>
      <c r="M3990"/>
    </row>
    <row r="3991" spans="2:13" ht="15" x14ac:dyDescent="0.25">
      <c r="B3991"/>
      <c r="M3991"/>
    </row>
    <row r="3992" spans="2:13" ht="15" x14ac:dyDescent="0.25">
      <c r="B3992"/>
      <c r="M3992"/>
    </row>
    <row r="3993" spans="2:13" ht="15" x14ac:dyDescent="0.25">
      <c r="B3993"/>
      <c r="M3993"/>
    </row>
    <row r="3994" spans="2:13" ht="15" x14ac:dyDescent="0.25">
      <c r="B3994"/>
      <c r="M3994"/>
    </row>
    <row r="3995" spans="2:13" ht="15" x14ac:dyDescent="0.25">
      <c r="B3995"/>
      <c r="M3995"/>
    </row>
    <row r="3996" spans="2:13" ht="15" x14ac:dyDescent="0.25">
      <c r="B3996"/>
      <c r="M3996"/>
    </row>
    <row r="3997" spans="2:13" ht="15" x14ac:dyDescent="0.25">
      <c r="B3997"/>
      <c r="M3997"/>
    </row>
    <row r="3998" spans="2:13" ht="15" x14ac:dyDescent="0.25">
      <c r="B3998"/>
      <c r="M3998"/>
    </row>
    <row r="3999" spans="2:13" ht="15" x14ac:dyDescent="0.25">
      <c r="B3999"/>
      <c r="M3999"/>
    </row>
    <row r="4000" spans="2:13" ht="15" x14ac:dyDescent="0.25">
      <c r="B4000"/>
      <c r="M4000"/>
    </row>
    <row r="4001" spans="2:13" ht="15" x14ac:dyDescent="0.25">
      <c r="B4001"/>
      <c r="M4001"/>
    </row>
    <row r="4002" spans="2:13" ht="15" x14ac:dyDescent="0.25">
      <c r="B4002"/>
      <c r="M4002"/>
    </row>
    <row r="4003" spans="2:13" ht="15" x14ac:dyDescent="0.25">
      <c r="B4003"/>
      <c r="M4003"/>
    </row>
    <row r="4004" spans="2:13" ht="15" x14ac:dyDescent="0.25">
      <c r="B4004"/>
      <c r="M4004"/>
    </row>
    <row r="4005" spans="2:13" ht="15" x14ac:dyDescent="0.25">
      <c r="B4005"/>
      <c r="M4005"/>
    </row>
    <row r="4006" spans="2:13" ht="15" x14ac:dyDescent="0.25">
      <c r="B4006"/>
      <c r="M4006"/>
    </row>
    <row r="4007" spans="2:13" ht="15" x14ac:dyDescent="0.25">
      <c r="B4007"/>
      <c r="M4007"/>
    </row>
    <row r="4008" spans="2:13" ht="15" x14ac:dyDescent="0.25">
      <c r="B4008"/>
      <c r="M4008"/>
    </row>
    <row r="4009" spans="2:13" ht="15" x14ac:dyDescent="0.25">
      <c r="B4009"/>
      <c r="M4009"/>
    </row>
    <row r="4010" spans="2:13" ht="15" x14ac:dyDescent="0.25">
      <c r="B4010"/>
      <c r="M4010"/>
    </row>
    <row r="4011" spans="2:13" ht="15" x14ac:dyDescent="0.25">
      <c r="B4011"/>
      <c r="M4011"/>
    </row>
    <row r="4012" spans="2:13" ht="15" x14ac:dyDescent="0.25">
      <c r="B4012"/>
      <c r="M4012"/>
    </row>
    <row r="4013" spans="2:13" ht="15" x14ac:dyDescent="0.25">
      <c r="B4013"/>
      <c r="M4013"/>
    </row>
    <row r="4014" spans="2:13" ht="15" x14ac:dyDescent="0.25">
      <c r="B4014"/>
      <c r="M4014"/>
    </row>
    <row r="4015" spans="2:13" ht="15" x14ac:dyDescent="0.25">
      <c r="B4015"/>
      <c r="M4015"/>
    </row>
    <row r="4016" spans="2:13" ht="15" x14ac:dyDescent="0.25">
      <c r="B4016"/>
      <c r="M4016"/>
    </row>
    <row r="4017" spans="2:13" ht="15" x14ac:dyDescent="0.25">
      <c r="B4017"/>
      <c r="M4017"/>
    </row>
    <row r="4018" spans="2:13" ht="15" x14ac:dyDescent="0.25">
      <c r="B4018"/>
      <c r="M4018"/>
    </row>
    <row r="4019" spans="2:13" ht="15" x14ac:dyDescent="0.25">
      <c r="B4019"/>
      <c r="M4019"/>
    </row>
    <row r="4020" spans="2:13" ht="15" x14ac:dyDescent="0.25">
      <c r="B4020"/>
      <c r="M4020"/>
    </row>
    <row r="4021" spans="2:13" ht="15" x14ac:dyDescent="0.25">
      <c r="B4021"/>
      <c r="M4021"/>
    </row>
    <row r="4022" spans="2:13" ht="15" x14ac:dyDescent="0.25">
      <c r="B4022"/>
      <c r="M4022"/>
    </row>
    <row r="4023" spans="2:13" ht="15" x14ac:dyDescent="0.25">
      <c r="B4023"/>
      <c r="M4023"/>
    </row>
    <row r="4024" spans="2:13" ht="15" x14ac:dyDescent="0.25">
      <c r="B4024"/>
      <c r="M4024"/>
    </row>
    <row r="4025" spans="2:13" ht="15" x14ac:dyDescent="0.25">
      <c r="B4025"/>
      <c r="M4025"/>
    </row>
    <row r="4026" spans="2:13" ht="15" x14ac:dyDescent="0.25">
      <c r="B4026"/>
      <c r="M4026"/>
    </row>
    <row r="4027" spans="2:13" ht="15" x14ac:dyDescent="0.25">
      <c r="B4027"/>
      <c r="M4027"/>
    </row>
    <row r="4028" spans="2:13" ht="15" x14ac:dyDescent="0.25">
      <c r="B4028"/>
      <c r="M4028"/>
    </row>
    <row r="4029" spans="2:13" ht="15" x14ac:dyDescent="0.25">
      <c r="B4029"/>
      <c r="M4029"/>
    </row>
    <row r="4030" spans="2:13" ht="15" x14ac:dyDescent="0.25">
      <c r="B4030"/>
      <c r="M4030"/>
    </row>
    <row r="4031" spans="2:13" ht="15" x14ac:dyDescent="0.25">
      <c r="B4031"/>
      <c r="M4031"/>
    </row>
    <row r="4032" spans="2:13" ht="15" x14ac:dyDescent="0.25">
      <c r="B4032"/>
      <c r="M4032"/>
    </row>
    <row r="4033" spans="2:13" ht="15" x14ac:dyDescent="0.25">
      <c r="B4033"/>
      <c r="M4033"/>
    </row>
    <row r="4034" spans="2:13" ht="15" x14ac:dyDescent="0.25">
      <c r="B4034"/>
      <c r="M4034"/>
    </row>
    <row r="4035" spans="2:13" ht="15" x14ac:dyDescent="0.25">
      <c r="B4035"/>
      <c r="M4035"/>
    </row>
    <row r="4036" spans="2:13" ht="15" x14ac:dyDescent="0.25">
      <c r="B4036"/>
      <c r="M4036"/>
    </row>
    <row r="4037" spans="2:13" ht="15" x14ac:dyDescent="0.25">
      <c r="B4037"/>
      <c r="M4037"/>
    </row>
    <row r="4038" spans="2:13" ht="15" x14ac:dyDescent="0.25">
      <c r="B4038"/>
      <c r="M4038"/>
    </row>
    <row r="4039" spans="2:13" ht="15" x14ac:dyDescent="0.25">
      <c r="B4039"/>
      <c r="M4039"/>
    </row>
    <row r="4040" spans="2:13" ht="15" x14ac:dyDescent="0.25">
      <c r="B4040"/>
      <c r="M4040"/>
    </row>
    <row r="4041" spans="2:13" ht="15" x14ac:dyDescent="0.25">
      <c r="B4041"/>
      <c r="M4041"/>
    </row>
    <row r="4042" spans="2:13" ht="15" x14ac:dyDescent="0.25">
      <c r="B4042"/>
      <c r="M4042"/>
    </row>
    <row r="4043" spans="2:13" ht="15" x14ac:dyDescent="0.25">
      <c r="B4043"/>
      <c r="M4043"/>
    </row>
    <row r="4044" spans="2:13" ht="15" x14ac:dyDescent="0.25">
      <c r="B4044"/>
      <c r="M4044"/>
    </row>
    <row r="4045" spans="2:13" ht="15" x14ac:dyDescent="0.25">
      <c r="B4045"/>
      <c r="M4045"/>
    </row>
    <row r="4046" spans="2:13" ht="15" x14ac:dyDescent="0.25">
      <c r="B4046"/>
      <c r="M4046"/>
    </row>
    <row r="4047" spans="2:13" ht="15" x14ac:dyDescent="0.25">
      <c r="B4047"/>
      <c r="M4047"/>
    </row>
    <row r="4048" spans="2:13" ht="15" x14ac:dyDescent="0.25">
      <c r="B4048"/>
      <c r="M4048"/>
    </row>
    <row r="4049" spans="2:13" ht="15" x14ac:dyDescent="0.25">
      <c r="B4049"/>
      <c r="M4049"/>
    </row>
    <row r="4050" spans="2:13" ht="15" x14ac:dyDescent="0.25">
      <c r="B4050"/>
      <c r="M4050"/>
    </row>
    <row r="4051" spans="2:13" ht="15" x14ac:dyDescent="0.25">
      <c r="B4051"/>
      <c r="M4051"/>
    </row>
    <row r="4052" spans="2:13" ht="15" x14ac:dyDescent="0.25">
      <c r="B4052"/>
      <c r="M4052"/>
    </row>
    <row r="4053" spans="2:13" ht="15" x14ac:dyDescent="0.25">
      <c r="B4053"/>
      <c r="M4053"/>
    </row>
    <row r="4054" spans="2:13" ht="15" x14ac:dyDescent="0.25">
      <c r="B4054"/>
      <c r="M4054"/>
    </row>
    <row r="4055" spans="2:13" ht="15" x14ac:dyDescent="0.25">
      <c r="B4055"/>
      <c r="M4055"/>
    </row>
    <row r="4056" spans="2:13" ht="15" x14ac:dyDescent="0.25">
      <c r="B4056"/>
      <c r="M4056"/>
    </row>
    <row r="4057" spans="2:13" ht="15" x14ac:dyDescent="0.25">
      <c r="B4057"/>
      <c r="M4057"/>
    </row>
    <row r="4058" spans="2:13" ht="15" x14ac:dyDescent="0.25">
      <c r="B4058"/>
      <c r="M4058"/>
    </row>
    <row r="4059" spans="2:13" ht="15" x14ac:dyDescent="0.25">
      <c r="B4059"/>
      <c r="M4059"/>
    </row>
    <row r="4060" spans="2:13" ht="15" x14ac:dyDescent="0.25">
      <c r="B4060"/>
      <c r="M4060"/>
    </row>
    <row r="4061" spans="2:13" ht="15" x14ac:dyDescent="0.25">
      <c r="B4061"/>
      <c r="M4061"/>
    </row>
    <row r="4062" spans="2:13" ht="15" x14ac:dyDescent="0.25">
      <c r="B4062"/>
      <c r="M4062"/>
    </row>
    <row r="4063" spans="2:13" ht="15" x14ac:dyDescent="0.25">
      <c r="B4063"/>
      <c r="M4063"/>
    </row>
    <row r="4064" spans="2:13" ht="15" x14ac:dyDescent="0.25">
      <c r="B4064"/>
      <c r="M4064"/>
    </row>
    <row r="4065" spans="2:13" ht="15" x14ac:dyDescent="0.25">
      <c r="B4065"/>
      <c r="M4065"/>
    </row>
    <row r="4066" spans="2:13" ht="15" x14ac:dyDescent="0.25">
      <c r="B4066"/>
      <c r="M4066"/>
    </row>
    <row r="4067" spans="2:13" ht="15" x14ac:dyDescent="0.25">
      <c r="B4067"/>
      <c r="M4067"/>
    </row>
    <row r="4068" spans="2:13" ht="15" x14ac:dyDescent="0.25">
      <c r="B4068"/>
      <c r="M4068"/>
    </row>
    <row r="4069" spans="2:13" ht="15" x14ac:dyDescent="0.25">
      <c r="B4069"/>
      <c r="M4069"/>
    </row>
    <row r="4070" spans="2:13" ht="15" x14ac:dyDescent="0.25">
      <c r="B4070"/>
      <c r="M4070"/>
    </row>
    <row r="4071" spans="2:13" ht="15" x14ac:dyDescent="0.25">
      <c r="B4071"/>
      <c r="M4071"/>
    </row>
    <row r="4072" spans="2:13" ht="15" x14ac:dyDescent="0.25">
      <c r="B4072"/>
      <c r="M4072"/>
    </row>
    <row r="4073" spans="2:13" ht="15" x14ac:dyDescent="0.25">
      <c r="B4073"/>
      <c r="M4073"/>
    </row>
    <row r="4074" spans="2:13" ht="15" x14ac:dyDescent="0.25">
      <c r="B4074"/>
      <c r="M4074"/>
    </row>
    <row r="4075" spans="2:13" ht="15" x14ac:dyDescent="0.25">
      <c r="B4075"/>
      <c r="M4075"/>
    </row>
    <row r="4076" spans="2:13" ht="15" x14ac:dyDescent="0.25">
      <c r="B4076"/>
      <c r="M4076"/>
    </row>
    <row r="4077" spans="2:13" ht="15" x14ac:dyDescent="0.25">
      <c r="B4077"/>
      <c r="M4077"/>
    </row>
    <row r="4078" spans="2:13" ht="15" x14ac:dyDescent="0.25">
      <c r="B4078"/>
      <c r="M4078"/>
    </row>
    <row r="4079" spans="2:13" ht="15" x14ac:dyDescent="0.25">
      <c r="B4079"/>
      <c r="M4079"/>
    </row>
    <row r="4080" spans="2:13" ht="15" x14ac:dyDescent="0.25">
      <c r="B4080"/>
      <c r="M4080"/>
    </row>
    <row r="4081" spans="2:13" ht="15" x14ac:dyDescent="0.25">
      <c r="B4081"/>
      <c r="M4081"/>
    </row>
    <row r="4082" spans="2:13" ht="15" x14ac:dyDescent="0.25">
      <c r="B4082"/>
      <c r="M4082"/>
    </row>
    <row r="4083" spans="2:13" ht="15" x14ac:dyDescent="0.25">
      <c r="B4083"/>
      <c r="M4083"/>
    </row>
    <row r="4084" spans="2:13" ht="15" x14ac:dyDescent="0.25">
      <c r="B4084"/>
      <c r="M4084"/>
    </row>
    <row r="4085" spans="2:13" ht="15" x14ac:dyDescent="0.25">
      <c r="B4085"/>
      <c r="M4085"/>
    </row>
    <row r="4086" spans="2:13" ht="15" x14ac:dyDescent="0.25">
      <c r="B4086"/>
      <c r="M4086"/>
    </row>
    <row r="4087" spans="2:13" ht="15" x14ac:dyDescent="0.25">
      <c r="B4087"/>
      <c r="M4087"/>
    </row>
    <row r="4088" spans="2:13" ht="15" x14ac:dyDescent="0.25">
      <c r="B4088"/>
      <c r="M4088"/>
    </row>
    <row r="4089" spans="2:13" ht="15" x14ac:dyDescent="0.25">
      <c r="B4089"/>
      <c r="M4089"/>
    </row>
    <row r="4090" spans="2:13" ht="15" x14ac:dyDescent="0.25">
      <c r="B4090"/>
      <c r="M4090"/>
    </row>
    <row r="4091" spans="2:13" ht="15" x14ac:dyDescent="0.25">
      <c r="B4091"/>
      <c r="M4091"/>
    </row>
    <row r="4092" spans="2:13" ht="15" x14ac:dyDescent="0.25">
      <c r="B4092"/>
      <c r="M4092"/>
    </row>
    <row r="4093" spans="2:13" ht="15" x14ac:dyDescent="0.25">
      <c r="B4093"/>
      <c r="M4093"/>
    </row>
    <row r="4094" spans="2:13" ht="15" x14ac:dyDescent="0.25">
      <c r="B4094"/>
      <c r="M4094"/>
    </row>
    <row r="4095" spans="2:13" ht="15" x14ac:dyDescent="0.25">
      <c r="B4095"/>
      <c r="M4095"/>
    </row>
    <row r="4096" spans="2:13" ht="15" x14ac:dyDescent="0.25">
      <c r="B4096"/>
      <c r="M4096"/>
    </row>
    <row r="4097" spans="2:13" ht="15" x14ac:dyDescent="0.25">
      <c r="B4097"/>
      <c r="M4097"/>
    </row>
    <row r="4098" spans="2:13" ht="15" x14ac:dyDescent="0.25">
      <c r="B4098"/>
      <c r="M4098"/>
    </row>
    <row r="4099" spans="2:13" ht="15" x14ac:dyDescent="0.25">
      <c r="B4099"/>
      <c r="M4099"/>
    </row>
    <row r="4100" spans="2:13" ht="15" x14ac:dyDescent="0.25">
      <c r="B4100"/>
      <c r="M4100"/>
    </row>
    <row r="4101" spans="2:13" ht="15" x14ac:dyDescent="0.25">
      <c r="B4101"/>
      <c r="M4101"/>
    </row>
    <row r="4102" spans="2:13" ht="15" x14ac:dyDescent="0.25">
      <c r="B4102"/>
      <c r="M4102"/>
    </row>
    <row r="4103" spans="2:13" ht="15" x14ac:dyDescent="0.25">
      <c r="B4103"/>
      <c r="M4103"/>
    </row>
    <row r="4104" spans="2:13" ht="15" x14ac:dyDescent="0.25">
      <c r="B4104"/>
      <c r="M4104"/>
    </row>
    <row r="4105" spans="2:13" ht="15" x14ac:dyDescent="0.25">
      <c r="B4105"/>
      <c r="M4105"/>
    </row>
    <row r="4106" spans="2:13" ht="15" x14ac:dyDescent="0.25">
      <c r="B4106"/>
      <c r="M4106"/>
    </row>
    <row r="4107" spans="2:13" ht="15" x14ac:dyDescent="0.25">
      <c r="B4107"/>
      <c r="M4107"/>
    </row>
    <row r="4108" spans="2:13" ht="15" x14ac:dyDescent="0.25">
      <c r="B4108"/>
      <c r="M4108"/>
    </row>
    <row r="4109" spans="2:13" ht="15" x14ac:dyDescent="0.25">
      <c r="B4109"/>
      <c r="M4109"/>
    </row>
    <row r="4110" spans="2:13" ht="15" x14ac:dyDescent="0.25">
      <c r="B4110"/>
      <c r="M4110"/>
    </row>
    <row r="4111" spans="2:13" ht="15" x14ac:dyDescent="0.25">
      <c r="B4111"/>
      <c r="M4111"/>
    </row>
    <row r="4112" spans="2:13" ht="15" x14ac:dyDescent="0.25">
      <c r="B4112"/>
      <c r="M4112"/>
    </row>
    <row r="4113" spans="2:13" ht="15" x14ac:dyDescent="0.25">
      <c r="B4113"/>
      <c r="M4113"/>
    </row>
    <row r="4114" spans="2:13" ht="15" x14ac:dyDescent="0.25">
      <c r="B4114"/>
      <c r="M4114"/>
    </row>
    <row r="4115" spans="2:13" ht="15" x14ac:dyDescent="0.25">
      <c r="B4115"/>
      <c r="M4115"/>
    </row>
    <row r="4116" spans="2:13" ht="15" x14ac:dyDescent="0.25">
      <c r="B4116"/>
      <c r="M4116"/>
    </row>
    <row r="4117" spans="2:13" ht="15" x14ac:dyDescent="0.25">
      <c r="B4117"/>
      <c r="M4117"/>
    </row>
    <row r="4118" spans="2:13" ht="15" x14ac:dyDescent="0.25">
      <c r="B4118"/>
      <c r="M4118"/>
    </row>
    <row r="4119" spans="2:13" ht="15" x14ac:dyDescent="0.25">
      <c r="B4119"/>
      <c r="M4119"/>
    </row>
    <row r="4120" spans="2:13" ht="15" x14ac:dyDescent="0.25">
      <c r="B4120"/>
      <c r="M4120"/>
    </row>
    <row r="4121" spans="2:13" ht="15" x14ac:dyDescent="0.25">
      <c r="B4121"/>
      <c r="M4121"/>
    </row>
    <row r="4122" spans="2:13" ht="15" x14ac:dyDescent="0.25">
      <c r="B4122"/>
      <c r="M4122"/>
    </row>
    <row r="4123" spans="2:13" ht="15" x14ac:dyDescent="0.25">
      <c r="B4123"/>
      <c r="M4123"/>
    </row>
    <row r="4124" spans="2:13" ht="15" x14ac:dyDescent="0.25">
      <c r="B4124"/>
      <c r="M4124"/>
    </row>
    <row r="4125" spans="2:13" ht="15" x14ac:dyDescent="0.25">
      <c r="B4125"/>
      <c r="M4125"/>
    </row>
    <row r="4126" spans="2:13" ht="15" x14ac:dyDescent="0.25">
      <c r="B4126"/>
      <c r="M4126"/>
    </row>
    <row r="4127" spans="2:13" ht="15" x14ac:dyDescent="0.25">
      <c r="B4127"/>
      <c r="M4127"/>
    </row>
    <row r="4128" spans="2:13" ht="15" x14ac:dyDescent="0.25">
      <c r="B4128"/>
      <c r="M4128"/>
    </row>
    <row r="4129" spans="2:13" ht="15" x14ac:dyDescent="0.25">
      <c r="B4129"/>
      <c r="M4129"/>
    </row>
    <row r="4130" spans="2:13" ht="15" x14ac:dyDescent="0.25">
      <c r="B4130"/>
      <c r="M4130"/>
    </row>
    <row r="4131" spans="2:13" ht="15" x14ac:dyDescent="0.25">
      <c r="B4131"/>
      <c r="M4131"/>
    </row>
    <row r="4132" spans="2:13" ht="15" x14ac:dyDescent="0.25">
      <c r="B4132"/>
      <c r="M4132"/>
    </row>
    <row r="4133" spans="2:13" ht="15" x14ac:dyDescent="0.25">
      <c r="B4133"/>
      <c r="M4133"/>
    </row>
    <row r="4134" spans="2:13" ht="15" x14ac:dyDescent="0.25">
      <c r="B4134"/>
      <c r="M4134"/>
    </row>
    <row r="4135" spans="2:13" ht="15" x14ac:dyDescent="0.25">
      <c r="B4135"/>
      <c r="M4135"/>
    </row>
    <row r="4136" spans="2:13" ht="15" x14ac:dyDescent="0.25">
      <c r="B4136"/>
      <c r="M4136"/>
    </row>
    <row r="4137" spans="2:13" ht="15" x14ac:dyDescent="0.25">
      <c r="B4137"/>
      <c r="M4137"/>
    </row>
    <row r="4138" spans="2:13" ht="15" x14ac:dyDescent="0.25">
      <c r="B4138"/>
      <c r="M4138"/>
    </row>
    <row r="4139" spans="2:13" ht="15" x14ac:dyDescent="0.25">
      <c r="B4139"/>
      <c r="M4139"/>
    </row>
    <row r="4140" spans="2:13" ht="15" x14ac:dyDescent="0.25">
      <c r="B4140"/>
      <c r="M4140"/>
    </row>
    <row r="4141" spans="2:13" ht="15" x14ac:dyDescent="0.25">
      <c r="B4141"/>
      <c r="M4141"/>
    </row>
    <row r="4142" spans="2:13" ht="15" x14ac:dyDescent="0.25">
      <c r="B4142"/>
      <c r="M4142"/>
    </row>
    <row r="4143" spans="2:13" ht="15" x14ac:dyDescent="0.25">
      <c r="B4143"/>
      <c r="M4143"/>
    </row>
    <row r="4144" spans="2:13" ht="15" x14ac:dyDescent="0.25">
      <c r="B4144"/>
      <c r="M4144"/>
    </row>
    <row r="4145" spans="2:13" ht="15" x14ac:dyDescent="0.25">
      <c r="B4145"/>
      <c r="M4145"/>
    </row>
    <row r="4146" spans="2:13" ht="15" x14ac:dyDescent="0.25">
      <c r="B4146"/>
      <c r="M4146"/>
    </row>
    <row r="4147" spans="2:13" ht="15" x14ac:dyDescent="0.25">
      <c r="B4147"/>
      <c r="M4147"/>
    </row>
    <row r="4148" spans="2:13" ht="15" x14ac:dyDescent="0.25">
      <c r="B4148"/>
      <c r="M4148"/>
    </row>
    <row r="4149" spans="2:13" ht="15" x14ac:dyDescent="0.25">
      <c r="B4149"/>
      <c r="M4149"/>
    </row>
    <row r="4150" spans="2:13" ht="15" x14ac:dyDescent="0.25">
      <c r="B4150"/>
      <c r="M4150"/>
    </row>
    <row r="4151" spans="2:13" ht="15" x14ac:dyDescent="0.25">
      <c r="B4151"/>
      <c r="M4151"/>
    </row>
    <row r="4152" spans="2:13" ht="15" x14ac:dyDescent="0.25">
      <c r="B4152"/>
      <c r="M4152"/>
    </row>
    <row r="4153" spans="2:13" ht="15" x14ac:dyDescent="0.25">
      <c r="B4153"/>
      <c r="M4153"/>
    </row>
    <row r="4154" spans="2:13" ht="15" x14ac:dyDescent="0.25">
      <c r="B4154"/>
      <c r="M4154"/>
    </row>
    <row r="4155" spans="2:13" ht="15" x14ac:dyDescent="0.25">
      <c r="B4155"/>
      <c r="M4155"/>
    </row>
    <row r="4156" spans="2:13" ht="15" x14ac:dyDescent="0.25">
      <c r="B4156"/>
      <c r="M4156"/>
    </row>
    <row r="4157" spans="2:13" ht="15" x14ac:dyDescent="0.25">
      <c r="B4157"/>
      <c r="M4157"/>
    </row>
    <row r="4158" spans="2:13" ht="15" x14ac:dyDescent="0.25">
      <c r="B4158"/>
      <c r="M4158"/>
    </row>
    <row r="4159" spans="2:13" ht="15" x14ac:dyDescent="0.25">
      <c r="B4159"/>
      <c r="M4159"/>
    </row>
    <row r="4160" spans="2:13" ht="15" x14ac:dyDescent="0.25">
      <c r="B4160"/>
      <c r="M4160"/>
    </row>
    <row r="4161" spans="2:13" ht="15" x14ac:dyDescent="0.25">
      <c r="B4161"/>
      <c r="M4161"/>
    </row>
    <row r="4162" spans="2:13" ht="15" x14ac:dyDescent="0.25">
      <c r="B4162"/>
      <c r="M4162"/>
    </row>
    <row r="4163" spans="2:13" ht="15" x14ac:dyDescent="0.25">
      <c r="B4163"/>
      <c r="M4163"/>
    </row>
    <row r="4164" spans="2:13" ht="15" x14ac:dyDescent="0.25">
      <c r="B4164"/>
      <c r="M4164"/>
    </row>
    <row r="4165" spans="2:13" ht="15" x14ac:dyDescent="0.25">
      <c r="B4165"/>
      <c r="M4165"/>
    </row>
    <row r="4166" spans="2:13" ht="15" x14ac:dyDescent="0.25">
      <c r="B4166"/>
      <c r="M4166"/>
    </row>
    <row r="4167" spans="2:13" ht="15" x14ac:dyDescent="0.25">
      <c r="B4167"/>
      <c r="M4167"/>
    </row>
    <row r="4168" spans="2:13" ht="15" x14ac:dyDescent="0.25">
      <c r="B4168"/>
      <c r="M4168"/>
    </row>
    <row r="4169" spans="2:13" ht="15" x14ac:dyDescent="0.25">
      <c r="B4169"/>
      <c r="M4169"/>
    </row>
    <row r="4170" spans="2:13" ht="15" x14ac:dyDescent="0.25">
      <c r="B4170"/>
      <c r="M4170"/>
    </row>
    <row r="4171" spans="2:13" ht="15" x14ac:dyDescent="0.25">
      <c r="B4171"/>
      <c r="M4171"/>
    </row>
    <row r="4172" spans="2:13" ht="15" x14ac:dyDescent="0.25">
      <c r="B4172"/>
      <c r="M4172"/>
    </row>
    <row r="4173" spans="2:13" ht="15" x14ac:dyDescent="0.25">
      <c r="B4173"/>
      <c r="M4173"/>
    </row>
    <row r="4174" spans="2:13" ht="15" x14ac:dyDescent="0.25">
      <c r="B4174"/>
      <c r="M4174"/>
    </row>
    <row r="4175" spans="2:13" ht="15" x14ac:dyDescent="0.25">
      <c r="B4175"/>
      <c r="M4175"/>
    </row>
    <row r="4176" spans="2:13" ht="15" x14ac:dyDescent="0.25">
      <c r="B4176"/>
      <c r="M4176"/>
    </row>
    <row r="4177" spans="2:13" ht="15" x14ac:dyDescent="0.25">
      <c r="B4177"/>
      <c r="M4177"/>
    </row>
    <row r="4178" spans="2:13" ht="15" x14ac:dyDescent="0.25">
      <c r="B4178"/>
      <c r="M4178"/>
    </row>
    <row r="4179" spans="2:13" ht="15" x14ac:dyDescent="0.25">
      <c r="B4179"/>
      <c r="M4179"/>
    </row>
    <row r="4180" spans="2:13" ht="15" x14ac:dyDescent="0.25">
      <c r="B4180"/>
      <c r="M4180"/>
    </row>
    <row r="4181" spans="2:13" ht="15" x14ac:dyDescent="0.25">
      <c r="B4181"/>
      <c r="M4181"/>
    </row>
    <row r="4182" spans="2:13" ht="15" x14ac:dyDescent="0.25">
      <c r="B4182"/>
      <c r="M4182"/>
    </row>
    <row r="4183" spans="2:13" ht="15" x14ac:dyDescent="0.25">
      <c r="B4183"/>
      <c r="M4183"/>
    </row>
    <row r="4184" spans="2:13" ht="15" x14ac:dyDescent="0.25">
      <c r="B4184"/>
      <c r="M4184"/>
    </row>
    <row r="4185" spans="2:13" ht="15" x14ac:dyDescent="0.25">
      <c r="B4185"/>
      <c r="M4185"/>
    </row>
    <row r="4186" spans="2:13" ht="15" x14ac:dyDescent="0.25">
      <c r="B4186"/>
      <c r="M4186"/>
    </row>
    <row r="4187" spans="2:13" ht="15" x14ac:dyDescent="0.25">
      <c r="B4187"/>
      <c r="M4187"/>
    </row>
    <row r="4188" spans="2:13" ht="15" x14ac:dyDescent="0.25">
      <c r="B4188"/>
      <c r="M4188"/>
    </row>
    <row r="4189" spans="2:13" ht="15" x14ac:dyDescent="0.25">
      <c r="B4189"/>
      <c r="M4189"/>
    </row>
    <row r="4190" spans="2:13" ht="15" x14ac:dyDescent="0.25">
      <c r="B4190"/>
      <c r="M4190"/>
    </row>
    <row r="4191" spans="2:13" ht="15" x14ac:dyDescent="0.25">
      <c r="B4191"/>
      <c r="M4191"/>
    </row>
    <row r="4192" spans="2:13" ht="15" x14ac:dyDescent="0.25">
      <c r="B4192"/>
      <c r="M4192"/>
    </row>
    <row r="4193" spans="2:13" ht="15" x14ac:dyDescent="0.25">
      <c r="B4193"/>
      <c r="M4193"/>
    </row>
    <row r="4194" spans="2:13" ht="15" x14ac:dyDescent="0.25">
      <c r="B4194"/>
      <c r="M4194"/>
    </row>
    <row r="4195" spans="2:13" ht="15" x14ac:dyDescent="0.25">
      <c r="B4195"/>
      <c r="M4195"/>
    </row>
    <row r="4196" spans="2:13" ht="15" x14ac:dyDescent="0.25">
      <c r="B4196"/>
      <c r="M4196"/>
    </row>
    <row r="4197" spans="2:13" ht="15" x14ac:dyDescent="0.25">
      <c r="B4197"/>
      <c r="M4197"/>
    </row>
    <row r="4198" spans="2:13" ht="15" x14ac:dyDescent="0.25">
      <c r="B4198"/>
      <c r="M4198"/>
    </row>
    <row r="4199" spans="2:13" ht="15" x14ac:dyDescent="0.25">
      <c r="B4199"/>
      <c r="M4199"/>
    </row>
    <row r="4200" spans="2:13" ht="15" x14ac:dyDescent="0.25">
      <c r="B4200"/>
      <c r="M4200"/>
    </row>
    <row r="4201" spans="2:13" ht="15" x14ac:dyDescent="0.25">
      <c r="B4201"/>
      <c r="M4201"/>
    </row>
    <row r="4202" spans="2:13" ht="15" x14ac:dyDescent="0.25">
      <c r="B4202"/>
      <c r="M4202"/>
    </row>
    <row r="4203" spans="2:13" ht="15" x14ac:dyDescent="0.25">
      <c r="B4203"/>
      <c r="M4203"/>
    </row>
    <row r="4204" spans="2:13" ht="15" x14ac:dyDescent="0.25">
      <c r="B4204"/>
      <c r="M4204"/>
    </row>
    <row r="4205" spans="2:13" ht="15" x14ac:dyDescent="0.25">
      <c r="B4205"/>
      <c r="M4205"/>
    </row>
    <row r="4206" spans="2:13" ht="15" x14ac:dyDescent="0.25">
      <c r="B4206"/>
      <c r="M4206"/>
    </row>
    <row r="4207" spans="2:13" ht="15" x14ac:dyDescent="0.25">
      <c r="B4207"/>
      <c r="M4207"/>
    </row>
    <row r="4208" spans="2:13" ht="15" x14ac:dyDescent="0.25">
      <c r="B4208"/>
      <c r="M4208"/>
    </row>
    <row r="4209" spans="2:13" ht="15" x14ac:dyDescent="0.25">
      <c r="B4209"/>
      <c r="M4209"/>
    </row>
    <row r="4210" spans="2:13" ht="15" x14ac:dyDescent="0.25">
      <c r="B4210"/>
      <c r="M4210"/>
    </row>
    <row r="4211" spans="2:13" ht="15" x14ac:dyDescent="0.25">
      <c r="B4211"/>
      <c r="M4211"/>
    </row>
    <row r="4212" spans="2:13" ht="15" x14ac:dyDescent="0.25">
      <c r="B4212"/>
      <c r="M4212"/>
    </row>
    <row r="4213" spans="2:13" ht="15" x14ac:dyDescent="0.25">
      <c r="B4213"/>
      <c r="M4213"/>
    </row>
    <row r="4214" spans="2:13" ht="15" x14ac:dyDescent="0.25">
      <c r="B4214"/>
      <c r="M4214"/>
    </row>
    <row r="4215" spans="2:13" ht="15" x14ac:dyDescent="0.25">
      <c r="B4215"/>
      <c r="M4215"/>
    </row>
    <row r="4216" spans="2:13" ht="15" x14ac:dyDescent="0.25">
      <c r="B4216"/>
      <c r="M4216"/>
    </row>
    <row r="4217" spans="2:13" ht="15" x14ac:dyDescent="0.25">
      <c r="B4217"/>
      <c r="M4217"/>
    </row>
    <row r="4218" spans="2:13" ht="15" x14ac:dyDescent="0.25">
      <c r="B4218"/>
      <c r="M4218"/>
    </row>
    <row r="4219" spans="2:13" ht="15" x14ac:dyDescent="0.25">
      <c r="B4219"/>
      <c r="M4219"/>
    </row>
    <row r="4220" spans="2:13" ht="15" x14ac:dyDescent="0.25">
      <c r="B4220"/>
      <c r="M4220"/>
    </row>
    <row r="4221" spans="2:13" ht="15" x14ac:dyDescent="0.25">
      <c r="B4221"/>
      <c r="M4221"/>
    </row>
    <row r="4222" spans="2:13" ht="15" x14ac:dyDescent="0.25">
      <c r="B4222"/>
      <c r="M4222"/>
    </row>
    <row r="4223" spans="2:13" ht="15" x14ac:dyDescent="0.25">
      <c r="B4223"/>
      <c r="M4223"/>
    </row>
    <row r="4224" spans="2:13" ht="15" x14ac:dyDescent="0.25">
      <c r="B4224"/>
      <c r="M4224"/>
    </row>
    <row r="4225" spans="2:13" ht="15" x14ac:dyDescent="0.25">
      <c r="B4225"/>
      <c r="M4225"/>
    </row>
    <row r="4226" spans="2:13" ht="15" x14ac:dyDescent="0.25">
      <c r="B4226"/>
      <c r="M4226"/>
    </row>
    <row r="4227" spans="2:13" ht="15" x14ac:dyDescent="0.25">
      <c r="B4227"/>
      <c r="M4227"/>
    </row>
    <row r="4228" spans="2:13" ht="15" x14ac:dyDescent="0.25">
      <c r="B4228"/>
      <c r="M4228"/>
    </row>
    <row r="4229" spans="2:13" ht="15" x14ac:dyDescent="0.25">
      <c r="B4229"/>
      <c r="M4229"/>
    </row>
    <row r="4230" spans="2:13" ht="15" x14ac:dyDescent="0.25">
      <c r="B4230"/>
      <c r="M4230"/>
    </row>
    <row r="4231" spans="2:13" ht="15" x14ac:dyDescent="0.25">
      <c r="B4231"/>
      <c r="M4231"/>
    </row>
    <row r="4232" spans="2:13" ht="15" x14ac:dyDescent="0.25">
      <c r="B4232"/>
      <c r="M4232"/>
    </row>
    <row r="4233" spans="2:13" ht="15" x14ac:dyDescent="0.25">
      <c r="B4233"/>
      <c r="M4233"/>
    </row>
    <row r="4234" spans="2:13" ht="15" x14ac:dyDescent="0.25">
      <c r="B4234"/>
      <c r="M4234"/>
    </row>
    <row r="4235" spans="2:13" ht="15" x14ac:dyDescent="0.25">
      <c r="B4235"/>
      <c r="M4235"/>
    </row>
    <row r="4236" spans="2:13" ht="15" x14ac:dyDescent="0.25">
      <c r="B4236"/>
      <c r="M4236"/>
    </row>
    <row r="4237" spans="2:13" ht="15" x14ac:dyDescent="0.25">
      <c r="B4237"/>
      <c r="M4237"/>
    </row>
    <row r="4238" spans="2:13" ht="15" x14ac:dyDescent="0.25">
      <c r="B4238"/>
      <c r="M4238"/>
    </row>
    <row r="4239" spans="2:13" ht="15" x14ac:dyDescent="0.25">
      <c r="B4239"/>
      <c r="M4239"/>
    </row>
    <row r="4240" spans="2:13" ht="15" x14ac:dyDescent="0.25">
      <c r="B4240"/>
      <c r="M4240"/>
    </row>
    <row r="4241" spans="2:13" ht="15" x14ac:dyDescent="0.25">
      <c r="B4241"/>
      <c r="M4241"/>
    </row>
    <row r="4242" spans="2:13" ht="15" x14ac:dyDescent="0.25">
      <c r="B4242"/>
      <c r="M4242"/>
    </row>
    <row r="4243" spans="2:13" ht="15" x14ac:dyDescent="0.25">
      <c r="B4243"/>
      <c r="M4243"/>
    </row>
    <row r="4244" spans="2:13" ht="15" x14ac:dyDescent="0.25">
      <c r="B4244"/>
      <c r="M4244"/>
    </row>
    <row r="4245" spans="2:13" ht="15" x14ac:dyDescent="0.25">
      <c r="B4245"/>
      <c r="M4245"/>
    </row>
    <row r="4246" spans="2:13" ht="15" x14ac:dyDescent="0.25">
      <c r="B4246"/>
      <c r="M4246"/>
    </row>
    <row r="4247" spans="2:13" ht="15" x14ac:dyDescent="0.25">
      <c r="B4247"/>
      <c r="M4247"/>
    </row>
    <row r="4248" spans="2:13" ht="15" x14ac:dyDescent="0.25">
      <c r="B4248"/>
      <c r="M4248"/>
    </row>
    <row r="4249" spans="2:13" ht="15" x14ac:dyDescent="0.25">
      <c r="B4249"/>
      <c r="M4249"/>
    </row>
    <row r="4250" spans="2:13" ht="15" x14ac:dyDescent="0.25">
      <c r="B4250"/>
      <c r="M4250"/>
    </row>
    <row r="4251" spans="2:13" ht="15" x14ac:dyDescent="0.25">
      <c r="B4251"/>
      <c r="M4251"/>
    </row>
    <row r="4252" spans="2:13" ht="15" x14ac:dyDescent="0.25">
      <c r="B4252"/>
      <c r="M4252"/>
    </row>
    <row r="4253" spans="2:13" ht="15" x14ac:dyDescent="0.25">
      <c r="B4253"/>
      <c r="M4253"/>
    </row>
    <row r="4254" spans="2:13" ht="15" x14ac:dyDescent="0.25">
      <c r="B4254"/>
      <c r="M4254"/>
    </row>
    <row r="4255" spans="2:13" ht="15" x14ac:dyDescent="0.25">
      <c r="B4255"/>
      <c r="M4255"/>
    </row>
    <row r="4256" spans="2:13" ht="15" x14ac:dyDescent="0.25">
      <c r="B4256"/>
      <c r="M4256"/>
    </row>
    <row r="4257" spans="2:13" ht="15" x14ac:dyDescent="0.25">
      <c r="B4257"/>
      <c r="M4257"/>
    </row>
    <row r="4258" spans="2:13" ht="15" x14ac:dyDescent="0.25">
      <c r="B4258"/>
      <c r="M4258"/>
    </row>
    <row r="4259" spans="2:13" ht="15" x14ac:dyDescent="0.25">
      <c r="B4259"/>
      <c r="M4259"/>
    </row>
    <row r="4260" spans="2:13" ht="15" x14ac:dyDescent="0.25">
      <c r="B4260"/>
      <c r="M4260"/>
    </row>
    <row r="4261" spans="2:13" ht="15" x14ac:dyDescent="0.25">
      <c r="B4261"/>
      <c r="M4261"/>
    </row>
    <row r="4262" spans="2:13" ht="15" x14ac:dyDescent="0.25">
      <c r="B4262"/>
      <c r="M4262"/>
    </row>
    <row r="4263" spans="2:13" ht="15" x14ac:dyDescent="0.25">
      <c r="B4263"/>
      <c r="M4263"/>
    </row>
    <row r="4264" spans="2:13" ht="15" x14ac:dyDescent="0.25">
      <c r="B4264"/>
      <c r="M4264"/>
    </row>
    <row r="4265" spans="2:13" ht="15" x14ac:dyDescent="0.25">
      <c r="B4265"/>
      <c r="M4265"/>
    </row>
    <row r="4266" spans="2:13" ht="15" x14ac:dyDescent="0.25">
      <c r="B4266"/>
      <c r="M4266"/>
    </row>
    <row r="4267" spans="2:13" ht="15" x14ac:dyDescent="0.25">
      <c r="B4267"/>
      <c r="M4267"/>
    </row>
    <row r="4268" spans="2:13" ht="15" x14ac:dyDescent="0.25">
      <c r="B4268"/>
      <c r="M4268"/>
    </row>
    <row r="4269" spans="2:13" ht="15" x14ac:dyDescent="0.25">
      <c r="B4269"/>
      <c r="M4269"/>
    </row>
    <row r="4270" spans="2:13" ht="15" x14ac:dyDescent="0.25">
      <c r="B4270"/>
      <c r="M4270"/>
    </row>
    <row r="4271" spans="2:13" ht="15" x14ac:dyDescent="0.25">
      <c r="B4271"/>
      <c r="M4271"/>
    </row>
    <row r="4272" spans="2:13" ht="15" x14ac:dyDescent="0.25">
      <c r="B4272"/>
      <c r="M4272"/>
    </row>
    <row r="4273" spans="2:13" ht="15" x14ac:dyDescent="0.25">
      <c r="B4273"/>
      <c r="M4273"/>
    </row>
    <row r="4274" spans="2:13" ht="15" x14ac:dyDescent="0.25">
      <c r="B4274"/>
      <c r="M4274"/>
    </row>
    <row r="4275" spans="2:13" ht="15" x14ac:dyDescent="0.25">
      <c r="B4275"/>
      <c r="M4275"/>
    </row>
    <row r="4276" spans="2:13" ht="15" x14ac:dyDescent="0.25">
      <c r="B4276"/>
      <c r="M4276"/>
    </row>
    <row r="4277" spans="2:13" ht="15" x14ac:dyDescent="0.25">
      <c r="B4277"/>
      <c r="M4277"/>
    </row>
    <row r="4278" spans="2:13" ht="15" x14ac:dyDescent="0.25">
      <c r="B4278"/>
      <c r="M4278"/>
    </row>
    <row r="4279" spans="2:13" ht="15" x14ac:dyDescent="0.25">
      <c r="B4279"/>
      <c r="M4279"/>
    </row>
    <row r="4280" spans="2:13" ht="15" x14ac:dyDescent="0.25">
      <c r="B4280"/>
      <c r="M4280"/>
    </row>
    <row r="4281" spans="2:13" ht="15" x14ac:dyDescent="0.25">
      <c r="B4281"/>
      <c r="M4281"/>
    </row>
    <row r="4282" spans="2:13" ht="15" x14ac:dyDescent="0.25">
      <c r="B4282"/>
      <c r="M4282"/>
    </row>
    <row r="4283" spans="2:13" ht="15" x14ac:dyDescent="0.25">
      <c r="B4283"/>
      <c r="M4283"/>
    </row>
    <row r="4284" spans="2:13" ht="15" x14ac:dyDescent="0.25">
      <c r="B4284"/>
      <c r="M4284"/>
    </row>
    <row r="4285" spans="2:13" ht="15" x14ac:dyDescent="0.25">
      <c r="B4285"/>
      <c r="M4285"/>
    </row>
    <row r="4286" spans="2:13" ht="15" x14ac:dyDescent="0.25">
      <c r="B4286"/>
      <c r="M4286"/>
    </row>
    <row r="4287" spans="2:13" ht="15" x14ac:dyDescent="0.25">
      <c r="B4287"/>
      <c r="M4287"/>
    </row>
    <row r="4288" spans="2:13" ht="15" x14ac:dyDescent="0.25">
      <c r="B4288"/>
      <c r="M4288"/>
    </row>
    <row r="4289" spans="2:13" ht="15" x14ac:dyDescent="0.25">
      <c r="B4289"/>
      <c r="M4289"/>
    </row>
    <row r="4290" spans="2:13" ht="15" x14ac:dyDescent="0.25">
      <c r="B4290"/>
      <c r="M4290"/>
    </row>
    <row r="4291" spans="2:13" ht="15" x14ac:dyDescent="0.25">
      <c r="B4291"/>
      <c r="M4291"/>
    </row>
    <row r="4292" spans="2:13" ht="15" x14ac:dyDescent="0.25">
      <c r="B4292"/>
      <c r="M4292"/>
    </row>
    <row r="4293" spans="2:13" ht="15" x14ac:dyDescent="0.25">
      <c r="B4293"/>
      <c r="M4293"/>
    </row>
    <row r="4294" spans="2:13" ht="15" x14ac:dyDescent="0.25">
      <c r="B4294"/>
      <c r="M4294"/>
    </row>
    <row r="4295" spans="2:13" ht="15" x14ac:dyDescent="0.25">
      <c r="B4295"/>
      <c r="M4295"/>
    </row>
    <row r="4296" spans="2:13" ht="15" x14ac:dyDescent="0.25">
      <c r="B4296"/>
      <c r="M4296"/>
    </row>
    <row r="4297" spans="2:13" ht="15" x14ac:dyDescent="0.25">
      <c r="B4297"/>
      <c r="M4297"/>
    </row>
    <row r="4298" spans="2:13" ht="15" x14ac:dyDescent="0.25">
      <c r="B4298"/>
      <c r="M4298"/>
    </row>
    <row r="4299" spans="2:13" ht="15" x14ac:dyDescent="0.25">
      <c r="B4299"/>
      <c r="M4299"/>
    </row>
    <row r="4300" spans="2:13" ht="15" x14ac:dyDescent="0.25">
      <c r="B4300"/>
      <c r="M4300"/>
    </row>
    <row r="4301" spans="2:13" ht="15" x14ac:dyDescent="0.25">
      <c r="B4301"/>
      <c r="M4301"/>
    </row>
    <row r="4302" spans="2:13" ht="15" x14ac:dyDescent="0.25">
      <c r="B4302"/>
      <c r="M4302"/>
    </row>
    <row r="4303" spans="2:13" ht="15" x14ac:dyDescent="0.25">
      <c r="B4303"/>
      <c r="M4303"/>
    </row>
    <row r="4304" spans="2:13" ht="15" x14ac:dyDescent="0.25">
      <c r="B4304"/>
      <c r="M4304"/>
    </row>
    <row r="4305" spans="2:13" ht="15" x14ac:dyDescent="0.25">
      <c r="B4305"/>
      <c r="M4305"/>
    </row>
    <row r="4306" spans="2:13" ht="15" x14ac:dyDescent="0.25">
      <c r="B4306"/>
      <c r="M4306"/>
    </row>
    <row r="4307" spans="2:13" ht="15" x14ac:dyDescent="0.25">
      <c r="B4307"/>
      <c r="M4307"/>
    </row>
    <row r="4308" spans="2:13" ht="15" x14ac:dyDescent="0.25">
      <c r="B4308"/>
      <c r="M4308"/>
    </row>
    <row r="4309" spans="2:13" ht="15" x14ac:dyDescent="0.25">
      <c r="B4309"/>
      <c r="M4309"/>
    </row>
    <row r="4310" spans="2:13" ht="15" x14ac:dyDescent="0.25">
      <c r="B4310"/>
      <c r="M4310"/>
    </row>
    <row r="4311" spans="2:13" ht="15" x14ac:dyDescent="0.25">
      <c r="B4311"/>
      <c r="M4311"/>
    </row>
    <row r="4312" spans="2:13" ht="15" x14ac:dyDescent="0.25">
      <c r="B4312"/>
      <c r="M4312"/>
    </row>
    <row r="4313" spans="2:13" ht="15" x14ac:dyDescent="0.25">
      <c r="B4313"/>
      <c r="M4313"/>
    </row>
    <row r="4314" spans="2:13" ht="15" x14ac:dyDescent="0.25">
      <c r="B4314"/>
      <c r="M4314"/>
    </row>
    <row r="4315" spans="2:13" ht="15" x14ac:dyDescent="0.25">
      <c r="B4315"/>
      <c r="M4315"/>
    </row>
    <row r="4316" spans="2:13" ht="15" x14ac:dyDescent="0.25">
      <c r="B4316"/>
      <c r="M4316"/>
    </row>
    <row r="4317" spans="2:13" ht="15" x14ac:dyDescent="0.25">
      <c r="B4317"/>
      <c r="M4317"/>
    </row>
    <row r="4318" spans="2:13" ht="15" x14ac:dyDescent="0.25">
      <c r="B4318"/>
      <c r="M4318"/>
    </row>
    <row r="4319" spans="2:13" ht="15" x14ac:dyDescent="0.25">
      <c r="B4319"/>
      <c r="M4319"/>
    </row>
    <row r="4320" spans="2:13" ht="15" x14ac:dyDescent="0.25">
      <c r="B4320"/>
      <c r="M4320"/>
    </row>
    <row r="4321" spans="2:13" ht="15" x14ac:dyDescent="0.25">
      <c r="B4321"/>
      <c r="M4321"/>
    </row>
    <row r="4322" spans="2:13" ht="15" x14ac:dyDescent="0.25">
      <c r="B4322"/>
      <c r="M4322"/>
    </row>
    <row r="4323" spans="2:13" ht="15" x14ac:dyDescent="0.25">
      <c r="B4323"/>
      <c r="M4323"/>
    </row>
    <row r="4324" spans="2:13" ht="15" x14ac:dyDescent="0.25">
      <c r="B4324"/>
      <c r="M4324"/>
    </row>
    <row r="4325" spans="2:13" ht="15" x14ac:dyDescent="0.25">
      <c r="B4325"/>
      <c r="M4325"/>
    </row>
    <row r="4326" spans="2:13" ht="15" x14ac:dyDescent="0.25">
      <c r="B4326"/>
      <c r="M4326"/>
    </row>
    <row r="4327" spans="2:13" ht="15" x14ac:dyDescent="0.25">
      <c r="B4327"/>
      <c r="M4327"/>
    </row>
    <row r="4328" spans="2:13" ht="15" x14ac:dyDescent="0.25">
      <c r="B4328"/>
      <c r="M4328"/>
    </row>
    <row r="4329" spans="2:13" ht="15" x14ac:dyDescent="0.25">
      <c r="B4329"/>
      <c r="M4329"/>
    </row>
    <row r="4330" spans="2:13" ht="15" x14ac:dyDescent="0.25">
      <c r="B4330"/>
      <c r="M4330"/>
    </row>
    <row r="4331" spans="2:13" ht="15" x14ac:dyDescent="0.25">
      <c r="B4331"/>
      <c r="M4331"/>
    </row>
    <row r="4332" spans="2:13" ht="15" x14ac:dyDescent="0.25">
      <c r="B4332"/>
      <c r="M4332"/>
    </row>
    <row r="4333" spans="2:13" ht="15" x14ac:dyDescent="0.25">
      <c r="B4333"/>
      <c r="M4333"/>
    </row>
    <row r="4334" spans="2:13" ht="15" x14ac:dyDescent="0.25">
      <c r="B4334"/>
      <c r="M4334"/>
    </row>
    <row r="4335" spans="2:13" ht="15" x14ac:dyDescent="0.25">
      <c r="B4335"/>
      <c r="M4335"/>
    </row>
    <row r="4336" spans="2:13" ht="15" x14ac:dyDescent="0.25">
      <c r="B4336"/>
      <c r="M4336"/>
    </row>
    <row r="4337" spans="2:13" ht="15" x14ac:dyDescent="0.25">
      <c r="B4337"/>
      <c r="M4337"/>
    </row>
    <row r="4338" spans="2:13" ht="15" x14ac:dyDescent="0.25">
      <c r="B4338"/>
      <c r="M4338"/>
    </row>
    <row r="4339" spans="2:13" ht="15" x14ac:dyDescent="0.25">
      <c r="B4339"/>
      <c r="M4339"/>
    </row>
    <row r="4340" spans="2:13" ht="15" x14ac:dyDescent="0.25">
      <c r="B4340"/>
      <c r="M4340"/>
    </row>
    <row r="4341" spans="2:13" ht="15" x14ac:dyDescent="0.25">
      <c r="B4341"/>
      <c r="M4341"/>
    </row>
    <row r="4342" spans="2:13" ht="15" x14ac:dyDescent="0.25">
      <c r="B4342"/>
      <c r="M4342"/>
    </row>
    <row r="4343" spans="2:13" ht="15" x14ac:dyDescent="0.25">
      <c r="B4343"/>
      <c r="M4343"/>
    </row>
    <row r="4344" spans="2:13" ht="15" x14ac:dyDescent="0.25">
      <c r="B4344"/>
      <c r="M4344"/>
    </row>
    <row r="4345" spans="2:13" ht="15" x14ac:dyDescent="0.25">
      <c r="B4345"/>
      <c r="M4345"/>
    </row>
    <row r="4346" spans="2:13" ht="15" x14ac:dyDescent="0.25">
      <c r="B4346"/>
      <c r="M4346"/>
    </row>
    <row r="4347" spans="2:13" ht="15" x14ac:dyDescent="0.25">
      <c r="B4347"/>
      <c r="M4347"/>
    </row>
    <row r="4348" spans="2:13" ht="15" x14ac:dyDescent="0.25">
      <c r="B4348"/>
      <c r="M4348"/>
    </row>
    <row r="4349" spans="2:13" ht="15" x14ac:dyDescent="0.25">
      <c r="B4349"/>
      <c r="M4349"/>
    </row>
    <row r="4350" spans="2:13" ht="15" x14ac:dyDescent="0.25">
      <c r="B4350"/>
      <c r="M4350"/>
    </row>
    <row r="4351" spans="2:13" ht="15" x14ac:dyDescent="0.25">
      <c r="B4351"/>
      <c r="M4351"/>
    </row>
    <row r="4352" spans="2:13" ht="15" x14ac:dyDescent="0.25">
      <c r="B4352"/>
      <c r="M4352"/>
    </row>
    <row r="4353" spans="2:13" ht="15" x14ac:dyDescent="0.25">
      <c r="B4353"/>
      <c r="M4353"/>
    </row>
    <row r="4354" spans="2:13" ht="15" x14ac:dyDescent="0.25">
      <c r="B4354"/>
      <c r="M4354"/>
    </row>
    <row r="4355" spans="2:13" ht="15" x14ac:dyDescent="0.25">
      <c r="B4355"/>
      <c r="M4355"/>
    </row>
    <row r="4356" spans="2:13" ht="15" x14ac:dyDescent="0.25">
      <c r="B4356"/>
      <c r="M4356"/>
    </row>
    <row r="4357" spans="2:13" ht="15" x14ac:dyDescent="0.25">
      <c r="B4357"/>
      <c r="M4357"/>
    </row>
    <row r="4358" spans="2:13" ht="15" x14ac:dyDescent="0.25">
      <c r="B4358"/>
      <c r="M4358"/>
    </row>
    <row r="4359" spans="2:13" ht="15" x14ac:dyDescent="0.25">
      <c r="B4359"/>
      <c r="M4359"/>
    </row>
    <row r="4360" spans="2:13" ht="15" x14ac:dyDescent="0.25">
      <c r="B4360"/>
      <c r="M4360"/>
    </row>
    <row r="4361" spans="2:13" ht="15" x14ac:dyDescent="0.25">
      <c r="B4361"/>
      <c r="M4361"/>
    </row>
    <row r="4362" spans="2:13" ht="15" x14ac:dyDescent="0.25">
      <c r="B4362"/>
      <c r="M4362"/>
    </row>
    <row r="4363" spans="2:13" ht="15" x14ac:dyDescent="0.25">
      <c r="B4363"/>
      <c r="M4363"/>
    </row>
    <row r="4364" spans="2:13" ht="15" x14ac:dyDescent="0.25">
      <c r="B4364"/>
      <c r="M4364"/>
    </row>
    <row r="4365" spans="2:13" ht="15" x14ac:dyDescent="0.25">
      <c r="B4365"/>
      <c r="M4365"/>
    </row>
    <row r="4366" spans="2:13" ht="15" x14ac:dyDescent="0.25">
      <c r="B4366"/>
      <c r="M4366"/>
    </row>
    <row r="4367" spans="2:13" ht="15" x14ac:dyDescent="0.25">
      <c r="B4367"/>
      <c r="M4367"/>
    </row>
    <row r="4368" spans="2:13" ht="15" x14ac:dyDescent="0.25">
      <c r="B4368"/>
      <c r="M4368"/>
    </row>
    <row r="4369" spans="2:13" ht="15" x14ac:dyDescent="0.25">
      <c r="B4369"/>
      <c r="M4369"/>
    </row>
    <row r="4370" spans="2:13" ht="15" x14ac:dyDescent="0.25">
      <c r="B4370"/>
      <c r="M4370"/>
    </row>
    <row r="4371" spans="2:13" ht="15" x14ac:dyDescent="0.25">
      <c r="B4371"/>
      <c r="M4371"/>
    </row>
    <row r="4372" spans="2:13" ht="15" x14ac:dyDescent="0.25">
      <c r="B4372"/>
      <c r="M4372"/>
    </row>
    <row r="4373" spans="2:13" ht="15" x14ac:dyDescent="0.25">
      <c r="B4373"/>
      <c r="M4373"/>
    </row>
    <row r="4374" spans="2:13" ht="15" x14ac:dyDescent="0.25">
      <c r="B4374"/>
      <c r="M4374"/>
    </row>
    <row r="4375" spans="2:13" ht="15" x14ac:dyDescent="0.25">
      <c r="B4375"/>
      <c r="M4375"/>
    </row>
    <row r="4376" spans="2:13" ht="15" x14ac:dyDescent="0.25">
      <c r="B4376"/>
      <c r="M4376"/>
    </row>
    <row r="4377" spans="2:13" ht="15" x14ac:dyDescent="0.25">
      <c r="B4377"/>
      <c r="M4377"/>
    </row>
    <row r="4378" spans="2:13" ht="15" x14ac:dyDescent="0.25">
      <c r="B4378"/>
      <c r="M4378"/>
    </row>
    <row r="4379" spans="2:13" ht="15" x14ac:dyDescent="0.25">
      <c r="B4379"/>
      <c r="M4379"/>
    </row>
    <row r="4380" spans="2:13" ht="15" x14ac:dyDescent="0.25">
      <c r="B4380"/>
      <c r="M4380"/>
    </row>
    <row r="4381" spans="2:13" ht="15" x14ac:dyDescent="0.25">
      <c r="B4381"/>
      <c r="M4381"/>
    </row>
    <row r="4382" spans="2:13" ht="15" x14ac:dyDescent="0.25">
      <c r="B4382"/>
      <c r="M4382"/>
    </row>
    <row r="4383" spans="2:13" ht="15" x14ac:dyDescent="0.25">
      <c r="B4383"/>
      <c r="M4383"/>
    </row>
    <row r="4384" spans="2:13" ht="15" x14ac:dyDescent="0.25">
      <c r="B4384"/>
      <c r="M4384"/>
    </row>
    <row r="4385" spans="2:13" ht="15" x14ac:dyDescent="0.25">
      <c r="B4385"/>
      <c r="M4385"/>
    </row>
    <row r="4386" spans="2:13" ht="15" x14ac:dyDescent="0.25">
      <c r="B4386"/>
      <c r="M4386"/>
    </row>
    <row r="4387" spans="2:13" ht="15" x14ac:dyDescent="0.25">
      <c r="B4387"/>
      <c r="M4387"/>
    </row>
    <row r="4388" spans="2:13" ht="15" x14ac:dyDescent="0.25">
      <c r="B4388"/>
      <c r="M4388"/>
    </row>
    <row r="4389" spans="2:13" ht="15" x14ac:dyDescent="0.25">
      <c r="B4389"/>
      <c r="M4389"/>
    </row>
    <row r="4390" spans="2:13" ht="15" x14ac:dyDescent="0.25">
      <c r="B4390"/>
      <c r="M4390"/>
    </row>
    <row r="4391" spans="2:13" ht="15" x14ac:dyDescent="0.25">
      <c r="B4391"/>
      <c r="M4391"/>
    </row>
    <row r="4392" spans="2:13" ht="15" x14ac:dyDescent="0.25">
      <c r="B4392"/>
      <c r="M4392"/>
    </row>
    <row r="4393" spans="2:13" ht="15" x14ac:dyDescent="0.25">
      <c r="B4393"/>
      <c r="M4393"/>
    </row>
    <row r="4394" spans="2:13" ht="15" x14ac:dyDescent="0.25">
      <c r="B4394"/>
      <c r="M4394"/>
    </row>
    <row r="4395" spans="2:13" ht="15" x14ac:dyDescent="0.25">
      <c r="B4395"/>
      <c r="M4395"/>
    </row>
    <row r="4396" spans="2:13" ht="15" x14ac:dyDescent="0.25">
      <c r="B4396"/>
      <c r="M4396"/>
    </row>
    <row r="4397" spans="2:13" ht="15" x14ac:dyDescent="0.25">
      <c r="B4397"/>
      <c r="M4397"/>
    </row>
    <row r="4398" spans="2:13" ht="15" x14ac:dyDescent="0.25">
      <c r="B4398"/>
      <c r="M4398"/>
    </row>
    <row r="4399" spans="2:13" ht="15" x14ac:dyDescent="0.25">
      <c r="B4399"/>
      <c r="M4399"/>
    </row>
    <row r="4400" spans="2:13" ht="15" x14ac:dyDescent="0.25">
      <c r="B4400"/>
      <c r="M4400"/>
    </row>
    <row r="4401" spans="2:13" ht="15" x14ac:dyDescent="0.25">
      <c r="B4401"/>
      <c r="M4401"/>
    </row>
    <row r="4402" spans="2:13" ht="15" x14ac:dyDescent="0.25">
      <c r="B4402"/>
      <c r="M4402"/>
    </row>
    <row r="4403" spans="2:13" ht="15" x14ac:dyDescent="0.25">
      <c r="B4403"/>
      <c r="M4403"/>
    </row>
    <row r="4404" spans="2:13" ht="15" x14ac:dyDescent="0.25">
      <c r="B4404"/>
      <c r="M4404"/>
    </row>
    <row r="4405" spans="2:13" ht="15" x14ac:dyDescent="0.25">
      <c r="B4405"/>
      <c r="M4405"/>
    </row>
    <row r="4406" spans="2:13" ht="15" x14ac:dyDescent="0.25">
      <c r="B4406"/>
      <c r="M4406"/>
    </row>
    <row r="4407" spans="2:13" ht="15" x14ac:dyDescent="0.25">
      <c r="B4407"/>
      <c r="M4407"/>
    </row>
    <row r="4408" spans="2:13" ht="15" x14ac:dyDescent="0.25">
      <c r="B4408"/>
      <c r="M4408"/>
    </row>
    <row r="4409" spans="2:13" ht="15" x14ac:dyDescent="0.25">
      <c r="B4409"/>
      <c r="M4409"/>
    </row>
    <row r="4410" spans="2:13" ht="15" x14ac:dyDescent="0.25">
      <c r="B4410"/>
      <c r="M4410"/>
    </row>
    <row r="4411" spans="2:13" ht="15" x14ac:dyDescent="0.25">
      <c r="B4411"/>
      <c r="M4411"/>
    </row>
    <row r="4412" spans="2:13" ht="15" x14ac:dyDescent="0.25">
      <c r="B4412"/>
      <c r="M4412"/>
    </row>
    <row r="4413" spans="2:13" ht="15" x14ac:dyDescent="0.25">
      <c r="B4413"/>
      <c r="M4413"/>
    </row>
    <row r="4414" spans="2:13" ht="15" x14ac:dyDescent="0.25">
      <c r="B4414"/>
      <c r="M4414"/>
    </row>
    <row r="4415" spans="2:13" ht="15" x14ac:dyDescent="0.25">
      <c r="B4415"/>
      <c r="M4415"/>
    </row>
    <row r="4416" spans="2:13" ht="15" x14ac:dyDescent="0.25">
      <c r="B4416"/>
      <c r="M4416"/>
    </row>
    <row r="4417" spans="2:13" ht="15" x14ac:dyDescent="0.25">
      <c r="B4417"/>
      <c r="M4417"/>
    </row>
    <row r="4418" spans="2:13" ht="15" x14ac:dyDescent="0.25">
      <c r="B4418"/>
      <c r="M4418"/>
    </row>
    <row r="4419" spans="2:13" ht="15" x14ac:dyDescent="0.25">
      <c r="B4419"/>
      <c r="M4419"/>
    </row>
    <row r="4420" spans="2:13" ht="15" x14ac:dyDescent="0.25">
      <c r="B4420"/>
      <c r="M4420"/>
    </row>
    <row r="4421" spans="2:13" ht="15" x14ac:dyDescent="0.25">
      <c r="B4421"/>
      <c r="M4421"/>
    </row>
    <row r="4422" spans="2:13" ht="15" x14ac:dyDescent="0.25">
      <c r="B4422"/>
      <c r="M4422"/>
    </row>
    <row r="4423" spans="2:13" ht="15" x14ac:dyDescent="0.25">
      <c r="B4423"/>
      <c r="M4423"/>
    </row>
    <row r="4424" spans="2:13" ht="15" x14ac:dyDescent="0.25">
      <c r="B4424"/>
      <c r="M4424"/>
    </row>
    <row r="4425" spans="2:13" ht="15" x14ac:dyDescent="0.25">
      <c r="B4425"/>
      <c r="M4425"/>
    </row>
    <row r="4426" spans="2:13" ht="15" x14ac:dyDescent="0.25">
      <c r="B4426"/>
      <c r="M4426"/>
    </row>
    <row r="4427" spans="2:13" ht="15" x14ac:dyDescent="0.25">
      <c r="B4427"/>
      <c r="M4427"/>
    </row>
    <row r="4428" spans="2:13" ht="15" x14ac:dyDescent="0.25">
      <c r="B4428"/>
      <c r="M4428"/>
    </row>
    <row r="4429" spans="2:13" ht="15" x14ac:dyDescent="0.25">
      <c r="B4429"/>
      <c r="M4429"/>
    </row>
    <row r="4430" spans="2:13" ht="15" x14ac:dyDescent="0.25">
      <c r="B4430"/>
      <c r="M4430"/>
    </row>
    <row r="4431" spans="2:13" ht="15" x14ac:dyDescent="0.25">
      <c r="B4431"/>
      <c r="M4431"/>
    </row>
    <row r="4432" spans="2:13" ht="15" x14ac:dyDescent="0.25">
      <c r="B4432"/>
      <c r="M4432"/>
    </row>
    <row r="4433" spans="2:13" ht="15" x14ac:dyDescent="0.25">
      <c r="B4433"/>
      <c r="M4433"/>
    </row>
    <row r="4434" spans="2:13" ht="15" x14ac:dyDescent="0.25">
      <c r="B4434"/>
      <c r="M4434"/>
    </row>
    <row r="4435" spans="2:13" ht="15" x14ac:dyDescent="0.25">
      <c r="B4435"/>
      <c r="M4435"/>
    </row>
    <row r="4436" spans="2:13" ht="15" x14ac:dyDescent="0.25">
      <c r="B4436"/>
      <c r="M4436"/>
    </row>
    <row r="4437" spans="2:13" ht="15" x14ac:dyDescent="0.25">
      <c r="B4437"/>
      <c r="M4437"/>
    </row>
    <row r="4438" spans="2:13" ht="15" x14ac:dyDescent="0.25">
      <c r="B4438"/>
      <c r="M4438"/>
    </row>
    <row r="4439" spans="2:13" ht="15" x14ac:dyDescent="0.25">
      <c r="B4439"/>
      <c r="M4439"/>
    </row>
    <row r="4440" spans="2:13" ht="15" x14ac:dyDescent="0.25">
      <c r="B4440"/>
      <c r="M4440"/>
    </row>
    <row r="4441" spans="2:13" ht="15" x14ac:dyDescent="0.25">
      <c r="B4441"/>
      <c r="M4441"/>
    </row>
    <row r="4442" spans="2:13" ht="15" x14ac:dyDescent="0.25">
      <c r="B4442"/>
      <c r="M4442"/>
    </row>
    <row r="4443" spans="2:13" ht="15" x14ac:dyDescent="0.25">
      <c r="B4443"/>
      <c r="M4443"/>
    </row>
    <row r="4444" spans="2:13" ht="15" x14ac:dyDescent="0.25">
      <c r="B4444"/>
      <c r="M4444"/>
    </row>
    <row r="4445" spans="2:13" ht="15" x14ac:dyDescent="0.25">
      <c r="B4445"/>
      <c r="M4445"/>
    </row>
    <row r="4446" spans="2:13" ht="15" x14ac:dyDescent="0.25">
      <c r="B4446"/>
      <c r="M4446"/>
    </row>
    <row r="4447" spans="2:13" ht="15" x14ac:dyDescent="0.25">
      <c r="B4447"/>
      <c r="M4447"/>
    </row>
    <row r="4448" spans="2:13" ht="15" x14ac:dyDescent="0.25">
      <c r="B4448"/>
      <c r="M4448"/>
    </row>
    <row r="4449" spans="2:13" ht="15" x14ac:dyDescent="0.25">
      <c r="B4449"/>
      <c r="M4449"/>
    </row>
    <row r="4450" spans="2:13" ht="15" x14ac:dyDescent="0.25">
      <c r="B4450"/>
      <c r="M4450"/>
    </row>
    <row r="4451" spans="2:13" ht="15" x14ac:dyDescent="0.25">
      <c r="B4451"/>
      <c r="M4451"/>
    </row>
    <row r="4452" spans="2:13" ht="15" x14ac:dyDescent="0.25">
      <c r="B4452"/>
      <c r="M4452"/>
    </row>
    <row r="4453" spans="2:13" ht="15" x14ac:dyDescent="0.25">
      <c r="B4453"/>
      <c r="M4453"/>
    </row>
    <row r="4454" spans="2:13" ht="15" x14ac:dyDescent="0.25">
      <c r="B4454"/>
      <c r="M4454"/>
    </row>
    <row r="4455" spans="2:13" ht="15" x14ac:dyDescent="0.25">
      <c r="B4455"/>
      <c r="M4455"/>
    </row>
    <row r="4456" spans="2:13" ht="15" x14ac:dyDescent="0.25">
      <c r="B4456"/>
      <c r="M4456"/>
    </row>
    <row r="4457" spans="2:13" ht="15" x14ac:dyDescent="0.25">
      <c r="B4457"/>
      <c r="M4457"/>
    </row>
    <row r="4458" spans="2:13" ht="15" x14ac:dyDescent="0.25">
      <c r="B4458"/>
      <c r="M4458"/>
    </row>
    <row r="4459" spans="2:13" ht="15" x14ac:dyDescent="0.25">
      <c r="B4459"/>
      <c r="M4459"/>
    </row>
    <row r="4460" spans="2:13" ht="15" x14ac:dyDescent="0.25">
      <c r="B4460"/>
      <c r="M4460"/>
    </row>
    <row r="4461" spans="2:13" ht="15" x14ac:dyDescent="0.25">
      <c r="B4461"/>
      <c r="M4461"/>
    </row>
    <row r="4462" spans="2:13" ht="15" x14ac:dyDescent="0.25">
      <c r="B4462"/>
      <c r="M4462"/>
    </row>
    <row r="4463" spans="2:13" ht="15" x14ac:dyDescent="0.25">
      <c r="B4463"/>
      <c r="M4463"/>
    </row>
    <row r="4464" spans="2:13" ht="15" x14ac:dyDescent="0.25">
      <c r="B4464"/>
      <c r="M4464"/>
    </row>
    <row r="4465" spans="2:13" ht="15" x14ac:dyDescent="0.25">
      <c r="B4465"/>
      <c r="M4465"/>
    </row>
    <row r="4466" spans="2:13" ht="15" x14ac:dyDescent="0.25">
      <c r="B4466"/>
      <c r="M4466"/>
    </row>
    <row r="4467" spans="2:13" ht="15" x14ac:dyDescent="0.25">
      <c r="B4467"/>
      <c r="M4467"/>
    </row>
    <row r="4468" spans="2:13" ht="15" x14ac:dyDescent="0.25">
      <c r="B4468"/>
      <c r="M4468"/>
    </row>
    <row r="4469" spans="2:13" ht="15" x14ac:dyDescent="0.25">
      <c r="B4469"/>
      <c r="M4469"/>
    </row>
    <row r="4470" spans="2:13" ht="15" x14ac:dyDescent="0.25">
      <c r="B4470"/>
      <c r="M4470"/>
    </row>
    <row r="4471" spans="2:13" ht="15" x14ac:dyDescent="0.25">
      <c r="B4471"/>
      <c r="M4471"/>
    </row>
    <row r="4472" spans="2:13" ht="15" x14ac:dyDescent="0.25">
      <c r="B4472"/>
      <c r="M4472"/>
    </row>
    <row r="4473" spans="2:13" ht="15" x14ac:dyDescent="0.25">
      <c r="B4473"/>
      <c r="M4473"/>
    </row>
    <row r="4474" spans="2:13" ht="15" x14ac:dyDescent="0.25">
      <c r="B4474"/>
      <c r="M4474"/>
    </row>
    <row r="4475" spans="2:13" ht="15" x14ac:dyDescent="0.25">
      <c r="B4475"/>
      <c r="M4475"/>
    </row>
    <row r="4476" spans="2:13" ht="15" x14ac:dyDescent="0.25">
      <c r="B4476"/>
      <c r="M4476"/>
    </row>
    <row r="4477" spans="2:13" ht="15" x14ac:dyDescent="0.25">
      <c r="B4477"/>
      <c r="M4477"/>
    </row>
    <row r="4478" spans="2:13" ht="15" x14ac:dyDescent="0.25">
      <c r="B4478"/>
      <c r="M4478"/>
    </row>
    <row r="4479" spans="2:13" ht="15" x14ac:dyDescent="0.25">
      <c r="B4479"/>
      <c r="M4479"/>
    </row>
    <row r="4480" spans="2:13" ht="15" x14ac:dyDescent="0.25">
      <c r="B4480"/>
      <c r="M4480"/>
    </row>
    <row r="4481" spans="2:13" ht="15" x14ac:dyDescent="0.25">
      <c r="B4481"/>
      <c r="M4481"/>
    </row>
    <row r="4482" spans="2:13" ht="15" x14ac:dyDescent="0.25">
      <c r="B4482"/>
      <c r="M4482"/>
    </row>
    <row r="4483" spans="2:13" ht="15" x14ac:dyDescent="0.25">
      <c r="B4483"/>
      <c r="M4483"/>
    </row>
    <row r="4484" spans="2:13" ht="15" x14ac:dyDescent="0.25">
      <c r="B4484"/>
      <c r="M4484"/>
    </row>
    <row r="4485" spans="2:13" ht="15" x14ac:dyDescent="0.25">
      <c r="B4485"/>
      <c r="M4485"/>
    </row>
    <row r="4486" spans="2:13" ht="15" x14ac:dyDescent="0.25">
      <c r="B4486"/>
      <c r="M4486"/>
    </row>
    <row r="4487" spans="2:13" ht="15" x14ac:dyDescent="0.25">
      <c r="B4487"/>
      <c r="M4487"/>
    </row>
    <row r="4488" spans="2:13" ht="15" x14ac:dyDescent="0.25">
      <c r="B4488"/>
      <c r="M4488"/>
    </row>
    <row r="4489" spans="2:13" ht="15" x14ac:dyDescent="0.25">
      <c r="B4489"/>
      <c r="M4489"/>
    </row>
    <row r="4490" spans="2:13" ht="15" x14ac:dyDescent="0.25">
      <c r="B4490"/>
      <c r="M4490"/>
    </row>
    <row r="4491" spans="2:13" ht="15" x14ac:dyDescent="0.25">
      <c r="B4491"/>
      <c r="M4491"/>
    </row>
    <row r="4492" spans="2:13" ht="15" x14ac:dyDescent="0.25">
      <c r="B4492"/>
      <c r="M4492"/>
    </row>
    <row r="4493" spans="2:13" ht="15" x14ac:dyDescent="0.25">
      <c r="B4493"/>
      <c r="M4493"/>
    </row>
    <row r="4494" spans="2:13" ht="15" x14ac:dyDescent="0.25">
      <c r="B4494"/>
      <c r="M4494"/>
    </row>
    <row r="4495" spans="2:13" ht="15" x14ac:dyDescent="0.25">
      <c r="B4495"/>
      <c r="M4495"/>
    </row>
    <row r="4496" spans="2:13" ht="15" x14ac:dyDescent="0.25">
      <c r="B4496"/>
      <c r="M4496"/>
    </row>
    <row r="4497" spans="2:13" ht="15" x14ac:dyDescent="0.25">
      <c r="B4497"/>
      <c r="M4497"/>
    </row>
    <row r="4498" spans="2:13" ht="15" x14ac:dyDescent="0.25">
      <c r="B4498"/>
      <c r="M4498"/>
    </row>
    <row r="4499" spans="2:13" ht="15" x14ac:dyDescent="0.25">
      <c r="B4499"/>
      <c r="M4499"/>
    </row>
    <row r="4500" spans="2:13" ht="15" x14ac:dyDescent="0.25">
      <c r="B4500"/>
      <c r="M4500"/>
    </row>
    <row r="4501" spans="2:13" ht="15" x14ac:dyDescent="0.25">
      <c r="B4501"/>
      <c r="M4501"/>
    </row>
    <row r="4502" spans="2:13" ht="15" x14ac:dyDescent="0.25">
      <c r="B4502"/>
      <c r="M4502"/>
    </row>
    <row r="4503" spans="2:13" ht="15" x14ac:dyDescent="0.25">
      <c r="B4503"/>
      <c r="M4503"/>
    </row>
    <row r="4504" spans="2:13" ht="15" x14ac:dyDescent="0.25">
      <c r="B4504"/>
      <c r="M4504"/>
    </row>
    <row r="4505" spans="2:13" ht="15" x14ac:dyDescent="0.25">
      <c r="B4505"/>
      <c r="M4505"/>
    </row>
    <row r="4506" spans="2:13" ht="15" x14ac:dyDescent="0.25">
      <c r="B4506"/>
      <c r="M4506"/>
    </row>
    <row r="4507" spans="2:13" ht="15" x14ac:dyDescent="0.25">
      <c r="B4507"/>
      <c r="M4507"/>
    </row>
    <row r="4508" spans="2:13" ht="15" x14ac:dyDescent="0.25">
      <c r="B4508"/>
      <c r="M4508"/>
    </row>
    <row r="4509" spans="2:13" ht="15" x14ac:dyDescent="0.25">
      <c r="B4509"/>
      <c r="M4509"/>
    </row>
    <row r="4510" spans="2:13" ht="15" x14ac:dyDescent="0.25">
      <c r="B4510"/>
      <c r="M4510"/>
    </row>
    <row r="4511" spans="2:13" ht="15" x14ac:dyDescent="0.25">
      <c r="B4511"/>
      <c r="M4511"/>
    </row>
    <row r="4512" spans="2:13" ht="15" x14ac:dyDescent="0.25">
      <c r="B4512"/>
      <c r="M4512"/>
    </row>
    <row r="4513" spans="2:13" ht="15" x14ac:dyDescent="0.25">
      <c r="B4513"/>
      <c r="M4513"/>
    </row>
    <row r="4514" spans="2:13" ht="15" x14ac:dyDescent="0.25">
      <c r="B4514"/>
      <c r="M4514"/>
    </row>
    <row r="4515" spans="2:13" ht="15" x14ac:dyDescent="0.25">
      <c r="B4515"/>
      <c r="M4515"/>
    </row>
    <row r="4516" spans="2:13" ht="15" x14ac:dyDescent="0.25">
      <c r="B4516"/>
      <c r="M4516"/>
    </row>
    <row r="4517" spans="2:13" ht="15" x14ac:dyDescent="0.25">
      <c r="B4517"/>
      <c r="M4517"/>
    </row>
    <row r="4518" spans="2:13" ht="15" x14ac:dyDescent="0.25">
      <c r="B4518"/>
      <c r="M4518"/>
    </row>
    <row r="4519" spans="2:13" ht="15" x14ac:dyDescent="0.25">
      <c r="B4519"/>
      <c r="M4519"/>
    </row>
    <row r="4520" spans="2:13" ht="15" x14ac:dyDescent="0.25">
      <c r="B4520"/>
      <c r="M4520"/>
    </row>
    <row r="4521" spans="2:13" ht="15" x14ac:dyDescent="0.25">
      <c r="B4521"/>
      <c r="M4521"/>
    </row>
    <row r="4522" spans="2:13" ht="15" x14ac:dyDescent="0.25">
      <c r="B4522"/>
      <c r="M4522"/>
    </row>
    <row r="4523" spans="2:13" ht="15" x14ac:dyDescent="0.25">
      <c r="B4523"/>
      <c r="M4523"/>
    </row>
    <row r="4524" spans="2:13" ht="15" x14ac:dyDescent="0.25">
      <c r="B4524"/>
      <c r="M4524"/>
    </row>
    <row r="4525" spans="2:13" ht="15" x14ac:dyDescent="0.25">
      <c r="B4525"/>
      <c r="M4525"/>
    </row>
    <row r="4526" spans="2:13" ht="15" x14ac:dyDescent="0.25">
      <c r="B4526"/>
      <c r="M4526"/>
    </row>
    <row r="4527" spans="2:13" ht="15" x14ac:dyDescent="0.25">
      <c r="B4527"/>
      <c r="M4527"/>
    </row>
    <row r="4528" spans="2:13" ht="15" x14ac:dyDescent="0.25">
      <c r="B4528"/>
      <c r="M4528"/>
    </row>
    <row r="4529" spans="2:13" ht="15" x14ac:dyDescent="0.25">
      <c r="B4529"/>
      <c r="M4529"/>
    </row>
    <row r="4530" spans="2:13" ht="15" x14ac:dyDescent="0.25">
      <c r="B4530"/>
      <c r="M4530"/>
    </row>
    <row r="4531" spans="2:13" ht="15" x14ac:dyDescent="0.25">
      <c r="B4531"/>
      <c r="M4531"/>
    </row>
    <row r="4532" spans="2:13" ht="15" x14ac:dyDescent="0.25">
      <c r="B4532"/>
      <c r="M4532"/>
    </row>
    <row r="4533" spans="2:13" ht="15" x14ac:dyDescent="0.25">
      <c r="B4533"/>
      <c r="M4533"/>
    </row>
    <row r="4534" spans="2:13" ht="15" x14ac:dyDescent="0.25">
      <c r="B4534"/>
      <c r="M4534"/>
    </row>
    <row r="4535" spans="2:13" ht="15" x14ac:dyDescent="0.25">
      <c r="B4535"/>
      <c r="M4535"/>
    </row>
    <row r="4536" spans="2:13" ht="15" x14ac:dyDescent="0.25">
      <c r="B4536"/>
      <c r="M4536"/>
    </row>
    <row r="4537" spans="2:13" ht="15" x14ac:dyDescent="0.25">
      <c r="B4537"/>
      <c r="M4537"/>
    </row>
    <row r="4538" spans="2:13" ht="15" x14ac:dyDescent="0.25">
      <c r="B4538"/>
      <c r="M4538"/>
    </row>
    <row r="4539" spans="2:13" ht="15" x14ac:dyDescent="0.25">
      <c r="B4539"/>
      <c r="M4539"/>
    </row>
    <row r="4540" spans="2:13" ht="15" x14ac:dyDescent="0.25">
      <c r="B4540"/>
      <c r="M4540"/>
    </row>
    <row r="4541" spans="2:13" ht="15" x14ac:dyDescent="0.25">
      <c r="B4541"/>
      <c r="M4541"/>
    </row>
    <row r="4542" spans="2:13" ht="15" x14ac:dyDescent="0.25">
      <c r="B4542"/>
      <c r="M4542"/>
    </row>
    <row r="4543" spans="2:13" ht="15" x14ac:dyDescent="0.25">
      <c r="B4543"/>
      <c r="M4543"/>
    </row>
    <row r="4544" spans="2:13" ht="15" x14ac:dyDescent="0.25">
      <c r="B4544"/>
      <c r="M4544"/>
    </row>
    <row r="4545" spans="2:13" ht="15" x14ac:dyDescent="0.25">
      <c r="B4545"/>
      <c r="M4545"/>
    </row>
    <row r="4546" spans="2:13" ht="15" x14ac:dyDescent="0.25">
      <c r="B4546"/>
      <c r="M4546"/>
    </row>
    <row r="4547" spans="2:13" ht="15" x14ac:dyDescent="0.25">
      <c r="B4547"/>
      <c r="M4547"/>
    </row>
    <row r="4548" spans="2:13" ht="15" x14ac:dyDescent="0.25">
      <c r="B4548"/>
      <c r="M4548"/>
    </row>
    <row r="4549" spans="2:13" ht="15" x14ac:dyDescent="0.25">
      <c r="B4549"/>
      <c r="M4549"/>
    </row>
    <row r="4550" spans="2:13" ht="15" x14ac:dyDescent="0.25">
      <c r="B4550"/>
      <c r="M4550"/>
    </row>
    <row r="4551" spans="2:13" ht="15" x14ac:dyDescent="0.25">
      <c r="B4551"/>
      <c r="M4551"/>
    </row>
    <row r="4552" spans="2:13" ht="15" x14ac:dyDescent="0.25">
      <c r="B4552"/>
      <c r="M4552"/>
    </row>
    <row r="4553" spans="2:13" ht="15" x14ac:dyDescent="0.25">
      <c r="B4553"/>
      <c r="M4553"/>
    </row>
    <row r="4554" spans="2:13" ht="15" x14ac:dyDescent="0.25">
      <c r="B4554"/>
      <c r="M4554"/>
    </row>
    <row r="4555" spans="2:13" ht="15" x14ac:dyDescent="0.25">
      <c r="B4555"/>
      <c r="M4555"/>
    </row>
    <row r="4556" spans="2:13" ht="15" x14ac:dyDescent="0.25">
      <c r="B4556"/>
      <c r="M4556"/>
    </row>
    <row r="4557" spans="2:13" ht="15" x14ac:dyDescent="0.25">
      <c r="B4557"/>
      <c r="M4557"/>
    </row>
    <row r="4558" spans="2:13" ht="15" x14ac:dyDescent="0.25">
      <c r="B4558"/>
      <c r="M4558"/>
    </row>
    <row r="4559" spans="2:13" ht="15" x14ac:dyDescent="0.25">
      <c r="B4559"/>
      <c r="M4559"/>
    </row>
    <row r="4560" spans="2:13" ht="15" x14ac:dyDescent="0.25">
      <c r="B4560"/>
      <c r="M4560"/>
    </row>
    <row r="4561" spans="2:13" ht="15" x14ac:dyDescent="0.25">
      <c r="B4561"/>
      <c r="M4561"/>
    </row>
    <row r="4562" spans="2:13" ht="15" x14ac:dyDescent="0.25">
      <c r="B4562"/>
      <c r="M4562"/>
    </row>
    <row r="4563" spans="2:13" ht="15" x14ac:dyDescent="0.25">
      <c r="B4563"/>
      <c r="M4563"/>
    </row>
    <row r="4564" spans="2:13" ht="15" x14ac:dyDescent="0.25">
      <c r="B4564"/>
      <c r="M4564"/>
    </row>
    <row r="4565" spans="2:13" ht="15" x14ac:dyDescent="0.25">
      <c r="B4565"/>
      <c r="M4565"/>
    </row>
    <row r="4566" spans="2:13" ht="15" x14ac:dyDescent="0.25">
      <c r="B4566"/>
      <c r="M4566"/>
    </row>
    <row r="4567" spans="2:13" ht="15" x14ac:dyDescent="0.25">
      <c r="B4567"/>
      <c r="M4567"/>
    </row>
    <row r="4568" spans="2:13" ht="15" x14ac:dyDescent="0.25">
      <c r="B4568"/>
      <c r="M4568"/>
    </row>
    <row r="4569" spans="2:13" ht="15" x14ac:dyDescent="0.25">
      <c r="B4569"/>
      <c r="M4569"/>
    </row>
    <row r="4570" spans="2:13" ht="15" x14ac:dyDescent="0.25">
      <c r="B4570"/>
      <c r="M4570"/>
    </row>
    <row r="4571" spans="2:13" ht="15" x14ac:dyDescent="0.25">
      <c r="B4571"/>
      <c r="M4571"/>
    </row>
    <row r="4572" spans="2:13" ht="15" x14ac:dyDescent="0.25">
      <c r="B4572"/>
      <c r="M4572"/>
    </row>
    <row r="4573" spans="2:13" ht="15" x14ac:dyDescent="0.25">
      <c r="B4573"/>
      <c r="M4573"/>
    </row>
    <row r="4574" spans="2:13" ht="15" x14ac:dyDescent="0.25">
      <c r="B4574"/>
      <c r="M4574"/>
    </row>
    <row r="4575" spans="2:13" ht="15" x14ac:dyDescent="0.25">
      <c r="B4575"/>
      <c r="M4575"/>
    </row>
    <row r="4576" spans="2:13" ht="15" x14ac:dyDescent="0.25">
      <c r="B4576"/>
      <c r="M4576"/>
    </row>
    <row r="4577" spans="2:13" ht="15" x14ac:dyDescent="0.25">
      <c r="B4577"/>
      <c r="M4577"/>
    </row>
    <row r="4578" spans="2:13" ht="15" x14ac:dyDescent="0.25">
      <c r="B4578"/>
      <c r="M4578"/>
    </row>
    <row r="4579" spans="2:13" ht="15" x14ac:dyDescent="0.25">
      <c r="B4579"/>
      <c r="M4579"/>
    </row>
    <row r="4580" spans="2:13" ht="15" x14ac:dyDescent="0.25">
      <c r="B4580"/>
      <c r="M4580"/>
    </row>
    <row r="4581" spans="2:13" ht="15" x14ac:dyDescent="0.25">
      <c r="B4581"/>
      <c r="M4581"/>
    </row>
    <row r="4582" spans="2:13" ht="15" x14ac:dyDescent="0.25">
      <c r="B4582"/>
      <c r="M4582"/>
    </row>
    <row r="4583" spans="2:13" ht="15" x14ac:dyDescent="0.25">
      <c r="B4583"/>
      <c r="M4583"/>
    </row>
    <row r="4584" spans="2:13" ht="15" x14ac:dyDescent="0.25">
      <c r="B4584"/>
      <c r="M4584"/>
    </row>
    <row r="4585" spans="2:13" ht="15" x14ac:dyDescent="0.25">
      <c r="B4585"/>
      <c r="M4585"/>
    </row>
    <row r="4586" spans="2:13" ht="15" x14ac:dyDescent="0.25">
      <c r="B4586"/>
      <c r="M4586"/>
    </row>
    <row r="4587" spans="2:13" ht="15" x14ac:dyDescent="0.25">
      <c r="B4587"/>
      <c r="M4587"/>
    </row>
    <row r="4588" spans="2:13" ht="15" x14ac:dyDescent="0.25">
      <c r="B4588"/>
      <c r="M4588"/>
    </row>
    <row r="4589" spans="2:13" ht="15" x14ac:dyDescent="0.25">
      <c r="B4589"/>
      <c r="M4589"/>
    </row>
    <row r="4590" spans="2:13" ht="15" x14ac:dyDescent="0.25">
      <c r="B4590"/>
      <c r="M4590"/>
    </row>
    <row r="4591" spans="2:13" ht="15" x14ac:dyDescent="0.25">
      <c r="B4591"/>
      <c r="M4591"/>
    </row>
    <row r="4592" spans="2:13" ht="15" x14ac:dyDescent="0.25">
      <c r="B4592"/>
      <c r="M4592"/>
    </row>
    <row r="4593" spans="2:13" ht="15" x14ac:dyDescent="0.25">
      <c r="B4593"/>
      <c r="M4593"/>
    </row>
    <row r="4594" spans="2:13" ht="15" x14ac:dyDescent="0.25">
      <c r="B4594"/>
      <c r="M4594"/>
    </row>
    <row r="4595" spans="2:13" ht="15" x14ac:dyDescent="0.25">
      <c r="B4595"/>
      <c r="M4595"/>
    </row>
    <row r="4596" spans="2:13" ht="15" x14ac:dyDescent="0.25">
      <c r="B4596"/>
      <c r="M4596"/>
    </row>
    <row r="4597" spans="2:13" ht="15" x14ac:dyDescent="0.25">
      <c r="B4597"/>
      <c r="M4597"/>
    </row>
    <row r="4598" spans="2:13" ht="15" x14ac:dyDescent="0.25">
      <c r="B4598"/>
      <c r="M4598"/>
    </row>
    <row r="4599" spans="2:13" ht="15" x14ac:dyDescent="0.25">
      <c r="B4599"/>
      <c r="M4599"/>
    </row>
    <row r="4600" spans="2:13" ht="15" x14ac:dyDescent="0.25">
      <c r="B4600"/>
      <c r="M4600"/>
    </row>
    <row r="4601" spans="2:13" ht="15" x14ac:dyDescent="0.25">
      <c r="B4601"/>
      <c r="M4601"/>
    </row>
    <row r="4602" spans="2:13" ht="15" x14ac:dyDescent="0.25">
      <c r="B4602"/>
      <c r="M4602"/>
    </row>
    <row r="4603" spans="2:13" ht="15" x14ac:dyDescent="0.25">
      <c r="B4603"/>
      <c r="M4603"/>
    </row>
    <row r="4604" spans="2:13" ht="15" x14ac:dyDescent="0.25">
      <c r="B4604"/>
      <c r="M4604"/>
    </row>
    <row r="4605" spans="2:13" ht="15" x14ac:dyDescent="0.25">
      <c r="B4605"/>
      <c r="M4605"/>
    </row>
    <row r="4606" spans="2:13" ht="15" x14ac:dyDescent="0.25">
      <c r="B4606"/>
      <c r="M4606"/>
    </row>
    <row r="4607" spans="2:13" ht="15" x14ac:dyDescent="0.25">
      <c r="B4607"/>
      <c r="M4607"/>
    </row>
    <row r="4608" spans="2:13" ht="15" x14ac:dyDescent="0.25">
      <c r="B4608"/>
      <c r="M4608"/>
    </row>
    <row r="4609" spans="2:13" ht="15" x14ac:dyDescent="0.25">
      <c r="B4609"/>
      <c r="M4609"/>
    </row>
    <row r="4610" spans="2:13" ht="15" x14ac:dyDescent="0.25">
      <c r="B4610"/>
      <c r="M4610"/>
    </row>
    <row r="4611" spans="2:13" ht="15" x14ac:dyDescent="0.25">
      <c r="B4611"/>
      <c r="M4611"/>
    </row>
    <row r="4612" spans="2:13" ht="15" x14ac:dyDescent="0.25">
      <c r="B4612"/>
      <c r="M4612"/>
    </row>
    <row r="4613" spans="2:13" ht="15" x14ac:dyDescent="0.25">
      <c r="B4613"/>
      <c r="M4613"/>
    </row>
    <row r="4614" spans="2:13" ht="15" x14ac:dyDescent="0.25">
      <c r="B4614"/>
      <c r="M4614"/>
    </row>
    <row r="4615" spans="2:13" ht="15" x14ac:dyDescent="0.25">
      <c r="B4615"/>
      <c r="M4615"/>
    </row>
    <row r="4616" spans="2:13" ht="15" x14ac:dyDescent="0.25">
      <c r="B4616"/>
      <c r="M4616"/>
    </row>
    <row r="4617" spans="2:13" ht="15" x14ac:dyDescent="0.25">
      <c r="B4617"/>
      <c r="M4617"/>
    </row>
    <row r="4618" spans="2:13" ht="15" x14ac:dyDescent="0.25">
      <c r="B4618"/>
      <c r="M4618"/>
    </row>
    <row r="4619" spans="2:13" ht="15" x14ac:dyDescent="0.25">
      <c r="B4619"/>
      <c r="M4619"/>
    </row>
    <row r="4620" spans="2:13" ht="15" x14ac:dyDescent="0.25">
      <c r="B4620"/>
      <c r="M4620"/>
    </row>
    <row r="4621" spans="2:13" ht="15" x14ac:dyDescent="0.25">
      <c r="B4621"/>
      <c r="M4621"/>
    </row>
    <row r="4622" spans="2:13" ht="15" x14ac:dyDescent="0.25">
      <c r="B4622"/>
      <c r="M4622"/>
    </row>
    <row r="4623" spans="2:13" ht="15" x14ac:dyDescent="0.25">
      <c r="B4623"/>
      <c r="M4623"/>
    </row>
    <row r="4624" spans="2:13" ht="15" x14ac:dyDescent="0.25">
      <c r="B4624"/>
      <c r="M4624"/>
    </row>
    <row r="4625" spans="2:13" ht="15" x14ac:dyDescent="0.25">
      <c r="B4625"/>
      <c r="M4625"/>
    </row>
    <row r="4626" spans="2:13" ht="15" x14ac:dyDescent="0.25">
      <c r="B4626"/>
      <c r="M4626"/>
    </row>
    <row r="4627" spans="2:13" ht="15" x14ac:dyDescent="0.25">
      <c r="B4627"/>
      <c r="M4627"/>
    </row>
    <row r="4628" spans="2:13" ht="15" x14ac:dyDescent="0.25">
      <c r="B4628"/>
      <c r="M4628"/>
    </row>
    <row r="4629" spans="2:13" ht="15" x14ac:dyDescent="0.25">
      <c r="B4629"/>
      <c r="M4629"/>
    </row>
    <row r="4630" spans="2:13" ht="15" x14ac:dyDescent="0.25">
      <c r="B4630"/>
      <c r="M4630"/>
    </row>
    <row r="4631" spans="2:13" ht="15" x14ac:dyDescent="0.25">
      <c r="B4631"/>
      <c r="M4631"/>
    </row>
    <row r="4632" spans="2:13" ht="15" x14ac:dyDescent="0.25">
      <c r="B4632"/>
      <c r="M4632"/>
    </row>
    <row r="4633" spans="2:13" ht="15" x14ac:dyDescent="0.25">
      <c r="B4633"/>
      <c r="M4633"/>
    </row>
    <row r="4634" spans="2:13" ht="15" x14ac:dyDescent="0.25">
      <c r="B4634"/>
      <c r="M4634"/>
    </row>
    <row r="4635" spans="2:13" ht="15" x14ac:dyDescent="0.25">
      <c r="B4635"/>
      <c r="M4635"/>
    </row>
    <row r="4636" spans="2:13" ht="15" x14ac:dyDescent="0.25">
      <c r="B4636"/>
      <c r="M4636"/>
    </row>
    <row r="4637" spans="2:13" ht="15" x14ac:dyDescent="0.25">
      <c r="B4637"/>
      <c r="M4637"/>
    </row>
    <row r="4638" spans="2:13" ht="15" x14ac:dyDescent="0.25">
      <c r="B4638"/>
      <c r="M4638"/>
    </row>
    <row r="4639" spans="2:13" ht="15" x14ac:dyDescent="0.25">
      <c r="B4639"/>
      <c r="M4639"/>
    </row>
    <row r="4640" spans="2:13" ht="15" x14ac:dyDescent="0.25">
      <c r="B4640"/>
      <c r="M4640"/>
    </row>
    <row r="4641" spans="2:13" ht="15" x14ac:dyDescent="0.25">
      <c r="B4641"/>
      <c r="M4641"/>
    </row>
    <row r="4642" spans="2:13" ht="15" x14ac:dyDescent="0.25">
      <c r="B4642"/>
      <c r="M4642"/>
    </row>
    <row r="4643" spans="2:13" ht="15" x14ac:dyDescent="0.25">
      <c r="B4643"/>
      <c r="M4643"/>
    </row>
    <row r="4644" spans="2:13" ht="15" x14ac:dyDescent="0.25">
      <c r="B4644"/>
      <c r="M4644"/>
    </row>
    <row r="4645" spans="2:13" ht="15" x14ac:dyDescent="0.25">
      <c r="B4645"/>
      <c r="M4645"/>
    </row>
    <row r="4646" spans="2:13" ht="15" x14ac:dyDescent="0.25">
      <c r="B4646"/>
      <c r="M4646"/>
    </row>
    <row r="4647" spans="2:13" ht="15" x14ac:dyDescent="0.25">
      <c r="B4647"/>
      <c r="M4647"/>
    </row>
    <row r="4648" spans="2:13" ht="15" x14ac:dyDescent="0.25">
      <c r="B4648"/>
      <c r="M4648"/>
    </row>
    <row r="4649" spans="2:13" ht="15" x14ac:dyDescent="0.25">
      <c r="B4649"/>
      <c r="M4649"/>
    </row>
    <row r="4650" spans="2:13" ht="15" x14ac:dyDescent="0.25">
      <c r="B4650"/>
      <c r="M4650"/>
    </row>
    <row r="4651" spans="2:13" ht="15" x14ac:dyDescent="0.25">
      <c r="B4651"/>
      <c r="M4651"/>
    </row>
    <row r="4652" spans="2:13" ht="15" x14ac:dyDescent="0.25">
      <c r="B4652"/>
      <c r="M4652"/>
    </row>
    <row r="4653" spans="2:13" ht="15" x14ac:dyDescent="0.25">
      <c r="B4653"/>
      <c r="M4653"/>
    </row>
    <row r="4654" spans="2:13" ht="15" x14ac:dyDescent="0.25">
      <c r="B4654"/>
      <c r="M4654"/>
    </row>
    <row r="4655" spans="2:13" ht="15" x14ac:dyDescent="0.25">
      <c r="B4655"/>
      <c r="M4655"/>
    </row>
    <row r="4656" spans="2:13" ht="15" x14ac:dyDescent="0.25">
      <c r="B4656"/>
      <c r="M4656"/>
    </row>
    <row r="4657" spans="2:13" ht="15" x14ac:dyDescent="0.25">
      <c r="B4657"/>
      <c r="M4657"/>
    </row>
    <row r="4658" spans="2:13" ht="15" x14ac:dyDescent="0.25">
      <c r="B4658"/>
      <c r="M4658"/>
    </row>
    <row r="4659" spans="2:13" ht="15" x14ac:dyDescent="0.25">
      <c r="B4659"/>
      <c r="M4659"/>
    </row>
    <row r="4660" spans="2:13" ht="15" x14ac:dyDescent="0.25">
      <c r="B4660"/>
      <c r="M4660"/>
    </row>
    <row r="4661" spans="2:13" ht="15" x14ac:dyDescent="0.25">
      <c r="B4661"/>
      <c r="M4661"/>
    </row>
    <row r="4662" spans="2:13" ht="15" x14ac:dyDescent="0.25">
      <c r="B4662"/>
      <c r="M4662"/>
    </row>
    <row r="4663" spans="2:13" ht="15" x14ac:dyDescent="0.25">
      <c r="B4663"/>
      <c r="M4663"/>
    </row>
    <row r="4664" spans="2:13" ht="15" x14ac:dyDescent="0.25">
      <c r="B4664"/>
      <c r="M4664"/>
    </row>
    <row r="4665" spans="2:13" ht="15" x14ac:dyDescent="0.25">
      <c r="B4665"/>
      <c r="M4665"/>
    </row>
    <row r="4666" spans="2:13" ht="15" x14ac:dyDescent="0.25">
      <c r="B4666"/>
      <c r="M4666"/>
    </row>
    <row r="4667" spans="2:13" ht="15" x14ac:dyDescent="0.25">
      <c r="B4667"/>
      <c r="M4667"/>
    </row>
    <row r="4668" spans="2:13" ht="15" x14ac:dyDescent="0.25">
      <c r="B4668"/>
      <c r="M4668"/>
    </row>
    <row r="4669" spans="2:13" ht="15" x14ac:dyDescent="0.25">
      <c r="B4669"/>
      <c r="M4669"/>
    </row>
    <row r="4670" spans="2:13" ht="15" x14ac:dyDescent="0.25">
      <c r="B4670"/>
      <c r="M4670"/>
    </row>
    <row r="4671" spans="2:13" ht="15" x14ac:dyDescent="0.25">
      <c r="B4671"/>
      <c r="M4671"/>
    </row>
    <row r="4672" spans="2:13" ht="15" x14ac:dyDescent="0.25">
      <c r="B4672"/>
      <c r="M4672"/>
    </row>
    <row r="4673" spans="2:13" ht="15" x14ac:dyDescent="0.25">
      <c r="B4673"/>
      <c r="M4673"/>
    </row>
    <row r="4674" spans="2:13" ht="15" x14ac:dyDescent="0.25">
      <c r="B4674"/>
      <c r="M4674"/>
    </row>
    <row r="4675" spans="2:13" ht="15" x14ac:dyDescent="0.25">
      <c r="B4675"/>
      <c r="M4675"/>
    </row>
    <row r="4676" spans="2:13" ht="15" x14ac:dyDescent="0.25">
      <c r="B4676"/>
      <c r="M4676"/>
    </row>
    <row r="4677" spans="2:13" ht="15" x14ac:dyDescent="0.25">
      <c r="B4677"/>
      <c r="M4677"/>
    </row>
    <row r="4678" spans="2:13" ht="15" x14ac:dyDescent="0.25">
      <c r="B4678"/>
      <c r="M4678"/>
    </row>
    <row r="4679" spans="2:13" ht="15" x14ac:dyDescent="0.25">
      <c r="B4679"/>
      <c r="M4679"/>
    </row>
    <row r="4680" spans="2:13" ht="15" x14ac:dyDescent="0.25">
      <c r="B4680"/>
      <c r="M4680"/>
    </row>
    <row r="4681" spans="2:13" ht="15" x14ac:dyDescent="0.25">
      <c r="B4681"/>
      <c r="M4681"/>
    </row>
    <row r="4682" spans="2:13" ht="15" x14ac:dyDescent="0.25">
      <c r="B4682"/>
      <c r="M4682"/>
    </row>
    <row r="4683" spans="2:13" ht="15" x14ac:dyDescent="0.25">
      <c r="B4683"/>
      <c r="M4683"/>
    </row>
    <row r="4684" spans="2:13" ht="15" x14ac:dyDescent="0.25">
      <c r="B4684"/>
      <c r="M4684"/>
    </row>
    <row r="4685" spans="2:13" ht="15" x14ac:dyDescent="0.25">
      <c r="B4685"/>
      <c r="M4685"/>
    </row>
    <row r="4686" spans="2:13" ht="15" x14ac:dyDescent="0.25">
      <c r="B4686"/>
      <c r="M4686"/>
    </row>
    <row r="4687" spans="2:13" ht="15" x14ac:dyDescent="0.25">
      <c r="B4687"/>
      <c r="M4687"/>
    </row>
    <row r="4688" spans="2:13" ht="15" x14ac:dyDescent="0.25">
      <c r="B4688"/>
      <c r="M4688"/>
    </row>
    <row r="4689" spans="2:13" ht="15" x14ac:dyDescent="0.25">
      <c r="B4689"/>
      <c r="M4689"/>
    </row>
    <row r="4690" spans="2:13" ht="15" x14ac:dyDescent="0.25">
      <c r="B4690"/>
      <c r="M4690"/>
    </row>
    <row r="4691" spans="2:13" ht="15" x14ac:dyDescent="0.25">
      <c r="B4691"/>
      <c r="M4691"/>
    </row>
    <row r="4692" spans="2:13" ht="15" x14ac:dyDescent="0.25">
      <c r="B4692"/>
      <c r="M4692"/>
    </row>
    <row r="4693" spans="2:13" ht="15" x14ac:dyDescent="0.25">
      <c r="B4693"/>
      <c r="M4693"/>
    </row>
    <row r="4694" spans="2:13" ht="15" x14ac:dyDescent="0.25">
      <c r="B4694"/>
      <c r="M4694"/>
    </row>
    <row r="4695" spans="2:13" ht="15" x14ac:dyDescent="0.25">
      <c r="B4695"/>
      <c r="M4695"/>
    </row>
    <row r="4696" spans="2:13" ht="15" x14ac:dyDescent="0.25">
      <c r="B4696"/>
      <c r="M4696"/>
    </row>
    <row r="4697" spans="2:13" ht="15" x14ac:dyDescent="0.25">
      <c r="B4697"/>
      <c r="M4697"/>
    </row>
    <row r="4698" spans="2:13" ht="15" x14ac:dyDescent="0.25">
      <c r="B4698"/>
      <c r="M4698"/>
    </row>
    <row r="4699" spans="2:13" ht="15" x14ac:dyDescent="0.25">
      <c r="B4699"/>
      <c r="M4699"/>
    </row>
    <row r="4700" spans="2:13" ht="15" x14ac:dyDescent="0.25">
      <c r="B4700"/>
      <c r="M4700"/>
    </row>
    <row r="4701" spans="2:13" ht="15" x14ac:dyDescent="0.25">
      <c r="B4701"/>
      <c r="M4701"/>
    </row>
    <row r="4702" spans="2:13" ht="15" x14ac:dyDescent="0.25">
      <c r="B4702"/>
      <c r="M4702"/>
    </row>
    <row r="4703" spans="2:13" ht="15" x14ac:dyDescent="0.25">
      <c r="B4703"/>
      <c r="M4703"/>
    </row>
    <row r="4704" spans="2:13" ht="15" x14ac:dyDescent="0.25">
      <c r="B4704"/>
      <c r="M4704"/>
    </row>
    <row r="4705" spans="2:13" ht="15" x14ac:dyDescent="0.25">
      <c r="B4705"/>
      <c r="M4705"/>
    </row>
    <row r="4706" spans="2:13" ht="15" x14ac:dyDescent="0.25">
      <c r="B4706"/>
      <c r="M4706"/>
    </row>
    <row r="4707" spans="2:13" ht="15" x14ac:dyDescent="0.25">
      <c r="B4707"/>
      <c r="M4707"/>
    </row>
    <row r="4708" spans="2:13" ht="15" x14ac:dyDescent="0.25">
      <c r="B4708"/>
      <c r="M4708"/>
    </row>
    <row r="4709" spans="2:13" ht="15" x14ac:dyDescent="0.25">
      <c r="B4709"/>
      <c r="M4709"/>
    </row>
    <row r="4710" spans="2:13" ht="15" x14ac:dyDescent="0.25">
      <c r="B4710"/>
      <c r="M4710"/>
    </row>
    <row r="4711" spans="2:13" ht="15" x14ac:dyDescent="0.25">
      <c r="B4711"/>
      <c r="M4711"/>
    </row>
    <row r="4712" spans="2:13" ht="15" x14ac:dyDescent="0.25">
      <c r="B4712"/>
      <c r="M4712"/>
    </row>
    <row r="4713" spans="2:13" ht="15" x14ac:dyDescent="0.25">
      <c r="B4713"/>
      <c r="M4713"/>
    </row>
    <row r="4714" spans="2:13" ht="15" x14ac:dyDescent="0.25">
      <c r="B4714"/>
      <c r="M4714"/>
    </row>
    <row r="4715" spans="2:13" ht="15" x14ac:dyDescent="0.25">
      <c r="B4715"/>
      <c r="M4715"/>
    </row>
    <row r="4716" spans="2:13" ht="15" x14ac:dyDescent="0.25">
      <c r="B4716"/>
      <c r="M4716"/>
    </row>
    <row r="4717" spans="2:13" ht="15" x14ac:dyDescent="0.25">
      <c r="B4717"/>
      <c r="M4717"/>
    </row>
    <row r="4718" spans="2:13" ht="15" x14ac:dyDescent="0.25">
      <c r="B4718"/>
      <c r="M4718"/>
    </row>
    <row r="4719" spans="2:13" ht="15" x14ac:dyDescent="0.25">
      <c r="B4719"/>
      <c r="M4719"/>
    </row>
    <row r="4720" spans="2:13" ht="15" x14ac:dyDescent="0.25">
      <c r="B4720"/>
      <c r="M4720"/>
    </row>
    <row r="4721" spans="2:13" ht="15" x14ac:dyDescent="0.25">
      <c r="B4721"/>
      <c r="M4721"/>
    </row>
    <row r="4722" spans="2:13" ht="15" x14ac:dyDescent="0.25">
      <c r="B4722"/>
      <c r="M4722"/>
    </row>
    <row r="4723" spans="2:13" ht="15" x14ac:dyDescent="0.25">
      <c r="B4723"/>
      <c r="M4723"/>
    </row>
    <row r="4724" spans="2:13" ht="15" x14ac:dyDescent="0.25">
      <c r="B4724"/>
      <c r="M4724"/>
    </row>
    <row r="4725" spans="2:13" ht="15" x14ac:dyDescent="0.25">
      <c r="B4725"/>
      <c r="M4725"/>
    </row>
    <row r="4726" spans="2:13" ht="15" x14ac:dyDescent="0.25">
      <c r="B4726"/>
      <c r="M4726"/>
    </row>
    <row r="4727" spans="2:13" ht="15" x14ac:dyDescent="0.25">
      <c r="B4727"/>
      <c r="M4727"/>
    </row>
    <row r="4728" spans="2:13" ht="15" x14ac:dyDescent="0.25">
      <c r="B4728"/>
      <c r="M4728"/>
    </row>
    <row r="4729" spans="2:13" ht="15" x14ac:dyDescent="0.25">
      <c r="B4729"/>
      <c r="M4729"/>
    </row>
    <row r="4730" spans="2:13" ht="15" x14ac:dyDescent="0.25">
      <c r="B4730"/>
      <c r="M4730"/>
    </row>
    <row r="4731" spans="2:13" ht="15" x14ac:dyDescent="0.25">
      <c r="B4731"/>
      <c r="M4731"/>
    </row>
    <row r="4732" spans="2:13" ht="15" x14ac:dyDescent="0.25">
      <c r="B4732"/>
      <c r="M4732"/>
    </row>
    <row r="4733" spans="2:13" ht="15" x14ac:dyDescent="0.25">
      <c r="B4733"/>
      <c r="M4733"/>
    </row>
    <row r="4734" spans="2:13" ht="15" x14ac:dyDescent="0.25">
      <c r="B4734"/>
      <c r="M4734"/>
    </row>
    <row r="4735" spans="2:13" ht="15" x14ac:dyDescent="0.25">
      <c r="B4735"/>
      <c r="M4735"/>
    </row>
    <row r="4736" spans="2:13" ht="15" x14ac:dyDescent="0.25">
      <c r="B4736"/>
      <c r="M4736"/>
    </row>
    <row r="4737" spans="2:13" ht="15" x14ac:dyDescent="0.25">
      <c r="B4737"/>
      <c r="M4737"/>
    </row>
    <row r="4738" spans="2:13" ht="15" x14ac:dyDescent="0.25">
      <c r="B4738"/>
      <c r="M4738"/>
    </row>
    <row r="4739" spans="2:13" ht="15" x14ac:dyDescent="0.25">
      <c r="B4739"/>
      <c r="M4739"/>
    </row>
    <row r="4740" spans="2:13" ht="15" x14ac:dyDescent="0.25">
      <c r="B4740"/>
      <c r="M4740"/>
    </row>
    <row r="4741" spans="2:13" ht="15" x14ac:dyDescent="0.25">
      <c r="B4741"/>
      <c r="M4741"/>
    </row>
    <row r="4742" spans="2:13" ht="15" x14ac:dyDescent="0.25">
      <c r="B4742"/>
      <c r="M4742"/>
    </row>
    <row r="4743" spans="2:13" ht="15" x14ac:dyDescent="0.25">
      <c r="B4743"/>
      <c r="M4743"/>
    </row>
    <row r="4744" spans="2:13" ht="15" x14ac:dyDescent="0.25">
      <c r="B4744"/>
      <c r="M4744"/>
    </row>
    <row r="4745" spans="2:13" ht="15" x14ac:dyDescent="0.25">
      <c r="B4745"/>
      <c r="M4745"/>
    </row>
    <row r="4746" spans="2:13" ht="15" x14ac:dyDescent="0.25">
      <c r="B4746"/>
      <c r="M4746"/>
    </row>
    <row r="4747" spans="2:13" ht="15" x14ac:dyDescent="0.25">
      <c r="B4747"/>
      <c r="M4747"/>
    </row>
    <row r="4748" spans="2:13" ht="15" x14ac:dyDescent="0.25">
      <c r="B4748"/>
      <c r="M4748"/>
    </row>
    <row r="4749" spans="2:13" ht="15" x14ac:dyDescent="0.25">
      <c r="B4749"/>
      <c r="M4749"/>
    </row>
    <row r="4750" spans="2:13" ht="15" x14ac:dyDescent="0.25">
      <c r="B4750"/>
      <c r="M4750"/>
    </row>
    <row r="4751" spans="2:13" ht="15" x14ac:dyDescent="0.25">
      <c r="B4751"/>
      <c r="M4751"/>
    </row>
    <row r="4752" spans="2:13" ht="15" x14ac:dyDescent="0.25">
      <c r="B4752"/>
      <c r="M4752"/>
    </row>
    <row r="4753" spans="2:13" ht="15" x14ac:dyDescent="0.25">
      <c r="B4753"/>
      <c r="M4753"/>
    </row>
    <row r="4754" spans="2:13" ht="15" x14ac:dyDescent="0.25">
      <c r="B4754"/>
      <c r="M4754"/>
    </row>
    <row r="4755" spans="2:13" ht="15" x14ac:dyDescent="0.25">
      <c r="B4755"/>
      <c r="M4755"/>
    </row>
    <row r="4756" spans="2:13" ht="15" x14ac:dyDescent="0.25">
      <c r="B4756"/>
      <c r="M4756"/>
    </row>
    <row r="4757" spans="2:13" ht="15" x14ac:dyDescent="0.25">
      <c r="B4757"/>
      <c r="M4757"/>
    </row>
    <row r="4758" spans="2:13" ht="15" x14ac:dyDescent="0.25">
      <c r="B4758"/>
      <c r="M4758"/>
    </row>
    <row r="4759" spans="2:13" ht="15" x14ac:dyDescent="0.25">
      <c r="B4759"/>
      <c r="M4759"/>
    </row>
    <row r="4760" spans="2:13" ht="15" x14ac:dyDescent="0.25">
      <c r="B4760"/>
      <c r="M4760"/>
    </row>
    <row r="4761" spans="2:13" ht="15" x14ac:dyDescent="0.25">
      <c r="B4761"/>
      <c r="M4761"/>
    </row>
    <row r="4762" spans="2:13" ht="15" x14ac:dyDescent="0.25">
      <c r="B4762"/>
      <c r="M4762"/>
    </row>
    <row r="4763" spans="2:13" ht="15" x14ac:dyDescent="0.25">
      <c r="B4763"/>
      <c r="M4763"/>
    </row>
    <row r="4764" spans="2:13" ht="15" x14ac:dyDescent="0.25">
      <c r="B4764"/>
      <c r="M4764"/>
    </row>
    <row r="4765" spans="2:13" ht="15" x14ac:dyDescent="0.25">
      <c r="B4765"/>
      <c r="M4765"/>
    </row>
    <row r="4766" spans="2:13" ht="15" x14ac:dyDescent="0.25">
      <c r="B4766"/>
      <c r="M4766"/>
    </row>
    <row r="4767" spans="2:13" ht="15" x14ac:dyDescent="0.25">
      <c r="B4767"/>
      <c r="M4767"/>
    </row>
    <row r="4768" spans="2:13" ht="15" x14ac:dyDescent="0.25">
      <c r="B4768"/>
      <c r="M4768"/>
    </row>
    <row r="4769" spans="2:13" ht="15" x14ac:dyDescent="0.25">
      <c r="B4769"/>
      <c r="M4769"/>
    </row>
    <row r="4770" spans="2:13" ht="15" x14ac:dyDescent="0.25">
      <c r="B4770"/>
      <c r="M4770"/>
    </row>
    <row r="4771" spans="2:13" ht="15" x14ac:dyDescent="0.25">
      <c r="B4771"/>
      <c r="M4771"/>
    </row>
    <row r="4772" spans="2:13" ht="15" x14ac:dyDescent="0.25">
      <c r="B4772"/>
      <c r="M4772"/>
    </row>
    <row r="4773" spans="2:13" ht="15" x14ac:dyDescent="0.25">
      <c r="B4773"/>
      <c r="M4773"/>
    </row>
    <row r="4774" spans="2:13" ht="15" x14ac:dyDescent="0.25">
      <c r="B4774"/>
      <c r="M4774"/>
    </row>
    <row r="4775" spans="2:13" ht="15" x14ac:dyDescent="0.25">
      <c r="B4775"/>
      <c r="M4775"/>
    </row>
    <row r="4776" spans="2:13" ht="15" x14ac:dyDescent="0.25">
      <c r="B4776"/>
      <c r="M4776"/>
    </row>
    <row r="4777" spans="2:13" ht="15" x14ac:dyDescent="0.25">
      <c r="B4777"/>
      <c r="M4777"/>
    </row>
    <row r="4778" spans="2:13" ht="15" x14ac:dyDescent="0.25">
      <c r="B4778"/>
      <c r="M4778"/>
    </row>
    <row r="4779" spans="2:13" ht="15" x14ac:dyDescent="0.25">
      <c r="B4779"/>
      <c r="M4779"/>
    </row>
    <row r="4780" spans="2:13" ht="15" x14ac:dyDescent="0.25">
      <c r="B4780"/>
      <c r="M4780"/>
    </row>
    <row r="4781" spans="2:13" ht="15" x14ac:dyDescent="0.25">
      <c r="B4781"/>
      <c r="M4781"/>
    </row>
    <row r="4782" spans="2:13" ht="15" x14ac:dyDescent="0.25">
      <c r="B4782"/>
      <c r="M4782"/>
    </row>
    <row r="4783" spans="2:13" ht="15" x14ac:dyDescent="0.25">
      <c r="B4783"/>
      <c r="M4783"/>
    </row>
    <row r="4784" spans="2:13" ht="15" x14ac:dyDescent="0.25">
      <c r="B4784"/>
      <c r="M4784"/>
    </row>
    <row r="4785" spans="2:13" ht="15" x14ac:dyDescent="0.25">
      <c r="B4785"/>
      <c r="M4785"/>
    </row>
    <row r="4786" spans="2:13" ht="15" x14ac:dyDescent="0.25">
      <c r="B4786"/>
      <c r="M4786"/>
    </row>
    <row r="4787" spans="2:13" ht="15" x14ac:dyDescent="0.25">
      <c r="B4787"/>
      <c r="M4787"/>
    </row>
    <row r="4788" spans="2:13" ht="15" x14ac:dyDescent="0.25">
      <c r="B4788"/>
      <c r="M4788"/>
    </row>
    <row r="4789" spans="2:13" ht="15" x14ac:dyDescent="0.25">
      <c r="B4789"/>
      <c r="M4789"/>
    </row>
    <row r="4790" spans="2:13" ht="15" x14ac:dyDescent="0.25">
      <c r="B4790"/>
      <c r="M4790"/>
    </row>
    <row r="4791" spans="2:13" ht="15" x14ac:dyDescent="0.25">
      <c r="B4791"/>
      <c r="M4791"/>
    </row>
    <row r="4792" spans="2:13" ht="15" x14ac:dyDescent="0.25">
      <c r="B4792"/>
      <c r="M4792"/>
    </row>
    <row r="4793" spans="2:13" ht="15" x14ac:dyDescent="0.25">
      <c r="B4793"/>
      <c r="M4793"/>
    </row>
    <row r="4794" spans="2:13" ht="15" x14ac:dyDescent="0.25">
      <c r="B4794"/>
      <c r="M4794"/>
    </row>
    <row r="4795" spans="2:13" ht="15" x14ac:dyDescent="0.25">
      <c r="B4795"/>
      <c r="M4795"/>
    </row>
    <row r="4796" spans="2:13" ht="15" x14ac:dyDescent="0.25">
      <c r="B4796"/>
      <c r="M4796"/>
    </row>
    <row r="4797" spans="2:13" ht="15" x14ac:dyDescent="0.25">
      <c r="B4797"/>
      <c r="M4797"/>
    </row>
    <row r="4798" spans="2:13" ht="15" x14ac:dyDescent="0.25">
      <c r="B4798"/>
      <c r="M4798"/>
    </row>
    <row r="4799" spans="2:13" ht="15" x14ac:dyDescent="0.25">
      <c r="B4799"/>
      <c r="M4799"/>
    </row>
    <row r="4800" spans="2:13" ht="15" x14ac:dyDescent="0.25">
      <c r="B4800"/>
      <c r="M4800"/>
    </row>
    <row r="4801" spans="2:13" ht="15" x14ac:dyDescent="0.25">
      <c r="B4801"/>
      <c r="M4801"/>
    </row>
    <row r="4802" spans="2:13" ht="15" x14ac:dyDescent="0.25">
      <c r="B4802"/>
      <c r="M4802"/>
    </row>
    <row r="4803" spans="2:13" ht="15" x14ac:dyDescent="0.25">
      <c r="B4803"/>
      <c r="M4803"/>
    </row>
    <row r="4804" spans="2:13" ht="15" x14ac:dyDescent="0.25">
      <c r="B4804"/>
      <c r="M4804"/>
    </row>
    <row r="4805" spans="2:13" ht="15" x14ac:dyDescent="0.25">
      <c r="B4805"/>
      <c r="M4805"/>
    </row>
    <row r="4806" spans="2:13" ht="15" x14ac:dyDescent="0.25">
      <c r="B4806"/>
      <c r="M4806"/>
    </row>
    <row r="4807" spans="2:13" ht="15" x14ac:dyDescent="0.25">
      <c r="B4807"/>
      <c r="M4807"/>
    </row>
    <row r="4808" spans="2:13" ht="15" x14ac:dyDescent="0.25">
      <c r="B4808"/>
      <c r="M4808"/>
    </row>
    <row r="4809" spans="2:13" ht="15" x14ac:dyDescent="0.25">
      <c r="B4809"/>
      <c r="M4809"/>
    </row>
    <row r="4810" spans="2:13" ht="15" x14ac:dyDescent="0.25">
      <c r="B4810"/>
      <c r="M4810"/>
    </row>
    <row r="4811" spans="2:13" ht="15" x14ac:dyDescent="0.25">
      <c r="B4811"/>
      <c r="M4811"/>
    </row>
    <row r="4812" spans="2:13" ht="15" x14ac:dyDescent="0.25">
      <c r="B4812"/>
      <c r="M4812"/>
    </row>
    <row r="4813" spans="2:13" ht="15" x14ac:dyDescent="0.25">
      <c r="B4813"/>
      <c r="M4813"/>
    </row>
    <row r="4814" spans="2:13" ht="15" x14ac:dyDescent="0.25">
      <c r="B4814"/>
      <c r="M4814"/>
    </row>
    <row r="4815" spans="2:13" ht="15" x14ac:dyDescent="0.25">
      <c r="B4815"/>
      <c r="M4815"/>
    </row>
    <row r="4816" spans="2:13" ht="15" x14ac:dyDescent="0.25">
      <c r="B4816"/>
      <c r="M4816"/>
    </row>
    <row r="4817" spans="2:13" ht="15" x14ac:dyDescent="0.25">
      <c r="B4817"/>
      <c r="M4817"/>
    </row>
    <row r="4818" spans="2:13" ht="15" x14ac:dyDescent="0.25">
      <c r="B4818"/>
      <c r="M4818"/>
    </row>
    <row r="4819" spans="2:13" ht="15" x14ac:dyDescent="0.25">
      <c r="B4819"/>
      <c r="M4819"/>
    </row>
    <row r="4820" spans="2:13" ht="15" x14ac:dyDescent="0.25">
      <c r="B4820"/>
      <c r="M4820"/>
    </row>
    <row r="4821" spans="2:13" ht="15" x14ac:dyDescent="0.25">
      <c r="B4821"/>
      <c r="M4821"/>
    </row>
    <row r="4822" spans="2:13" ht="15" x14ac:dyDescent="0.25">
      <c r="B4822"/>
      <c r="M4822"/>
    </row>
    <row r="4823" spans="2:13" ht="15" x14ac:dyDescent="0.25">
      <c r="B4823"/>
      <c r="M4823"/>
    </row>
    <row r="4824" spans="2:13" ht="15" x14ac:dyDescent="0.25">
      <c r="B4824"/>
      <c r="M4824"/>
    </row>
    <row r="4825" spans="2:13" ht="15" x14ac:dyDescent="0.25">
      <c r="B4825"/>
      <c r="M4825"/>
    </row>
    <row r="4826" spans="2:13" ht="15" x14ac:dyDescent="0.25">
      <c r="B4826"/>
      <c r="M4826"/>
    </row>
    <row r="4827" spans="2:13" ht="15" x14ac:dyDescent="0.25">
      <c r="B4827"/>
      <c r="M4827"/>
    </row>
    <row r="4828" spans="2:13" ht="15" x14ac:dyDescent="0.25">
      <c r="B4828"/>
      <c r="M4828"/>
    </row>
    <row r="4829" spans="2:13" ht="15" x14ac:dyDescent="0.25">
      <c r="B4829"/>
      <c r="M4829"/>
    </row>
    <row r="4830" spans="2:13" ht="15" x14ac:dyDescent="0.25">
      <c r="B4830"/>
      <c r="M4830"/>
    </row>
    <row r="4831" spans="2:13" ht="15" x14ac:dyDescent="0.25">
      <c r="B4831"/>
      <c r="M4831"/>
    </row>
    <row r="4832" spans="2:13" ht="15" x14ac:dyDescent="0.25">
      <c r="B4832"/>
      <c r="M4832"/>
    </row>
    <row r="4833" spans="2:13" ht="15" x14ac:dyDescent="0.25">
      <c r="B4833"/>
      <c r="M4833"/>
    </row>
    <row r="4834" spans="2:13" ht="15" x14ac:dyDescent="0.25">
      <c r="B4834"/>
      <c r="M4834"/>
    </row>
    <row r="4835" spans="2:13" ht="15" x14ac:dyDescent="0.25">
      <c r="B4835"/>
      <c r="M4835"/>
    </row>
    <row r="4836" spans="2:13" ht="15" x14ac:dyDescent="0.25">
      <c r="B4836"/>
      <c r="M4836"/>
    </row>
    <row r="4837" spans="2:13" ht="15" x14ac:dyDescent="0.25">
      <c r="B4837"/>
      <c r="M4837"/>
    </row>
    <row r="4838" spans="2:13" ht="15" x14ac:dyDescent="0.25">
      <c r="B4838"/>
      <c r="M4838"/>
    </row>
    <row r="4839" spans="2:13" ht="15" x14ac:dyDescent="0.25">
      <c r="B4839"/>
      <c r="M4839"/>
    </row>
    <row r="4840" spans="2:13" ht="15" x14ac:dyDescent="0.25">
      <c r="B4840"/>
      <c r="M4840"/>
    </row>
    <row r="4841" spans="2:13" ht="15" x14ac:dyDescent="0.25">
      <c r="B4841"/>
      <c r="M4841"/>
    </row>
    <row r="4842" spans="2:13" ht="15" x14ac:dyDescent="0.25">
      <c r="B4842"/>
      <c r="M4842"/>
    </row>
    <row r="4843" spans="2:13" ht="15" x14ac:dyDescent="0.25">
      <c r="B4843"/>
      <c r="M4843"/>
    </row>
    <row r="4844" spans="2:13" ht="15" x14ac:dyDescent="0.25">
      <c r="B4844"/>
      <c r="M4844"/>
    </row>
    <row r="4845" spans="2:13" ht="15" x14ac:dyDescent="0.25">
      <c r="B4845"/>
      <c r="M4845"/>
    </row>
    <row r="4846" spans="2:13" ht="15" x14ac:dyDescent="0.25">
      <c r="B4846"/>
      <c r="M4846"/>
    </row>
    <row r="4847" spans="2:13" ht="15" x14ac:dyDescent="0.25">
      <c r="B4847"/>
      <c r="M4847"/>
    </row>
    <row r="4848" spans="2:13" ht="15" x14ac:dyDescent="0.25">
      <c r="B4848"/>
      <c r="M4848"/>
    </row>
    <row r="4849" spans="2:13" ht="15" x14ac:dyDescent="0.25">
      <c r="B4849"/>
      <c r="M4849"/>
    </row>
    <row r="4850" spans="2:13" ht="15" x14ac:dyDescent="0.25">
      <c r="B4850"/>
      <c r="M4850"/>
    </row>
    <row r="4851" spans="2:13" ht="15" x14ac:dyDescent="0.25">
      <c r="B4851"/>
      <c r="M4851"/>
    </row>
    <row r="4852" spans="2:13" ht="15" x14ac:dyDescent="0.25">
      <c r="B4852"/>
      <c r="M4852"/>
    </row>
    <row r="4853" spans="2:13" ht="15" x14ac:dyDescent="0.25">
      <c r="B4853"/>
      <c r="M4853"/>
    </row>
    <row r="4854" spans="2:13" ht="15" x14ac:dyDescent="0.25">
      <c r="B4854"/>
      <c r="M4854"/>
    </row>
    <row r="4855" spans="2:13" ht="15" x14ac:dyDescent="0.25">
      <c r="B4855"/>
      <c r="M4855"/>
    </row>
    <row r="4856" spans="2:13" ht="15" x14ac:dyDescent="0.25">
      <c r="B4856"/>
      <c r="M4856"/>
    </row>
    <row r="4857" spans="2:13" ht="15" x14ac:dyDescent="0.25">
      <c r="B4857"/>
      <c r="M4857"/>
    </row>
    <row r="4858" spans="2:13" ht="15" x14ac:dyDescent="0.25">
      <c r="B4858"/>
      <c r="M4858"/>
    </row>
    <row r="4859" spans="2:13" ht="15" x14ac:dyDescent="0.25">
      <c r="B4859"/>
      <c r="M4859"/>
    </row>
    <row r="4860" spans="2:13" ht="15" x14ac:dyDescent="0.25">
      <c r="B4860"/>
      <c r="M4860"/>
    </row>
    <row r="4861" spans="2:13" ht="15" x14ac:dyDescent="0.25">
      <c r="B4861"/>
      <c r="M4861"/>
    </row>
    <row r="4862" spans="2:13" ht="15" x14ac:dyDescent="0.25">
      <c r="B4862"/>
      <c r="M4862"/>
    </row>
    <row r="4863" spans="2:13" ht="15" x14ac:dyDescent="0.25">
      <c r="B4863"/>
      <c r="M4863"/>
    </row>
    <row r="4864" spans="2:13" ht="15" x14ac:dyDescent="0.25">
      <c r="B4864"/>
      <c r="M4864"/>
    </row>
    <row r="4865" spans="2:13" ht="15" x14ac:dyDescent="0.25">
      <c r="B4865"/>
      <c r="M4865"/>
    </row>
    <row r="4866" spans="2:13" ht="15" x14ac:dyDescent="0.25">
      <c r="B4866"/>
      <c r="M4866"/>
    </row>
    <row r="4867" spans="2:13" ht="15" x14ac:dyDescent="0.25">
      <c r="B4867"/>
      <c r="M4867"/>
    </row>
    <row r="4868" spans="2:13" ht="15" x14ac:dyDescent="0.25">
      <c r="B4868"/>
      <c r="M4868"/>
    </row>
    <row r="4869" spans="2:13" ht="15" x14ac:dyDescent="0.25">
      <c r="B4869"/>
      <c r="M4869"/>
    </row>
    <row r="4870" spans="2:13" ht="15" x14ac:dyDescent="0.25">
      <c r="B4870"/>
      <c r="M4870"/>
    </row>
    <row r="4871" spans="2:13" ht="15" x14ac:dyDescent="0.25">
      <c r="B4871"/>
      <c r="M4871"/>
    </row>
    <row r="4872" spans="2:13" ht="15" x14ac:dyDescent="0.25">
      <c r="B4872"/>
      <c r="M4872"/>
    </row>
    <row r="4873" spans="2:13" ht="15" x14ac:dyDescent="0.25">
      <c r="B4873"/>
      <c r="M4873"/>
    </row>
    <row r="4874" spans="2:13" ht="15" x14ac:dyDescent="0.25">
      <c r="B4874"/>
      <c r="M4874"/>
    </row>
    <row r="4875" spans="2:13" ht="15" x14ac:dyDescent="0.25">
      <c r="B4875"/>
      <c r="M4875"/>
    </row>
    <row r="4876" spans="2:13" ht="15" x14ac:dyDescent="0.25">
      <c r="B4876"/>
      <c r="M4876"/>
    </row>
    <row r="4877" spans="2:13" ht="15" x14ac:dyDescent="0.25">
      <c r="B4877"/>
      <c r="M4877"/>
    </row>
    <row r="4878" spans="2:13" ht="15" x14ac:dyDescent="0.25">
      <c r="B4878"/>
      <c r="M4878"/>
    </row>
    <row r="4879" spans="2:13" ht="15" x14ac:dyDescent="0.25">
      <c r="B4879"/>
      <c r="M4879"/>
    </row>
    <row r="4880" spans="2:13" ht="15" x14ac:dyDescent="0.25">
      <c r="B4880"/>
      <c r="M4880"/>
    </row>
    <row r="4881" spans="2:13" ht="15" x14ac:dyDescent="0.25">
      <c r="B4881"/>
      <c r="M4881"/>
    </row>
    <row r="4882" spans="2:13" ht="15" x14ac:dyDescent="0.25">
      <c r="B4882"/>
      <c r="M4882"/>
    </row>
    <row r="4883" spans="2:13" ht="15" x14ac:dyDescent="0.25">
      <c r="B4883"/>
      <c r="M4883"/>
    </row>
    <row r="4884" spans="2:13" ht="15" x14ac:dyDescent="0.25">
      <c r="B4884"/>
      <c r="M4884"/>
    </row>
    <row r="4885" spans="2:13" ht="15" x14ac:dyDescent="0.25">
      <c r="B4885"/>
      <c r="M4885"/>
    </row>
    <row r="4886" spans="2:13" ht="15" x14ac:dyDescent="0.25">
      <c r="B4886"/>
      <c r="M4886"/>
    </row>
    <row r="4887" spans="2:13" ht="15" x14ac:dyDescent="0.25">
      <c r="B4887"/>
      <c r="M4887"/>
    </row>
    <row r="4888" spans="2:13" ht="15" x14ac:dyDescent="0.25">
      <c r="B4888"/>
      <c r="M4888"/>
    </row>
    <row r="4889" spans="2:13" ht="15" x14ac:dyDescent="0.25">
      <c r="B4889"/>
      <c r="M4889"/>
    </row>
    <row r="4890" spans="2:13" ht="15" x14ac:dyDescent="0.25">
      <c r="B4890"/>
      <c r="M4890"/>
    </row>
    <row r="4891" spans="2:13" ht="15" x14ac:dyDescent="0.25">
      <c r="B4891"/>
      <c r="M4891"/>
    </row>
    <row r="4892" spans="2:13" ht="15" x14ac:dyDescent="0.25">
      <c r="B4892"/>
      <c r="M4892"/>
    </row>
    <row r="4893" spans="2:13" ht="15" x14ac:dyDescent="0.25">
      <c r="B4893"/>
      <c r="M4893"/>
    </row>
    <row r="4894" spans="2:13" ht="15" x14ac:dyDescent="0.25">
      <c r="B4894"/>
      <c r="M4894"/>
    </row>
    <row r="4895" spans="2:13" ht="15" x14ac:dyDescent="0.25">
      <c r="B4895"/>
      <c r="M4895"/>
    </row>
    <row r="4896" spans="2:13" ht="15" x14ac:dyDescent="0.25">
      <c r="B4896"/>
      <c r="M4896"/>
    </row>
    <row r="4897" spans="2:13" ht="15" x14ac:dyDescent="0.25">
      <c r="B4897"/>
      <c r="M4897"/>
    </row>
    <row r="4898" spans="2:13" ht="15" x14ac:dyDescent="0.25">
      <c r="B4898"/>
      <c r="M4898"/>
    </row>
    <row r="4899" spans="2:13" ht="15" x14ac:dyDescent="0.25">
      <c r="B4899"/>
      <c r="M4899"/>
    </row>
    <row r="4900" spans="2:13" ht="15" x14ac:dyDescent="0.25">
      <c r="B4900"/>
      <c r="M4900"/>
    </row>
    <row r="4901" spans="2:13" ht="15" x14ac:dyDescent="0.25">
      <c r="B4901"/>
      <c r="M4901"/>
    </row>
    <row r="4902" spans="2:13" ht="15" x14ac:dyDescent="0.25">
      <c r="B4902"/>
      <c r="M4902"/>
    </row>
    <row r="4903" spans="2:13" ht="15" x14ac:dyDescent="0.25">
      <c r="B4903"/>
      <c r="M4903"/>
    </row>
    <row r="4904" spans="2:13" ht="15" x14ac:dyDescent="0.25">
      <c r="B4904"/>
      <c r="M4904"/>
    </row>
    <row r="4905" spans="2:13" ht="15" x14ac:dyDescent="0.25">
      <c r="B4905"/>
      <c r="M4905"/>
    </row>
    <row r="4906" spans="2:13" ht="15" x14ac:dyDescent="0.25">
      <c r="B4906"/>
      <c r="M4906"/>
    </row>
    <row r="4907" spans="2:13" ht="15" x14ac:dyDescent="0.25">
      <c r="B4907"/>
      <c r="M4907"/>
    </row>
    <row r="4908" spans="2:13" ht="15" x14ac:dyDescent="0.25">
      <c r="B4908"/>
      <c r="M4908"/>
    </row>
    <row r="4909" spans="2:13" ht="15" x14ac:dyDescent="0.25">
      <c r="B4909"/>
      <c r="M4909"/>
    </row>
    <row r="4910" spans="2:13" ht="15" x14ac:dyDescent="0.25">
      <c r="B4910"/>
      <c r="M4910"/>
    </row>
    <row r="4911" spans="2:13" ht="15" x14ac:dyDescent="0.25">
      <c r="B4911"/>
      <c r="M4911"/>
    </row>
    <row r="4912" spans="2:13" ht="15" x14ac:dyDescent="0.25">
      <c r="B4912"/>
      <c r="M4912"/>
    </row>
    <row r="4913" spans="2:13" ht="15" x14ac:dyDescent="0.25">
      <c r="B4913"/>
      <c r="M4913"/>
    </row>
    <row r="4914" spans="2:13" ht="15" x14ac:dyDescent="0.25">
      <c r="B4914"/>
      <c r="M4914"/>
    </row>
    <row r="4915" spans="2:13" ht="15" x14ac:dyDescent="0.25">
      <c r="B4915"/>
      <c r="M4915"/>
    </row>
    <row r="4916" spans="2:13" ht="15" x14ac:dyDescent="0.25">
      <c r="B4916"/>
      <c r="M4916"/>
    </row>
    <row r="4917" spans="2:13" ht="15" x14ac:dyDescent="0.25">
      <c r="B4917"/>
      <c r="M4917"/>
    </row>
    <row r="4918" spans="2:13" ht="15" x14ac:dyDescent="0.25">
      <c r="B4918"/>
      <c r="M4918"/>
    </row>
    <row r="4919" spans="2:13" ht="15" x14ac:dyDescent="0.25">
      <c r="B4919"/>
      <c r="M4919"/>
    </row>
    <row r="4920" spans="2:13" ht="15" x14ac:dyDescent="0.25">
      <c r="B4920"/>
      <c r="M4920"/>
    </row>
    <row r="4921" spans="2:13" ht="15" x14ac:dyDescent="0.25">
      <c r="B4921"/>
      <c r="M4921"/>
    </row>
    <row r="4922" spans="2:13" ht="15" x14ac:dyDescent="0.25">
      <c r="B4922"/>
      <c r="M4922"/>
    </row>
    <row r="4923" spans="2:13" ht="15" x14ac:dyDescent="0.25">
      <c r="B4923"/>
      <c r="M4923"/>
    </row>
    <row r="4924" spans="2:13" ht="15" x14ac:dyDescent="0.25">
      <c r="B4924"/>
      <c r="M4924"/>
    </row>
    <row r="4925" spans="2:13" ht="15" x14ac:dyDescent="0.25">
      <c r="B4925"/>
      <c r="M4925"/>
    </row>
    <row r="4926" spans="2:13" ht="15" x14ac:dyDescent="0.25">
      <c r="B4926"/>
      <c r="M4926"/>
    </row>
    <row r="4927" spans="2:13" ht="15" x14ac:dyDescent="0.25">
      <c r="B4927"/>
      <c r="M4927"/>
    </row>
    <row r="4928" spans="2:13" ht="15" x14ac:dyDescent="0.25">
      <c r="B4928"/>
      <c r="M4928"/>
    </row>
    <row r="4929" spans="2:13" ht="15" x14ac:dyDescent="0.25">
      <c r="B4929"/>
      <c r="M4929"/>
    </row>
    <row r="4930" spans="2:13" ht="15" x14ac:dyDescent="0.25">
      <c r="B4930"/>
      <c r="M4930"/>
    </row>
    <row r="4931" spans="2:13" ht="15" x14ac:dyDescent="0.25">
      <c r="B4931"/>
      <c r="M4931"/>
    </row>
    <row r="4932" spans="2:13" ht="15" x14ac:dyDescent="0.25">
      <c r="B4932"/>
      <c r="M4932"/>
    </row>
    <row r="4933" spans="2:13" ht="15" x14ac:dyDescent="0.25">
      <c r="B4933"/>
      <c r="M4933"/>
    </row>
    <row r="4934" spans="2:13" ht="15" x14ac:dyDescent="0.25">
      <c r="B4934"/>
      <c r="M4934"/>
    </row>
    <row r="4935" spans="2:13" ht="15" x14ac:dyDescent="0.25">
      <c r="B4935"/>
      <c r="M4935"/>
    </row>
    <row r="4936" spans="2:13" ht="15" x14ac:dyDescent="0.25">
      <c r="B4936"/>
      <c r="M4936"/>
    </row>
    <row r="4937" spans="2:13" ht="15" x14ac:dyDescent="0.25">
      <c r="B4937"/>
      <c r="M4937"/>
    </row>
    <row r="4938" spans="2:13" ht="15" x14ac:dyDescent="0.25">
      <c r="B4938"/>
      <c r="M4938"/>
    </row>
    <row r="4939" spans="2:13" ht="15" x14ac:dyDescent="0.25">
      <c r="B4939"/>
      <c r="M4939"/>
    </row>
    <row r="4940" spans="2:13" ht="15" x14ac:dyDescent="0.25">
      <c r="B4940"/>
      <c r="M4940"/>
    </row>
    <row r="4941" spans="2:13" ht="15" x14ac:dyDescent="0.25">
      <c r="B4941"/>
      <c r="M4941"/>
    </row>
    <row r="4942" spans="2:13" ht="15" x14ac:dyDescent="0.25">
      <c r="B4942"/>
      <c r="M4942"/>
    </row>
    <row r="4943" spans="2:13" ht="15" x14ac:dyDescent="0.25">
      <c r="B4943"/>
      <c r="M4943"/>
    </row>
    <row r="4944" spans="2:13" ht="15" x14ac:dyDescent="0.25">
      <c r="B4944"/>
      <c r="M4944"/>
    </row>
    <row r="4945" spans="2:13" ht="15" x14ac:dyDescent="0.25">
      <c r="B4945"/>
      <c r="M4945"/>
    </row>
    <row r="4946" spans="2:13" ht="15" x14ac:dyDescent="0.25">
      <c r="B4946"/>
      <c r="M4946"/>
    </row>
    <row r="4947" spans="2:13" ht="15" x14ac:dyDescent="0.25">
      <c r="B4947"/>
      <c r="M4947"/>
    </row>
    <row r="4948" spans="2:13" ht="15" x14ac:dyDescent="0.25">
      <c r="B4948"/>
      <c r="M4948"/>
    </row>
    <row r="4949" spans="2:13" ht="15" x14ac:dyDescent="0.25">
      <c r="B4949"/>
      <c r="M4949"/>
    </row>
    <row r="4950" spans="2:13" ht="15" x14ac:dyDescent="0.25">
      <c r="B4950"/>
      <c r="M4950"/>
    </row>
    <row r="4951" spans="2:13" ht="15" x14ac:dyDescent="0.25">
      <c r="B4951"/>
      <c r="M4951"/>
    </row>
    <row r="4952" spans="2:13" ht="15" x14ac:dyDescent="0.25">
      <c r="B4952"/>
      <c r="M4952"/>
    </row>
    <row r="4953" spans="2:13" ht="15" x14ac:dyDescent="0.25">
      <c r="B4953"/>
      <c r="M4953"/>
    </row>
    <row r="4954" spans="2:13" ht="15" x14ac:dyDescent="0.25">
      <c r="B4954"/>
      <c r="M4954"/>
    </row>
    <row r="4955" spans="2:13" ht="15" x14ac:dyDescent="0.25">
      <c r="B4955"/>
      <c r="M4955"/>
    </row>
    <row r="4956" spans="2:13" ht="15" x14ac:dyDescent="0.25">
      <c r="B4956"/>
      <c r="M4956"/>
    </row>
    <row r="4957" spans="2:13" ht="15" x14ac:dyDescent="0.25">
      <c r="B4957"/>
      <c r="M4957"/>
    </row>
    <row r="4958" spans="2:13" ht="15" x14ac:dyDescent="0.25">
      <c r="B4958"/>
      <c r="M4958"/>
    </row>
    <row r="4959" spans="2:13" ht="15" x14ac:dyDescent="0.25">
      <c r="B4959"/>
      <c r="M4959"/>
    </row>
    <row r="4960" spans="2:13" ht="15" x14ac:dyDescent="0.25">
      <c r="B4960"/>
      <c r="M4960"/>
    </row>
    <row r="4961" spans="2:13" ht="15" x14ac:dyDescent="0.25">
      <c r="B4961"/>
      <c r="M4961"/>
    </row>
    <row r="4962" spans="2:13" ht="15" x14ac:dyDescent="0.25">
      <c r="B4962"/>
      <c r="M4962"/>
    </row>
    <row r="4963" spans="2:13" ht="15" x14ac:dyDescent="0.25">
      <c r="B4963"/>
      <c r="M4963"/>
    </row>
    <row r="4964" spans="2:13" ht="15" x14ac:dyDescent="0.25">
      <c r="B4964"/>
      <c r="M4964"/>
    </row>
    <row r="4965" spans="2:13" ht="15" x14ac:dyDescent="0.25">
      <c r="B4965"/>
      <c r="M4965"/>
    </row>
    <row r="4966" spans="2:13" ht="15" x14ac:dyDescent="0.25">
      <c r="B4966"/>
      <c r="M4966"/>
    </row>
    <row r="4967" spans="2:13" ht="15" x14ac:dyDescent="0.25">
      <c r="B4967"/>
      <c r="M4967"/>
    </row>
    <row r="4968" spans="2:13" ht="15" x14ac:dyDescent="0.25">
      <c r="B4968"/>
      <c r="M4968"/>
    </row>
    <row r="4969" spans="2:13" ht="15" x14ac:dyDescent="0.25">
      <c r="B4969"/>
      <c r="M4969"/>
    </row>
    <row r="4970" spans="2:13" ht="15" x14ac:dyDescent="0.25">
      <c r="B4970"/>
      <c r="M4970"/>
    </row>
    <row r="4971" spans="2:13" ht="15" x14ac:dyDescent="0.25">
      <c r="B4971"/>
      <c r="M4971"/>
    </row>
    <row r="4972" spans="2:13" ht="15" x14ac:dyDescent="0.25">
      <c r="B4972"/>
      <c r="M4972"/>
    </row>
    <row r="4973" spans="2:13" ht="15" x14ac:dyDescent="0.25">
      <c r="B4973"/>
      <c r="M4973"/>
    </row>
    <row r="4974" spans="2:13" ht="15" x14ac:dyDescent="0.25">
      <c r="B4974"/>
      <c r="M4974"/>
    </row>
    <row r="4975" spans="2:13" ht="15" x14ac:dyDescent="0.25">
      <c r="B4975"/>
      <c r="M4975"/>
    </row>
    <row r="4976" spans="2:13" ht="15" x14ac:dyDescent="0.25">
      <c r="B4976"/>
      <c r="M4976"/>
    </row>
    <row r="4977" spans="2:13" ht="15" x14ac:dyDescent="0.25">
      <c r="B4977"/>
      <c r="M4977"/>
    </row>
    <row r="4978" spans="2:13" ht="15" x14ac:dyDescent="0.25">
      <c r="B4978"/>
      <c r="M4978"/>
    </row>
    <row r="4979" spans="2:13" ht="15" x14ac:dyDescent="0.25">
      <c r="B4979"/>
      <c r="M4979"/>
    </row>
    <row r="4980" spans="2:13" ht="15" x14ac:dyDescent="0.25">
      <c r="B4980"/>
      <c r="M4980"/>
    </row>
    <row r="4981" spans="2:13" ht="15" x14ac:dyDescent="0.25">
      <c r="B4981"/>
      <c r="M4981"/>
    </row>
    <row r="4982" spans="2:13" ht="15" x14ac:dyDescent="0.25">
      <c r="B4982"/>
      <c r="M4982"/>
    </row>
    <row r="4983" spans="2:13" ht="15" x14ac:dyDescent="0.25">
      <c r="B4983"/>
      <c r="M4983"/>
    </row>
    <row r="4984" spans="2:13" ht="15" x14ac:dyDescent="0.25">
      <c r="B4984"/>
      <c r="M4984"/>
    </row>
    <row r="4985" spans="2:13" ht="15" x14ac:dyDescent="0.25">
      <c r="B4985"/>
      <c r="M4985"/>
    </row>
    <row r="4986" spans="2:13" ht="15" x14ac:dyDescent="0.25">
      <c r="B4986"/>
      <c r="M4986"/>
    </row>
    <row r="4987" spans="2:13" ht="15" x14ac:dyDescent="0.25">
      <c r="B4987"/>
      <c r="M4987"/>
    </row>
    <row r="4988" spans="2:13" ht="15" x14ac:dyDescent="0.25">
      <c r="B4988"/>
      <c r="M4988"/>
    </row>
    <row r="4989" spans="2:13" ht="15" x14ac:dyDescent="0.25">
      <c r="B4989"/>
      <c r="M4989"/>
    </row>
    <row r="4990" spans="2:13" ht="15" x14ac:dyDescent="0.25">
      <c r="B4990"/>
      <c r="M4990"/>
    </row>
    <row r="4991" spans="2:13" ht="15" x14ac:dyDescent="0.25">
      <c r="B4991"/>
      <c r="M4991"/>
    </row>
    <row r="4992" spans="2:13" ht="15" x14ac:dyDescent="0.25">
      <c r="B4992"/>
      <c r="M4992"/>
    </row>
    <row r="4993" spans="2:13" ht="15" x14ac:dyDescent="0.25">
      <c r="B4993"/>
      <c r="M4993"/>
    </row>
    <row r="4994" spans="2:13" ht="15" x14ac:dyDescent="0.25">
      <c r="B4994"/>
      <c r="M4994"/>
    </row>
    <row r="4995" spans="2:13" ht="15" x14ac:dyDescent="0.25">
      <c r="B4995"/>
      <c r="M4995"/>
    </row>
    <row r="4996" spans="2:13" ht="15" x14ac:dyDescent="0.25">
      <c r="B4996"/>
      <c r="M4996"/>
    </row>
    <row r="4997" spans="2:13" ht="15" x14ac:dyDescent="0.25">
      <c r="B4997"/>
      <c r="M4997"/>
    </row>
    <row r="4998" spans="2:13" ht="15" x14ac:dyDescent="0.25">
      <c r="B4998"/>
      <c r="M4998"/>
    </row>
    <row r="4999" spans="2:13" ht="15" x14ac:dyDescent="0.25">
      <c r="B4999"/>
      <c r="M4999"/>
    </row>
    <row r="5000" spans="2:13" ht="15" x14ac:dyDescent="0.25">
      <c r="B5000"/>
      <c r="M5000"/>
    </row>
    <row r="5001" spans="2:13" ht="15" x14ac:dyDescent="0.25">
      <c r="B5001"/>
      <c r="M5001"/>
    </row>
    <row r="5002" spans="2:13" ht="15" x14ac:dyDescent="0.25">
      <c r="B5002"/>
      <c r="M5002"/>
    </row>
    <row r="5003" spans="2:13" ht="15" x14ac:dyDescent="0.25">
      <c r="B5003"/>
      <c r="M5003"/>
    </row>
    <row r="5004" spans="2:13" ht="15" x14ac:dyDescent="0.25">
      <c r="B5004"/>
      <c r="M5004"/>
    </row>
    <row r="5005" spans="2:13" ht="15" x14ac:dyDescent="0.25">
      <c r="B5005"/>
      <c r="M5005"/>
    </row>
    <row r="5006" spans="2:13" ht="15" x14ac:dyDescent="0.25">
      <c r="B5006"/>
      <c r="M5006"/>
    </row>
    <row r="5007" spans="2:13" ht="15" x14ac:dyDescent="0.25">
      <c r="B5007"/>
      <c r="M5007"/>
    </row>
    <row r="5008" spans="2:13" ht="15" x14ac:dyDescent="0.25">
      <c r="B5008"/>
      <c r="M5008"/>
    </row>
    <row r="5009" spans="2:13" ht="15" x14ac:dyDescent="0.25">
      <c r="B5009"/>
      <c r="M5009"/>
    </row>
    <row r="5010" spans="2:13" ht="15" x14ac:dyDescent="0.25">
      <c r="B5010"/>
      <c r="M5010"/>
    </row>
    <row r="5011" spans="2:13" ht="15" x14ac:dyDescent="0.25">
      <c r="B5011"/>
      <c r="M5011"/>
    </row>
    <row r="5012" spans="2:13" ht="15" x14ac:dyDescent="0.25">
      <c r="B5012"/>
      <c r="M5012"/>
    </row>
    <row r="5013" spans="2:13" ht="15" x14ac:dyDescent="0.25">
      <c r="B5013"/>
      <c r="M5013"/>
    </row>
    <row r="5014" spans="2:13" ht="15" x14ac:dyDescent="0.25">
      <c r="B5014"/>
      <c r="M5014"/>
    </row>
    <row r="5015" spans="2:13" ht="15" x14ac:dyDescent="0.25">
      <c r="B5015"/>
      <c r="M5015"/>
    </row>
    <row r="5016" spans="2:13" ht="15" x14ac:dyDescent="0.25">
      <c r="B5016"/>
      <c r="M5016"/>
    </row>
    <row r="5017" spans="2:13" ht="15" x14ac:dyDescent="0.25">
      <c r="B5017"/>
      <c r="M5017"/>
    </row>
    <row r="5018" spans="2:13" ht="15" x14ac:dyDescent="0.25">
      <c r="B5018"/>
      <c r="M5018"/>
    </row>
    <row r="5019" spans="2:13" ht="15" x14ac:dyDescent="0.25">
      <c r="B5019"/>
      <c r="M5019"/>
    </row>
    <row r="5020" spans="2:13" ht="15" x14ac:dyDescent="0.25">
      <c r="B5020"/>
      <c r="M5020"/>
    </row>
    <row r="5021" spans="2:13" ht="15" x14ac:dyDescent="0.25">
      <c r="B5021"/>
      <c r="M5021"/>
    </row>
    <row r="5022" spans="2:13" ht="15" x14ac:dyDescent="0.25">
      <c r="B5022"/>
      <c r="M5022"/>
    </row>
    <row r="5023" spans="2:13" ht="15" x14ac:dyDescent="0.25">
      <c r="B5023"/>
      <c r="M5023"/>
    </row>
    <row r="5024" spans="2:13" ht="15" x14ac:dyDescent="0.25">
      <c r="B5024"/>
      <c r="M5024"/>
    </row>
    <row r="5025" spans="2:13" ht="15" x14ac:dyDescent="0.25">
      <c r="B5025"/>
      <c r="M5025"/>
    </row>
    <row r="5026" spans="2:13" ht="15" x14ac:dyDescent="0.25">
      <c r="B5026"/>
      <c r="M5026"/>
    </row>
    <row r="5027" spans="2:13" ht="15" x14ac:dyDescent="0.25">
      <c r="B5027"/>
      <c r="M5027"/>
    </row>
    <row r="5028" spans="2:13" ht="15" x14ac:dyDescent="0.25">
      <c r="B5028"/>
      <c r="M5028"/>
    </row>
    <row r="5029" spans="2:13" ht="15" x14ac:dyDescent="0.25">
      <c r="B5029"/>
      <c r="M5029"/>
    </row>
    <row r="5030" spans="2:13" ht="15" x14ac:dyDescent="0.25">
      <c r="B5030"/>
      <c r="M5030"/>
    </row>
    <row r="5031" spans="2:13" ht="15" x14ac:dyDescent="0.25">
      <c r="B5031"/>
      <c r="M5031"/>
    </row>
    <row r="5032" spans="2:13" ht="15" x14ac:dyDescent="0.25">
      <c r="B5032"/>
      <c r="M5032"/>
    </row>
    <row r="5033" spans="2:13" ht="15" x14ac:dyDescent="0.25">
      <c r="B5033"/>
      <c r="M5033"/>
    </row>
    <row r="5034" spans="2:13" ht="15" x14ac:dyDescent="0.25">
      <c r="B5034"/>
      <c r="M5034"/>
    </row>
    <row r="5035" spans="2:13" ht="15" x14ac:dyDescent="0.25">
      <c r="B5035"/>
      <c r="M5035"/>
    </row>
    <row r="5036" spans="2:13" ht="15" x14ac:dyDescent="0.25">
      <c r="B5036"/>
      <c r="M5036"/>
    </row>
    <row r="5037" spans="2:13" ht="15" x14ac:dyDescent="0.25">
      <c r="B5037"/>
      <c r="M5037"/>
    </row>
    <row r="5038" spans="2:13" ht="15" x14ac:dyDescent="0.25">
      <c r="B5038"/>
      <c r="M5038"/>
    </row>
    <row r="5039" spans="2:13" ht="15" x14ac:dyDescent="0.25">
      <c r="B5039"/>
      <c r="M5039"/>
    </row>
    <row r="5040" spans="2:13" ht="15" x14ac:dyDescent="0.25">
      <c r="B5040"/>
      <c r="M5040"/>
    </row>
    <row r="5041" spans="2:13" ht="15" x14ac:dyDescent="0.25">
      <c r="B5041"/>
      <c r="M5041"/>
    </row>
    <row r="5042" spans="2:13" ht="15" x14ac:dyDescent="0.25">
      <c r="B5042"/>
      <c r="M5042"/>
    </row>
    <row r="5043" spans="2:13" ht="15" x14ac:dyDescent="0.25">
      <c r="B5043"/>
      <c r="M5043"/>
    </row>
    <row r="5044" spans="2:13" ht="15" x14ac:dyDescent="0.25">
      <c r="B5044"/>
      <c r="M5044"/>
    </row>
    <row r="5045" spans="2:13" ht="15" x14ac:dyDescent="0.25">
      <c r="B5045"/>
      <c r="M5045"/>
    </row>
    <row r="5046" spans="2:13" ht="15" x14ac:dyDescent="0.25">
      <c r="B5046"/>
      <c r="M5046"/>
    </row>
    <row r="5047" spans="2:13" ht="15" x14ac:dyDescent="0.25">
      <c r="B5047"/>
      <c r="M5047"/>
    </row>
    <row r="5048" spans="2:13" ht="15" x14ac:dyDescent="0.25">
      <c r="B5048"/>
      <c r="M5048"/>
    </row>
    <row r="5049" spans="2:13" ht="15" x14ac:dyDescent="0.25">
      <c r="B5049"/>
      <c r="M5049"/>
    </row>
    <row r="5050" spans="2:13" ht="15" x14ac:dyDescent="0.25">
      <c r="B5050"/>
      <c r="M5050"/>
    </row>
    <row r="5051" spans="2:13" ht="15" x14ac:dyDescent="0.25">
      <c r="B5051"/>
      <c r="M5051"/>
    </row>
    <row r="5052" spans="2:13" ht="15" x14ac:dyDescent="0.25">
      <c r="B5052"/>
      <c r="M5052"/>
    </row>
    <row r="5053" spans="2:13" ht="15" x14ac:dyDescent="0.25">
      <c r="B5053"/>
      <c r="M5053"/>
    </row>
    <row r="5054" spans="2:13" ht="15" x14ac:dyDescent="0.25">
      <c r="B5054"/>
      <c r="M5054"/>
    </row>
    <row r="5055" spans="2:13" ht="15" x14ac:dyDescent="0.25">
      <c r="B5055"/>
      <c r="M5055"/>
    </row>
    <row r="5056" spans="2:13" ht="15" x14ac:dyDescent="0.25">
      <c r="B5056"/>
      <c r="M5056"/>
    </row>
    <row r="5057" spans="2:13" ht="15" x14ac:dyDescent="0.25">
      <c r="B5057"/>
      <c r="M5057"/>
    </row>
    <row r="5058" spans="2:13" ht="15" x14ac:dyDescent="0.25">
      <c r="B5058"/>
      <c r="M5058"/>
    </row>
    <row r="5059" spans="2:13" ht="15" x14ac:dyDescent="0.25">
      <c r="B5059"/>
      <c r="M5059"/>
    </row>
    <row r="5060" spans="2:13" ht="15" x14ac:dyDescent="0.25">
      <c r="B5060"/>
      <c r="M5060"/>
    </row>
    <row r="5061" spans="2:13" ht="15" x14ac:dyDescent="0.25">
      <c r="B5061"/>
      <c r="M5061"/>
    </row>
    <row r="5062" spans="2:13" ht="15" x14ac:dyDescent="0.25">
      <c r="B5062"/>
      <c r="M5062"/>
    </row>
    <row r="5063" spans="2:13" ht="15" x14ac:dyDescent="0.25">
      <c r="B5063"/>
      <c r="M5063"/>
    </row>
    <row r="5064" spans="2:13" ht="15" x14ac:dyDescent="0.25">
      <c r="B5064"/>
      <c r="M5064"/>
    </row>
    <row r="5065" spans="2:13" ht="15" x14ac:dyDescent="0.25">
      <c r="B5065"/>
      <c r="M5065"/>
    </row>
    <row r="5066" spans="2:13" ht="15" x14ac:dyDescent="0.25">
      <c r="B5066"/>
      <c r="M5066"/>
    </row>
    <row r="5067" spans="2:13" ht="15" x14ac:dyDescent="0.25">
      <c r="B5067"/>
      <c r="M5067"/>
    </row>
    <row r="5068" spans="2:13" ht="15" x14ac:dyDescent="0.25">
      <c r="B5068"/>
      <c r="M5068"/>
    </row>
    <row r="5069" spans="2:13" ht="15" x14ac:dyDescent="0.25">
      <c r="B5069"/>
      <c r="M5069"/>
    </row>
    <row r="5070" spans="2:13" ht="15" x14ac:dyDescent="0.25">
      <c r="B5070"/>
      <c r="M5070"/>
    </row>
    <row r="5071" spans="2:13" ht="15" x14ac:dyDescent="0.25">
      <c r="B5071"/>
      <c r="M5071"/>
    </row>
    <row r="5072" spans="2:13" ht="15" x14ac:dyDescent="0.25">
      <c r="B5072"/>
      <c r="M5072"/>
    </row>
    <row r="5073" spans="2:13" ht="15" x14ac:dyDescent="0.25">
      <c r="B5073"/>
      <c r="M5073"/>
    </row>
    <row r="5074" spans="2:13" ht="15" x14ac:dyDescent="0.25">
      <c r="B5074"/>
      <c r="M5074"/>
    </row>
    <row r="5075" spans="2:13" ht="15" x14ac:dyDescent="0.25">
      <c r="B5075"/>
      <c r="M5075"/>
    </row>
    <row r="5076" spans="2:13" ht="15" x14ac:dyDescent="0.25">
      <c r="B5076"/>
      <c r="M5076"/>
    </row>
    <row r="5077" spans="2:13" ht="15" x14ac:dyDescent="0.25">
      <c r="B5077"/>
      <c r="M5077"/>
    </row>
    <row r="5078" spans="2:13" ht="15" x14ac:dyDescent="0.25">
      <c r="B5078"/>
      <c r="M5078"/>
    </row>
    <row r="5079" spans="2:13" ht="15" x14ac:dyDescent="0.25">
      <c r="B5079"/>
      <c r="M5079"/>
    </row>
    <row r="5080" spans="2:13" ht="15" x14ac:dyDescent="0.25">
      <c r="B5080"/>
      <c r="M5080"/>
    </row>
    <row r="5081" spans="2:13" ht="15" x14ac:dyDescent="0.25">
      <c r="B5081"/>
      <c r="M5081"/>
    </row>
    <row r="5082" spans="2:13" ht="15" x14ac:dyDescent="0.25">
      <c r="B5082"/>
      <c r="M5082"/>
    </row>
    <row r="5083" spans="2:13" ht="15" x14ac:dyDescent="0.25">
      <c r="B5083"/>
      <c r="M5083"/>
    </row>
    <row r="5084" spans="2:13" ht="15" x14ac:dyDescent="0.25">
      <c r="B5084"/>
      <c r="M5084"/>
    </row>
    <row r="5085" spans="2:13" ht="15" x14ac:dyDescent="0.25">
      <c r="B5085"/>
      <c r="M5085"/>
    </row>
    <row r="5086" spans="2:13" ht="15" x14ac:dyDescent="0.25">
      <c r="B5086"/>
      <c r="M5086"/>
    </row>
    <row r="5087" spans="2:13" ht="15" x14ac:dyDescent="0.25">
      <c r="B5087"/>
      <c r="M5087"/>
    </row>
    <row r="5088" spans="2:13" ht="15" x14ac:dyDescent="0.25">
      <c r="B5088"/>
      <c r="M5088"/>
    </row>
    <row r="5089" spans="2:13" ht="15" x14ac:dyDescent="0.25">
      <c r="B5089"/>
      <c r="M5089"/>
    </row>
    <row r="5090" spans="2:13" ht="15" x14ac:dyDescent="0.25">
      <c r="B5090"/>
      <c r="M5090"/>
    </row>
    <row r="5091" spans="2:13" ht="15" x14ac:dyDescent="0.25">
      <c r="B5091"/>
      <c r="M5091"/>
    </row>
    <row r="5092" spans="2:13" ht="15" x14ac:dyDescent="0.25">
      <c r="B5092"/>
      <c r="M5092"/>
    </row>
    <row r="5093" spans="2:13" ht="15" x14ac:dyDescent="0.25">
      <c r="B5093"/>
      <c r="M5093"/>
    </row>
    <row r="5094" spans="2:13" ht="15" x14ac:dyDescent="0.25">
      <c r="B5094"/>
      <c r="M5094"/>
    </row>
    <row r="5095" spans="2:13" ht="15" x14ac:dyDescent="0.25">
      <c r="B5095"/>
      <c r="M5095"/>
    </row>
    <row r="5096" spans="2:13" ht="15" x14ac:dyDescent="0.25">
      <c r="B5096"/>
      <c r="M5096"/>
    </row>
    <row r="5097" spans="2:13" ht="15" x14ac:dyDescent="0.25">
      <c r="B5097"/>
      <c r="M5097"/>
    </row>
    <row r="5098" spans="2:13" ht="15" x14ac:dyDescent="0.25">
      <c r="B5098"/>
      <c r="M5098"/>
    </row>
    <row r="5099" spans="2:13" ht="15" x14ac:dyDescent="0.25">
      <c r="B5099"/>
      <c r="M5099"/>
    </row>
    <row r="5100" spans="2:13" ht="15" x14ac:dyDescent="0.25">
      <c r="B5100"/>
      <c r="M5100"/>
    </row>
    <row r="5101" spans="2:13" ht="15" x14ac:dyDescent="0.25">
      <c r="B5101"/>
      <c r="M5101"/>
    </row>
    <row r="5102" spans="2:13" ht="15" x14ac:dyDescent="0.25">
      <c r="B5102"/>
      <c r="M5102"/>
    </row>
    <row r="5103" spans="2:13" ht="15" x14ac:dyDescent="0.25">
      <c r="B5103"/>
      <c r="M5103"/>
    </row>
    <row r="5104" spans="2:13" ht="15" x14ac:dyDescent="0.25">
      <c r="B5104"/>
      <c r="M5104"/>
    </row>
    <row r="5105" spans="2:13" ht="15" x14ac:dyDescent="0.25">
      <c r="B5105"/>
      <c r="M5105"/>
    </row>
    <row r="5106" spans="2:13" ht="15" x14ac:dyDescent="0.25">
      <c r="B5106"/>
      <c r="M5106"/>
    </row>
    <row r="5107" spans="2:13" ht="15" x14ac:dyDescent="0.25">
      <c r="B5107"/>
      <c r="M5107"/>
    </row>
    <row r="5108" spans="2:13" ht="15" x14ac:dyDescent="0.25">
      <c r="B5108"/>
      <c r="M5108"/>
    </row>
    <row r="5109" spans="2:13" ht="15" x14ac:dyDescent="0.25">
      <c r="B5109"/>
      <c r="M5109"/>
    </row>
    <row r="5110" spans="2:13" ht="15" x14ac:dyDescent="0.25">
      <c r="B5110"/>
      <c r="M5110"/>
    </row>
    <row r="5111" spans="2:13" ht="15" x14ac:dyDescent="0.25">
      <c r="B5111"/>
      <c r="M5111"/>
    </row>
    <row r="5112" spans="2:13" ht="15" x14ac:dyDescent="0.25">
      <c r="B5112"/>
      <c r="M5112"/>
    </row>
    <row r="5113" spans="2:13" ht="15" x14ac:dyDescent="0.25">
      <c r="B5113"/>
      <c r="M5113"/>
    </row>
    <row r="5114" spans="2:13" ht="15" x14ac:dyDescent="0.25">
      <c r="B5114"/>
      <c r="M5114"/>
    </row>
    <row r="5115" spans="2:13" ht="15" x14ac:dyDescent="0.25">
      <c r="B5115"/>
      <c r="M5115"/>
    </row>
    <row r="5116" spans="2:13" ht="15" x14ac:dyDescent="0.25">
      <c r="B5116"/>
      <c r="M5116"/>
    </row>
    <row r="5117" spans="2:13" ht="15" x14ac:dyDescent="0.25">
      <c r="B5117"/>
      <c r="M5117"/>
    </row>
    <row r="5118" spans="2:13" ht="15" x14ac:dyDescent="0.25">
      <c r="B5118"/>
      <c r="M5118"/>
    </row>
    <row r="5119" spans="2:13" ht="15" x14ac:dyDescent="0.25">
      <c r="B5119"/>
      <c r="M5119"/>
    </row>
    <row r="5120" spans="2:13" ht="15" x14ac:dyDescent="0.25">
      <c r="B5120"/>
      <c r="M5120"/>
    </row>
    <row r="5121" spans="2:13" ht="15" x14ac:dyDescent="0.25">
      <c r="B5121"/>
      <c r="M5121"/>
    </row>
    <row r="5122" spans="2:13" ht="15" x14ac:dyDescent="0.25">
      <c r="B5122"/>
      <c r="M5122"/>
    </row>
    <row r="5123" spans="2:13" ht="15" x14ac:dyDescent="0.25">
      <c r="B5123"/>
      <c r="M5123"/>
    </row>
    <row r="5124" spans="2:13" ht="15" x14ac:dyDescent="0.25">
      <c r="B5124"/>
      <c r="M5124"/>
    </row>
    <row r="5125" spans="2:13" ht="15" x14ac:dyDescent="0.25">
      <c r="B5125"/>
      <c r="M5125"/>
    </row>
    <row r="5126" spans="2:13" ht="15" x14ac:dyDescent="0.25">
      <c r="B5126"/>
      <c r="M5126"/>
    </row>
    <row r="5127" spans="2:13" ht="15" x14ac:dyDescent="0.25">
      <c r="B5127"/>
      <c r="M5127"/>
    </row>
    <row r="5128" spans="2:13" ht="15" x14ac:dyDescent="0.25">
      <c r="B5128"/>
      <c r="M5128"/>
    </row>
    <row r="5129" spans="2:13" ht="15" x14ac:dyDescent="0.25">
      <c r="B5129"/>
      <c r="M5129"/>
    </row>
    <row r="5130" spans="2:13" ht="15" x14ac:dyDescent="0.25">
      <c r="B5130"/>
      <c r="M5130"/>
    </row>
    <row r="5131" spans="2:13" ht="15" x14ac:dyDescent="0.25">
      <c r="B5131"/>
      <c r="M5131"/>
    </row>
    <row r="5132" spans="2:13" ht="15" x14ac:dyDescent="0.25">
      <c r="B5132"/>
      <c r="M5132"/>
    </row>
    <row r="5133" spans="2:13" ht="15" x14ac:dyDescent="0.25">
      <c r="B5133"/>
      <c r="M5133"/>
    </row>
    <row r="5134" spans="2:13" ht="15" x14ac:dyDescent="0.25">
      <c r="B5134"/>
      <c r="M5134"/>
    </row>
    <row r="5135" spans="2:13" ht="15" x14ac:dyDescent="0.25">
      <c r="B5135"/>
      <c r="M5135"/>
    </row>
    <row r="5136" spans="2:13" ht="15" x14ac:dyDescent="0.25">
      <c r="B5136"/>
      <c r="M5136"/>
    </row>
    <row r="5137" spans="2:13" ht="15" x14ac:dyDescent="0.25">
      <c r="B5137"/>
      <c r="M5137"/>
    </row>
    <row r="5138" spans="2:13" ht="15" x14ac:dyDescent="0.25">
      <c r="B5138"/>
      <c r="M5138"/>
    </row>
    <row r="5139" spans="2:13" ht="15" x14ac:dyDescent="0.25">
      <c r="B5139"/>
      <c r="M5139"/>
    </row>
    <row r="5140" spans="2:13" ht="15" x14ac:dyDescent="0.25">
      <c r="B5140"/>
      <c r="M5140"/>
    </row>
    <row r="5141" spans="2:13" ht="15" x14ac:dyDescent="0.25">
      <c r="B5141"/>
      <c r="M5141"/>
    </row>
    <row r="5142" spans="2:13" ht="15" x14ac:dyDescent="0.25">
      <c r="B5142"/>
      <c r="M5142"/>
    </row>
    <row r="5143" spans="2:13" ht="15" x14ac:dyDescent="0.25">
      <c r="B5143"/>
      <c r="M5143"/>
    </row>
    <row r="5144" spans="2:13" ht="15" x14ac:dyDescent="0.25">
      <c r="B5144"/>
      <c r="M5144"/>
    </row>
    <row r="5145" spans="2:13" ht="15" x14ac:dyDescent="0.25">
      <c r="B5145"/>
      <c r="M5145"/>
    </row>
    <row r="5146" spans="2:13" ht="15" x14ac:dyDescent="0.25">
      <c r="B5146"/>
      <c r="M5146"/>
    </row>
    <row r="5147" spans="2:13" ht="15" x14ac:dyDescent="0.25">
      <c r="B5147"/>
      <c r="M5147"/>
    </row>
    <row r="5148" spans="2:13" ht="15" x14ac:dyDescent="0.25">
      <c r="B5148"/>
      <c r="M5148"/>
    </row>
    <row r="5149" spans="2:13" ht="15" x14ac:dyDescent="0.25">
      <c r="B5149"/>
      <c r="M5149"/>
    </row>
    <row r="5150" spans="2:13" ht="15" x14ac:dyDescent="0.25">
      <c r="B5150"/>
      <c r="M5150"/>
    </row>
    <row r="5151" spans="2:13" ht="15" x14ac:dyDescent="0.25">
      <c r="B5151"/>
      <c r="M5151"/>
    </row>
    <row r="5152" spans="2:13" ht="15" x14ac:dyDescent="0.25">
      <c r="B5152"/>
      <c r="M5152"/>
    </row>
    <row r="5153" spans="2:13" ht="15" x14ac:dyDescent="0.25">
      <c r="B5153"/>
      <c r="M5153"/>
    </row>
    <row r="5154" spans="2:13" ht="15" x14ac:dyDescent="0.25">
      <c r="B5154"/>
      <c r="M5154"/>
    </row>
    <row r="5155" spans="2:13" ht="15" x14ac:dyDescent="0.25">
      <c r="B5155"/>
      <c r="M5155"/>
    </row>
    <row r="5156" spans="2:13" ht="15" x14ac:dyDescent="0.25">
      <c r="B5156"/>
      <c r="M5156"/>
    </row>
    <row r="5157" spans="2:13" ht="15" x14ac:dyDescent="0.25">
      <c r="B5157"/>
      <c r="M5157"/>
    </row>
    <row r="5158" spans="2:13" ht="15" x14ac:dyDescent="0.25">
      <c r="B5158"/>
      <c r="M5158"/>
    </row>
    <row r="5159" spans="2:13" ht="15" x14ac:dyDescent="0.25">
      <c r="B5159"/>
      <c r="M5159"/>
    </row>
    <row r="5160" spans="2:13" ht="15" x14ac:dyDescent="0.25">
      <c r="B5160"/>
      <c r="M5160"/>
    </row>
    <row r="5161" spans="2:13" ht="15" x14ac:dyDescent="0.25">
      <c r="B5161"/>
      <c r="M5161"/>
    </row>
    <row r="5162" spans="2:13" ht="15" x14ac:dyDescent="0.25">
      <c r="B5162"/>
      <c r="M5162"/>
    </row>
    <row r="5163" spans="2:13" ht="15" x14ac:dyDescent="0.25">
      <c r="B5163"/>
      <c r="M5163"/>
    </row>
    <row r="5164" spans="2:13" ht="15" x14ac:dyDescent="0.25">
      <c r="B5164"/>
      <c r="M5164"/>
    </row>
    <row r="5165" spans="2:13" ht="15" x14ac:dyDescent="0.25">
      <c r="B5165"/>
      <c r="M5165"/>
    </row>
    <row r="5166" spans="2:13" ht="15" x14ac:dyDescent="0.25">
      <c r="B5166"/>
      <c r="M5166"/>
    </row>
    <row r="5167" spans="2:13" ht="15" x14ac:dyDescent="0.25">
      <c r="B5167"/>
      <c r="M5167"/>
    </row>
    <row r="5168" spans="2:13" ht="15" x14ac:dyDescent="0.25">
      <c r="B5168"/>
      <c r="M5168"/>
    </row>
    <row r="5169" spans="2:13" ht="15" x14ac:dyDescent="0.25">
      <c r="B5169"/>
      <c r="M5169"/>
    </row>
    <row r="5170" spans="2:13" ht="15" x14ac:dyDescent="0.25">
      <c r="B5170"/>
      <c r="M5170"/>
    </row>
    <row r="5171" spans="2:13" ht="15" x14ac:dyDescent="0.25">
      <c r="B5171"/>
      <c r="M5171"/>
    </row>
    <row r="5172" spans="2:13" ht="15" x14ac:dyDescent="0.25">
      <c r="B5172"/>
      <c r="M5172"/>
    </row>
    <row r="5173" spans="2:13" ht="15" x14ac:dyDescent="0.25">
      <c r="B5173"/>
      <c r="M5173"/>
    </row>
    <row r="5174" spans="2:13" ht="15" x14ac:dyDescent="0.25">
      <c r="B5174"/>
      <c r="M5174"/>
    </row>
    <row r="5175" spans="2:13" ht="15" x14ac:dyDescent="0.25">
      <c r="B5175"/>
      <c r="M5175"/>
    </row>
    <row r="5176" spans="2:13" ht="15" x14ac:dyDescent="0.25">
      <c r="B5176"/>
      <c r="M5176"/>
    </row>
    <row r="5177" spans="2:13" ht="15" x14ac:dyDescent="0.25">
      <c r="B5177"/>
      <c r="M5177"/>
    </row>
    <row r="5178" spans="2:13" ht="15" x14ac:dyDescent="0.25">
      <c r="B5178"/>
      <c r="M5178"/>
    </row>
    <row r="5179" spans="2:13" ht="15" x14ac:dyDescent="0.25">
      <c r="B5179"/>
      <c r="M5179"/>
    </row>
    <row r="5180" spans="2:13" ht="15" x14ac:dyDescent="0.25">
      <c r="B5180"/>
      <c r="M5180"/>
    </row>
    <row r="5181" spans="2:13" ht="15" x14ac:dyDescent="0.25">
      <c r="B5181"/>
      <c r="M5181"/>
    </row>
    <row r="5182" spans="2:13" ht="15" x14ac:dyDescent="0.25">
      <c r="B5182"/>
      <c r="M5182"/>
    </row>
    <row r="5183" spans="2:13" ht="15" x14ac:dyDescent="0.25">
      <c r="B5183"/>
      <c r="M5183"/>
    </row>
    <row r="5184" spans="2:13" ht="15" x14ac:dyDescent="0.25">
      <c r="B5184"/>
      <c r="M5184"/>
    </row>
    <row r="5185" spans="2:13" ht="15" x14ac:dyDescent="0.25">
      <c r="B5185"/>
      <c r="M5185"/>
    </row>
    <row r="5186" spans="2:13" ht="15" x14ac:dyDescent="0.25">
      <c r="B5186"/>
      <c r="M5186"/>
    </row>
    <row r="5187" spans="2:13" ht="15" x14ac:dyDescent="0.25">
      <c r="B5187"/>
      <c r="M5187"/>
    </row>
    <row r="5188" spans="2:13" ht="15" x14ac:dyDescent="0.25">
      <c r="B5188"/>
      <c r="M5188"/>
    </row>
    <row r="5189" spans="2:13" ht="15" x14ac:dyDescent="0.25">
      <c r="B5189"/>
      <c r="M5189"/>
    </row>
    <row r="5190" spans="2:13" ht="15" x14ac:dyDescent="0.25">
      <c r="B5190"/>
      <c r="M5190"/>
    </row>
    <row r="5191" spans="2:13" ht="15" x14ac:dyDescent="0.25">
      <c r="B5191"/>
      <c r="M5191"/>
    </row>
    <row r="5192" spans="2:13" ht="15" x14ac:dyDescent="0.25">
      <c r="B5192"/>
      <c r="M5192"/>
    </row>
    <row r="5193" spans="2:13" ht="15" x14ac:dyDescent="0.25">
      <c r="B5193"/>
      <c r="M5193"/>
    </row>
    <row r="5194" spans="2:13" ht="15" x14ac:dyDescent="0.25">
      <c r="B5194"/>
      <c r="M5194"/>
    </row>
    <row r="5195" spans="2:13" ht="15" x14ac:dyDescent="0.25">
      <c r="B5195"/>
      <c r="M5195"/>
    </row>
    <row r="5196" spans="2:13" ht="15" x14ac:dyDescent="0.25">
      <c r="B5196"/>
      <c r="M5196"/>
    </row>
    <row r="5197" spans="2:13" ht="15" x14ac:dyDescent="0.25">
      <c r="B5197"/>
      <c r="M5197"/>
    </row>
    <row r="5198" spans="2:13" ht="15" x14ac:dyDescent="0.25">
      <c r="B5198"/>
      <c r="M5198"/>
    </row>
    <row r="5199" spans="2:13" ht="15" x14ac:dyDescent="0.25">
      <c r="B5199"/>
      <c r="M5199"/>
    </row>
    <row r="5200" spans="2:13" ht="15" x14ac:dyDescent="0.25">
      <c r="B5200"/>
      <c r="M5200"/>
    </row>
    <row r="5201" spans="2:13" ht="15" x14ac:dyDescent="0.25">
      <c r="B5201"/>
      <c r="M5201"/>
    </row>
    <row r="5202" spans="2:13" ht="15" x14ac:dyDescent="0.25">
      <c r="B5202"/>
      <c r="M5202"/>
    </row>
    <row r="5203" spans="2:13" ht="15" x14ac:dyDescent="0.25">
      <c r="B5203"/>
      <c r="M5203"/>
    </row>
    <row r="5204" spans="2:13" ht="15" x14ac:dyDescent="0.25">
      <c r="B5204"/>
      <c r="M5204"/>
    </row>
    <row r="5205" spans="2:13" ht="15" x14ac:dyDescent="0.25">
      <c r="B5205"/>
      <c r="M5205"/>
    </row>
    <row r="5206" spans="2:13" ht="15" x14ac:dyDescent="0.25">
      <c r="B5206"/>
      <c r="M5206"/>
    </row>
    <row r="5207" spans="2:13" ht="15" x14ac:dyDescent="0.25">
      <c r="B5207"/>
      <c r="M5207"/>
    </row>
    <row r="5208" spans="2:13" ht="15" x14ac:dyDescent="0.25">
      <c r="B5208"/>
      <c r="M5208"/>
    </row>
    <row r="5209" spans="2:13" ht="15" x14ac:dyDescent="0.25">
      <c r="B5209"/>
      <c r="M5209"/>
    </row>
    <row r="5210" spans="2:13" ht="15" x14ac:dyDescent="0.25">
      <c r="B5210"/>
      <c r="M5210"/>
    </row>
    <row r="5211" spans="2:13" ht="15" x14ac:dyDescent="0.25">
      <c r="B5211"/>
      <c r="M5211"/>
    </row>
    <row r="5212" spans="2:13" ht="15" x14ac:dyDescent="0.25">
      <c r="B5212"/>
      <c r="M5212"/>
    </row>
    <row r="5213" spans="2:13" ht="15" x14ac:dyDescent="0.25">
      <c r="B5213"/>
      <c r="M5213"/>
    </row>
    <row r="5214" spans="2:13" ht="15" x14ac:dyDescent="0.25">
      <c r="B5214"/>
      <c r="M5214"/>
    </row>
    <row r="5215" spans="2:13" ht="15" x14ac:dyDescent="0.25">
      <c r="B5215"/>
      <c r="M5215"/>
    </row>
    <row r="5216" spans="2:13" ht="15" x14ac:dyDescent="0.25">
      <c r="B5216"/>
      <c r="M5216"/>
    </row>
    <row r="5217" spans="2:13" ht="15" x14ac:dyDescent="0.25">
      <c r="B5217"/>
      <c r="M5217"/>
    </row>
    <row r="5218" spans="2:13" ht="15" x14ac:dyDescent="0.25">
      <c r="B5218"/>
      <c r="M5218"/>
    </row>
    <row r="5219" spans="2:13" ht="15" x14ac:dyDescent="0.25">
      <c r="B5219"/>
      <c r="M5219"/>
    </row>
    <row r="5220" spans="2:13" ht="15" x14ac:dyDescent="0.25">
      <c r="B5220"/>
      <c r="M5220"/>
    </row>
    <row r="5221" spans="2:13" ht="15" x14ac:dyDescent="0.25">
      <c r="B5221"/>
      <c r="M5221"/>
    </row>
    <row r="5222" spans="2:13" ht="15" x14ac:dyDescent="0.25">
      <c r="B5222"/>
      <c r="M5222"/>
    </row>
    <row r="5223" spans="2:13" ht="15" x14ac:dyDescent="0.25">
      <c r="B5223"/>
      <c r="M5223"/>
    </row>
    <row r="5224" spans="2:13" ht="15" x14ac:dyDescent="0.25">
      <c r="B5224"/>
      <c r="M5224"/>
    </row>
    <row r="5225" spans="2:13" ht="15" x14ac:dyDescent="0.25">
      <c r="B5225"/>
      <c r="M5225"/>
    </row>
    <row r="5226" spans="2:13" ht="15" x14ac:dyDescent="0.25">
      <c r="B5226"/>
      <c r="M5226"/>
    </row>
    <row r="5227" spans="2:13" ht="15" x14ac:dyDescent="0.25">
      <c r="B5227"/>
      <c r="M5227"/>
    </row>
    <row r="5228" spans="2:13" ht="15" x14ac:dyDescent="0.25">
      <c r="B5228"/>
      <c r="M5228"/>
    </row>
    <row r="5229" spans="2:13" ht="15" x14ac:dyDescent="0.25">
      <c r="B5229"/>
      <c r="M5229"/>
    </row>
    <row r="5230" spans="2:13" ht="15" x14ac:dyDescent="0.25">
      <c r="B5230"/>
      <c r="M5230"/>
    </row>
    <row r="5231" spans="2:13" ht="15" x14ac:dyDescent="0.25">
      <c r="B5231"/>
      <c r="M5231"/>
    </row>
    <row r="5232" spans="2:13" ht="15" x14ac:dyDescent="0.25">
      <c r="B5232"/>
      <c r="M5232"/>
    </row>
    <row r="5233" spans="2:13" ht="15" x14ac:dyDescent="0.25">
      <c r="B5233"/>
      <c r="M5233"/>
    </row>
    <row r="5234" spans="2:13" ht="15" x14ac:dyDescent="0.25">
      <c r="B5234"/>
      <c r="M5234"/>
    </row>
    <row r="5235" spans="2:13" ht="15" x14ac:dyDescent="0.25">
      <c r="B5235"/>
      <c r="M5235"/>
    </row>
    <row r="5236" spans="2:13" ht="15" x14ac:dyDescent="0.25">
      <c r="B5236"/>
      <c r="M5236"/>
    </row>
    <row r="5237" spans="2:13" ht="15" x14ac:dyDescent="0.25">
      <c r="B5237"/>
      <c r="M5237"/>
    </row>
    <row r="5238" spans="2:13" ht="15" x14ac:dyDescent="0.25">
      <c r="B5238"/>
      <c r="M5238"/>
    </row>
    <row r="5239" spans="2:13" ht="15" x14ac:dyDescent="0.25">
      <c r="B5239"/>
      <c r="M5239"/>
    </row>
    <row r="5240" spans="2:13" ht="15" x14ac:dyDescent="0.25">
      <c r="B5240"/>
      <c r="M5240"/>
    </row>
    <row r="5241" spans="2:13" ht="15" x14ac:dyDescent="0.25">
      <c r="B5241"/>
      <c r="M5241"/>
    </row>
    <row r="5242" spans="2:13" ht="15" x14ac:dyDescent="0.25">
      <c r="B5242"/>
      <c r="M5242"/>
    </row>
    <row r="5243" spans="2:13" ht="15" x14ac:dyDescent="0.25">
      <c r="B5243"/>
      <c r="M5243"/>
    </row>
    <row r="5244" spans="2:13" ht="15" x14ac:dyDescent="0.25">
      <c r="B5244"/>
      <c r="M5244"/>
    </row>
    <row r="5245" spans="2:13" ht="15" x14ac:dyDescent="0.25">
      <c r="B5245"/>
      <c r="M5245"/>
    </row>
    <row r="5246" spans="2:13" ht="15" x14ac:dyDescent="0.25">
      <c r="B5246"/>
      <c r="M5246"/>
    </row>
    <row r="5247" spans="2:13" ht="15" x14ac:dyDescent="0.25">
      <c r="B5247"/>
      <c r="M5247"/>
    </row>
    <row r="5248" spans="2:13" ht="15" x14ac:dyDescent="0.25">
      <c r="B5248"/>
      <c r="M5248"/>
    </row>
    <row r="5249" spans="2:13" ht="15" x14ac:dyDescent="0.25">
      <c r="B5249"/>
      <c r="M5249"/>
    </row>
    <row r="5250" spans="2:13" ht="15" x14ac:dyDescent="0.25">
      <c r="B5250"/>
      <c r="M5250"/>
    </row>
    <row r="5251" spans="2:13" ht="15" x14ac:dyDescent="0.25">
      <c r="B5251"/>
      <c r="M5251"/>
    </row>
    <row r="5252" spans="2:13" ht="15" x14ac:dyDescent="0.25">
      <c r="B5252"/>
      <c r="M5252"/>
    </row>
    <row r="5253" spans="2:13" ht="15" x14ac:dyDescent="0.25">
      <c r="B5253"/>
      <c r="M5253"/>
    </row>
    <row r="5254" spans="2:13" ht="15" x14ac:dyDescent="0.25">
      <c r="B5254"/>
      <c r="M5254"/>
    </row>
    <row r="5255" spans="2:13" ht="15" x14ac:dyDescent="0.25">
      <c r="B5255"/>
      <c r="M5255"/>
    </row>
    <row r="5256" spans="2:13" ht="15" x14ac:dyDescent="0.25">
      <c r="B5256"/>
      <c r="M5256"/>
    </row>
    <row r="5257" spans="2:13" ht="15" x14ac:dyDescent="0.25">
      <c r="B5257"/>
      <c r="M5257"/>
    </row>
    <row r="5258" spans="2:13" ht="15" x14ac:dyDescent="0.25">
      <c r="B5258"/>
      <c r="M5258"/>
    </row>
    <row r="5259" spans="2:13" ht="15" x14ac:dyDescent="0.25">
      <c r="B5259"/>
      <c r="M5259"/>
    </row>
    <row r="5260" spans="2:13" ht="15" x14ac:dyDescent="0.25">
      <c r="B5260"/>
      <c r="M5260"/>
    </row>
    <row r="5261" spans="2:13" ht="15" x14ac:dyDescent="0.25">
      <c r="B5261"/>
      <c r="M5261"/>
    </row>
    <row r="5262" spans="2:13" ht="15" x14ac:dyDescent="0.25">
      <c r="B5262"/>
      <c r="M5262"/>
    </row>
    <row r="5263" spans="2:13" ht="15" x14ac:dyDescent="0.25">
      <c r="B5263"/>
      <c r="M5263"/>
    </row>
    <row r="5264" spans="2:13" ht="15" x14ac:dyDescent="0.25">
      <c r="B5264"/>
      <c r="M5264"/>
    </row>
    <row r="5265" spans="2:13" ht="15" x14ac:dyDescent="0.25">
      <c r="B5265"/>
      <c r="M5265"/>
    </row>
    <row r="5266" spans="2:13" ht="15" x14ac:dyDescent="0.25">
      <c r="B5266"/>
      <c r="M5266"/>
    </row>
    <row r="5267" spans="2:13" ht="15" x14ac:dyDescent="0.25">
      <c r="B5267"/>
      <c r="M5267"/>
    </row>
    <row r="5268" spans="2:13" ht="15" x14ac:dyDescent="0.25">
      <c r="B5268"/>
      <c r="M5268"/>
    </row>
    <row r="5269" spans="2:13" ht="15" x14ac:dyDescent="0.25">
      <c r="B5269"/>
      <c r="M5269"/>
    </row>
    <row r="5270" spans="2:13" ht="15" x14ac:dyDescent="0.25">
      <c r="B5270"/>
      <c r="M5270"/>
    </row>
    <row r="5271" spans="2:13" ht="15" x14ac:dyDescent="0.25">
      <c r="B5271"/>
      <c r="M5271"/>
    </row>
    <row r="5272" spans="2:13" ht="15" x14ac:dyDescent="0.25">
      <c r="B5272"/>
      <c r="M5272"/>
    </row>
    <row r="5273" spans="2:13" ht="15" x14ac:dyDescent="0.25">
      <c r="B5273"/>
      <c r="M5273"/>
    </row>
    <row r="5274" spans="2:13" ht="15" x14ac:dyDescent="0.25">
      <c r="B5274"/>
      <c r="M5274"/>
    </row>
    <row r="5275" spans="2:13" ht="15" x14ac:dyDescent="0.25">
      <c r="B5275"/>
      <c r="M5275"/>
    </row>
    <row r="5276" spans="2:13" ht="15" x14ac:dyDescent="0.25">
      <c r="B5276"/>
      <c r="M5276"/>
    </row>
    <row r="5277" spans="2:13" ht="15" x14ac:dyDescent="0.25">
      <c r="B5277"/>
      <c r="M5277"/>
    </row>
    <row r="5278" spans="2:13" ht="15" x14ac:dyDescent="0.25">
      <c r="B5278"/>
      <c r="M5278"/>
    </row>
    <row r="5279" spans="2:13" ht="15" x14ac:dyDescent="0.25">
      <c r="B5279"/>
      <c r="M5279"/>
    </row>
    <row r="5280" spans="2:13" ht="15" x14ac:dyDescent="0.25">
      <c r="B5280"/>
      <c r="M5280"/>
    </row>
    <row r="5281" spans="2:13" ht="15" x14ac:dyDescent="0.25">
      <c r="B5281"/>
      <c r="M5281"/>
    </row>
    <row r="5282" spans="2:13" ht="15" x14ac:dyDescent="0.25">
      <c r="B5282"/>
      <c r="M5282"/>
    </row>
    <row r="5283" spans="2:13" ht="15" x14ac:dyDescent="0.25">
      <c r="B5283"/>
      <c r="M5283"/>
    </row>
    <row r="5284" spans="2:13" ht="15" x14ac:dyDescent="0.25">
      <c r="B5284"/>
      <c r="M5284"/>
    </row>
    <row r="5285" spans="2:13" ht="15" x14ac:dyDescent="0.25">
      <c r="B5285"/>
      <c r="M5285"/>
    </row>
    <row r="5286" spans="2:13" ht="15" x14ac:dyDescent="0.25">
      <c r="B5286"/>
      <c r="M5286"/>
    </row>
    <row r="5287" spans="2:13" ht="15" x14ac:dyDescent="0.25">
      <c r="B5287"/>
      <c r="M5287"/>
    </row>
    <row r="5288" spans="2:13" ht="15" x14ac:dyDescent="0.25">
      <c r="B5288"/>
      <c r="M5288"/>
    </row>
    <row r="5289" spans="2:13" ht="15" x14ac:dyDescent="0.25">
      <c r="B5289"/>
      <c r="M5289"/>
    </row>
    <row r="5290" spans="2:13" ht="15" x14ac:dyDescent="0.25">
      <c r="B5290"/>
      <c r="M5290"/>
    </row>
    <row r="5291" spans="2:13" ht="15" x14ac:dyDescent="0.25">
      <c r="B5291"/>
      <c r="M5291"/>
    </row>
    <row r="5292" spans="2:13" ht="15" x14ac:dyDescent="0.25">
      <c r="B5292"/>
      <c r="M5292"/>
    </row>
    <row r="5293" spans="2:13" ht="15" x14ac:dyDescent="0.25">
      <c r="B5293"/>
      <c r="M5293"/>
    </row>
    <row r="5294" spans="2:13" ht="15" x14ac:dyDescent="0.25">
      <c r="B5294"/>
      <c r="M5294"/>
    </row>
    <row r="5295" spans="2:13" ht="15" x14ac:dyDescent="0.25">
      <c r="B5295"/>
      <c r="M5295"/>
    </row>
    <row r="5296" spans="2:13" ht="15" x14ac:dyDescent="0.25">
      <c r="B5296"/>
      <c r="M5296"/>
    </row>
    <row r="5297" spans="2:13" ht="15" x14ac:dyDescent="0.25">
      <c r="B5297"/>
      <c r="M5297"/>
    </row>
    <row r="5298" spans="2:13" ht="15" x14ac:dyDescent="0.25">
      <c r="B5298"/>
      <c r="M5298"/>
    </row>
    <row r="5299" spans="2:13" ht="15" x14ac:dyDescent="0.25">
      <c r="B5299"/>
      <c r="M5299"/>
    </row>
    <row r="5300" spans="2:13" ht="15" x14ac:dyDescent="0.25">
      <c r="B5300"/>
      <c r="M5300"/>
    </row>
    <row r="5301" spans="2:13" ht="15" x14ac:dyDescent="0.25">
      <c r="B5301"/>
      <c r="M5301"/>
    </row>
    <row r="5302" spans="2:13" ht="15" x14ac:dyDescent="0.25">
      <c r="B5302"/>
      <c r="M5302"/>
    </row>
    <row r="5303" spans="2:13" ht="15" x14ac:dyDescent="0.25">
      <c r="B5303"/>
      <c r="M5303"/>
    </row>
    <row r="5304" spans="2:13" ht="15" x14ac:dyDescent="0.25">
      <c r="B5304"/>
      <c r="M5304"/>
    </row>
    <row r="5305" spans="2:13" ht="15" x14ac:dyDescent="0.25">
      <c r="B5305"/>
      <c r="M5305"/>
    </row>
    <row r="5306" spans="2:13" ht="15" x14ac:dyDescent="0.25">
      <c r="B5306"/>
      <c r="M5306"/>
    </row>
    <row r="5307" spans="2:13" ht="15" x14ac:dyDescent="0.25">
      <c r="B5307"/>
      <c r="M5307"/>
    </row>
    <row r="5308" spans="2:13" ht="15" x14ac:dyDescent="0.25">
      <c r="B5308"/>
      <c r="M5308"/>
    </row>
    <row r="5309" spans="2:13" ht="15" x14ac:dyDescent="0.25">
      <c r="B5309"/>
      <c r="M5309"/>
    </row>
    <row r="5310" spans="2:13" ht="15" x14ac:dyDescent="0.25">
      <c r="B5310"/>
      <c r="M5310"/>
    </row>
    <row r="5311" spans="2:13" ht="15" x14ac:dyDescent="0.25">
      <c r="B5311"/>
      <c r="M5311"/>
    </row>
    <row r="5312" spans="2:13" ht="15" x14ac:dyDescent="0.25">
      <c r="B5312"/>
      <c r="M5312"/>
    </row>
    <row r="5313" spans="2:13" ht="15" x14ac:dyDescent="0.25">
      <c r="B5313"/>
      <c r="M5313"/>
    </row>
    <row r="5314" spans="2:13" ht="15" x14ac:dyDescent="0.25">
      <c r="B5314"/>
      <c r="M5314"/>
    </row>
    <row r="5315" spans="2:13" ht="15" x14ac:dyDescent="0.25">
      <c r="B5315"/>
      <c r="M5315"/>
    </row>
    <row r="5316" spans="2:13" ht="15" x14ac:dyDescent="0.25">
      <c r="B5316"/>
      <c r="M5316"/>
    </row>
    <row r="5317" spans="2:13" ht="15" x14ac:dyDescent="0.25">
      <c r="B5317"/>
      <c r="M5317"/>
    </row>
    <row r="5318" spans="2:13" ht="15" x14ac:dyDescent="0.25">
      <c r="B5318"/>
      <c r="M5318"/>
    </row>
    <row r="5319" spans="2:13" ht="15" x14ac:dyDescent="0.25">
      <c r="B5319"/>
      <c r="M5319"/>
    </row>
    <row r="5320" spans="2:13" ht="15" x14ac:dyDescent="0.25">
      <c r="B5320"/>
      <c r="M5320"/>
    </row>
    <row r="5321" spans="2:13" ht="15" x14ac:dyDescent="0.25">
      <c r="B5321"/>
      <c r="M5321"/>
    </row>
    <row r="5322" spans="2:13" ht="15" x14ac:dyDescent="0.25">
      <c r="B5322"/>
      <c r="M5322"/>
    </row>
    <row r="5323" spans="2:13" ht="15" x14ac:dyDescent="0.25">
      <c r="B5323"/>
      <c r="M5323"/>
    </row>
    <row r="5324" spans="2:13" ht="15" x14ac:dyDescent="0.25">
      <c r="B5324"/>
      <c r="M5324"/>
    </row>
    <row r="5325" spans="2:13" ht="15" x14ac:dyDescent="0.25">
      <c r="B5325"/>
      <c r="M5325"/>
    </row>
    <row r="5326" spans="2:13" ht="15" x14ac:dyDescent="0.25">
      <c r="B5326"/>
      <c r="M5326"/>
    </row>
    <row r="5327" spans="2:13" ht="15" x14ac:dyDescent="0.25">
      <c r="B5327"/>
      <c r="M5327"/>
    </row>
    <row r="5328" spans="2:13" ht="15" x14ac:dyDescent="0.25">
      <c r="B5328"/>
      <c r="M5328"/>
    </row>
    <row r="5329" spans="2:13" ht="15" x14ac:dyDescent="0.25">
      <c r="B5329"/>
      <c r="M5329"/>
    </row>
    <row r="5330" spans="2:13" ht="15" x14ac:dyDescent="0.25">
      <c r="B5330"/>
      <c r="M5330"/>
    </row>
    <row r="5331" spans="2:13" ht="15" x14ac:dyDescent="0.25">
      <c r="B5331"/>
      <c r="M5331"/>
    </row>
    <row r="5332" spans="2:13" ht="15" x14ac:dyDescent="0.25">
      <c r="B5332"/>
      <c r="M5332"/>
    </row>
    <row r="5333" spans="2:13" ht="15" x14ac:dyDescent="0.25">
      <c r="B5333"/>
      <c r="M5333"/>
    </row>
    <row r="5334" spans="2:13" ht="15" x14ac:dyDescent="0.25">
      <c r="B5334"/>
      <c r="M5334"/>
    </row>
    <row r="5335" spans="2:13" ht="15" x14ac:dyDescent="0.25">
      <c r="B5335"/>
      <c r="M5335"/>
    </row>
    <row r="5336" spans="2:13" ht="15" x14ac:dyDescent="0.25">
      <c r="B5336"/>
      <c r="M5336"/>
    </row>
    <row r="5337" spans="2:13" ht="15" x14ac:dyDescent="0.25">
      <c r="B5337"/>
      <c r="M5337"/>
    </row>
    <row r="5338" spans="2:13" ht="15" x14ac:dyDescent="0.25">
      <c r="B5338"/>
      <c r="M5338"/>
    </row>
    <row r="5339" spans="2:13" ht="15" x14ac:dyDescent="0.25">
      <c r="B5339"/>
      <c r="M5339"/>
    </row>
    <row r="5340" spans="2:13" ht="15" x14ac:dyDescent="0.25">
      <c r="B5340"/>
      <c r="M5340"/>
    </row>
    <row r="5341" spans="2:13" ht="15" x14ac:dyDescent="0.25">
      <c r="B5341"/>
      <c r="M5341"/>
    </row>
    <row r="5342" spans="2:13" ht="15" x14ac:dyDescent="0.25">
      <c r="B5342"/>
      <c r="M5342"/>
    </row>
    <row r="5343" spans="2:13" ht="15" x14ac:dyDescent="0.25">
      <c r="B5343"/>
      <c r="M5343"/>
    </row>
    <row r="5344" spans="2:13" ht="15" x14ac:dyDescent="0.25">
      <c r="B5344"/>
      <c r="M5344"/>
    </row>
    <row r="5345" spans="2:13" ht="15" x14ac:dyDescent="0.25">
      <c r="B5345"/>
      <c r="M5345"/>
    </row>
    <row r="5346" spans="2:13" ht="15" x14ac:dyDescent="0.25">
      <c r="B5346"/>
      <c r="M5346"/>
    </row>
    <row r="5347" spans="2:13" ht="15" x14ac:dyDescent="0.25">
      <c r="B5347"/>
      <c r="M5347"/>
    </row>
    <row r="5348" spans="2:13" ht="15" x14ac:dyDescent="0.25">
      <c r="B5348"/>
      <c r="M5348"/>
    </row>
    <row r="5349" spans="2:13" ht="15" x14ac:dyDescent="0.25">
      <c r="B5349"/>
      <c r="M5349"/>
    </row>
    <row r="5350" spans="2:13" ht="15" x14ac:dyDescent="0.25">
      <c r="B5350"/>
      <c r="M5350"/>
    </row>
    <row r="5351" spans="2:13" ht="15" x14ac:dyDescent="0.25">
      <c r="B5351"/>
      <c r="M5351"/>
    </row>
    <row r="5352" spans="2:13" ht="15" x14ac:dyDescent="0.25">
      <c r="B5352"/>
      <c r="M5352"/>
    </row>
    <row r="5353" spans="2:13" ht="15" x14ac:dyDescent="0.25">
      <c r="B5353"/>
      <c r="M5353"/>
    </row>
    <row r="5354" spans="2:13" ht="15" x14ac:dyDescent="0.25">
      <c r="B5354"/>
      <c r="M5354"/>
    </row>
    <row r="5355" spans="2:13" ht="15" x14ac:dyDescent="0.25">
      <c r="B5355"/>
      <c r="M5355"/>
    </row>
    <row r="5356" spans="2:13" ht="15" x14ac:dyDescent="0.25">
      <c r="B5356"/>
      <c r="M5356"/>
    </row>
    <row r="5357" spans="2:13" ht="15" x14ac:dyDescent="0.25">
      <c r="B5357"/>
      <c r="M5357"/>
    </row>
    <row r="5358" spans="2:13" ht="15" x14ac:dyDescent="0.25">
      <c r="B5358"/>
      <c r="M5358"/>
    </row>
    <row r="5359" spans="2:13" ht="15" x14ac:dyDescent="0.25">
      <c r="B5359"/>
      <c r="M5359"/>
    </row>
    <row r="5360" spans="2:13" ht="15" x14ac:dyDescent="0.25">
      <c r="B5360"/>
      <c r="M5360"/>
    </row>
    <row r="5361" spans="2:13" ht="15" x14ac:dyDescent="0.25">
      <c r="B5361"/>
      <c r="M5361"/>
    </row>
    <row r="5362" spans="2:13" ht="15" x14ac:dyDescent="0.25">
      <c r="B5362"/>
      <c r="M5362"/>
    </row>
    <row r="5363" spans="2:13" ht="15" x14ac:dyDescent="0.25">
      <c r="B5363"/>
      <c r="M5363"/>
    </row>
    <row r="5364" spans="2:13" ht="15" x14ac:dyDescent="0.25">
      <c r="B5364"/>
      <c r="M5364"/>
    </row>
    <row r="5365" spans="2:13" ht="15" x14ac:dyDescent="0.25">
      <c r="B5365"/>
      <c r="M5365"/>
    </row>
    <row r="5366" spans="2:13" ht="15" x14ac:dyDescent="0.25">
      <c r="B5366"/>
      <c r="M5366"/>
    </row>
    <row r="5367" spans="2:13" ht="15" x14ac:dyDescent="0.25">
      <c r="B5367"/>
      <c r="M5367"/>
    </row>
    <row r="5368" spans="2:13" ht="15" x14ac:dyDescent="0.25">
      <c r="B5368"/>
      <c r="M5368"/>
    </row>
    <row r="5369" spans="2:13" ht="15" x14ac:dyDescent="0.25">
      <c r="B5369"/>
      <c r="M5369"/>
    </row>
    <row r="5370" spans="2:13" ht="15" x14ac:dyDescent="0.25">
      <c r="B5370"/>
      <c r="M5370"/>
    </row>
    <row r="5371" spans="2:13" ht="15" x14ac:dyDescent="0.25">
      <c r="B5371"/>
      <c r="M5371"/>
    </row>
    <row r="5372" spans="2:13" ht="15" x14ac:dyDescent="0.25">
      <c r="B5372"/>
      <c r="M5372"/>
    </row>
    <row r="5373" spans="2:13" ht="15" x14ac:dyDescent="0.25">
      <c r="B5373"/>
      <c r="M5373"/>
    </row>
    <row r="5374" spans="2:13" ht="15" x14ac:dyDescent="0.25">
      <c r="B5374"/>
      <c r="M5374"/>
    </row>
    <row r="5375" spans="2:13" ht="15" x14ac:dyDescent="0.25">
      <c r="B5375"/>
      <c r="M5375"/>
    </row>
    <row r="5376" spans="2:13" ht="15" x14ac:dyDescent="0.25">
      <c r="B5376"/>
      <c r="M5376"/>
    </row>
    <row r="5377" spans="2:13" ht="15" x14ac:dyDescent="0.25">
      <c r="B5377"/>
      <c r="M5377"/>
    </row>
    <row r="5378" spans="2:13" ht="15" x14ac:dyDescent="0.25">
      <c r="B5378"/>
      <c r="M5378"/>
    </row>
    <row r="5379" spans="2:13" ht="15" x14ac:dyDescent="0.25">
      <c r="B5379"/>
      <c r="M5379"/>
    </row>
    <row r="5380" spans="2:13" ht="15" x14ac:dyDescent="0.25">
      <c r="B5380"/>
      <c r="M5380"/>
    </row>
    <row r="5381" spans="2:13" ht="15" x14ac:dyDescent="0.25">
      <c r="B5381"/>
      <c r="M5381"/>
    </row>
    <row r="5382" spans="2:13" ht="15" x14ac:dyDescent="0.25">
      <c r="B5382"/>
      <c r="M5382"/>
    </row>
    <row r="5383" spans="2:13" ht="15" x14ac:dyDescent="0.25">
      <c r="B5383"/>
      <c r="M5383"/>
    </row>
    <row r="5384" spans="2:13" ht="15" x14ac:dyDescent="0.25">
      <c r="B5384"/>
      <c r="M5384"/>
    </row>
    <row r="5385" spans="2:13" ht="15" x14ac:dyDescent="0.25">
      <c r="B5385"/>
      <c r="M5385"/>
    </row>
    <row r="5386" spans="2:13" ht="15" x14ac:dyDescent="0.25">
      <c r="B5386"/>
      <c r="M5386"/>
    </row>
    <row r="5387" spans="2:13" ht="15" x14ac:dyDescent="0.25">
      <c r="B5387"/>
      <c r="M5387"/>
    </row>
    <row r="5388" spans="2:13" ht="15" x14ac:dyDescent="0.25">
      <c r="B5388"/>
      <c r="M5388"/>
    </row>
    <row r="5389" spans="2:13" ht="15" x14ac:dyDescent="0.25">
      <c r="B5389"/>
      <c r="M5389"/>
    </row>
    <row r="5390" spans="2:13" ht="15" x14ac:dyDescent="0.25">
      <c r="B5390"/>
      <c r="M5390"/>
    </row>
    <row r="5391" spans="2:13" ht="15" x14ac:dyDescent="0.25">
      <c r="B5391"/>
      <c r="M5391"/>
    </row>
    <row r="5392" spans="2:13" ht="15" x14ac:dyDescent="0.25">
      <c r="B5392"/>
      <c r="M5392"/>
    </row>
    <row r="5393" spans="2:13" ht="15" x14ac:dyDescent="0.25">
      <c r="B5393"/>
      <c r="M5393"/>
    </row>
    <row r="5394" spans="2:13" ht="15" x14ac:dyDescent="0.25">
      <c r="B5394"/>
      <c r="M5394"/>
    </row>
    <row r="5395" spans="2:13" ht="15" x14ac:dyDescent="0.25">
      <c r="B5395"/>
      <c r="M5395"/>
    </row>
    <row r="5396" spans="2:13" ht="15" x14ac:dyDescent="0.25">
      <c r="B5396"/>
      <c r="M5396"/>
    </row>
    <row r="5397" spans="2:13" ht="15" x14ac:dyDescent="0.25">
      <c r="B5397"/>
      <c r="M5397"/>
    </row>
    <row r="5398" spans="2:13" ht="15" x14ac:dyDescent="0.25">
      <c r="B5398"/>
      <c r="M5398"/>
    </row>
    <row r="5399" spans="2:13" ht="15" x14ac:dyDescent="0.25">
      <c r="B5399"/>
      <c r="M5399"/>
    </row>
    <row r="5400" spans="2:13" ht="15" x14ac:dyDescent="0.25">
      <c r="B5400"/>
      <c r="M5400"/>
    </row>
    <row r="5401" spans="2:13" ht="15" x14ac:dyDescent="0.25">
      <c r="B5401"/>
      <c r="M5401"/>
    </row>
    <row r="5402" spans="2:13" ht="15" x14ac:dyDescent="0.25">
      <c r="B5402"/>
      <c r="M5402"/>
    </row>
    <row r="5403" spans="2:13" ht="15" x14ac:dyDescent="0.25">
      <c r="B5403"/>
      <c r="M5403"/>
    </row>
    <row r="5404" spans="2:13" ht="15" x14ac:dyDescent="0.25">
      <c r="B5404"/>
      <c r="M5404"/>
    </row>
    <row r="5405" spans="2:13" ht="15" x14ac:dyDescent="0.25">
      <c r="B5405"/>
      <c r="M5405"/>
    </row>
    <row r="5406" spans="2:13" ht="15" x14ac:dyDescent="0.25">
      <c r="B5406"/>
      <c r="M5406"/>
    </row>
    <row r="5407" spans="2:13" ht="15" x14ac:dyDescent="0.25">
      <c r="B5407"/>
      <c r="M5407"/>
    </row>
    <row r="5408" spans="2:13" ht="15" x14ac:dyDescent="0.25">
      <c r="B5408"/>
      <c r="M5408"/>
    </row>
    <row r="5409" spans="2:13" ht="15" x14ac:dyDescent="0.25">
      <c r="B5409"/>
      <c r="M5409"/>
    </row>
    <row r="5410" spans="2:13" ht="15" x14ac:dyDescent="0.25">
      <c r="B5410"/>
      <c r="M5410"/>
    </row>
    <row r="5411" spans="2:13" ht="15" x14ac:dyDescent="0.25">
      <c r="B5411"/>
      <c r="M5411"/>
    </row>
    <row r="5412" spans="2:13" ht="15" x14ac:dyDescent="0.25">
      <c r="B5412"/>
      <c r="M5412"/>
    </row>
    <row r="5413" spans="2:13" ht="15" x14ac:dyDescent="0.25">
      <c r="B5413"/>
      <c r="M5413"/>
    </row>
    <row r="5414" spans="2:13" ht="15" x14ac:dyDescent="0.25">
      <c r="B5414"/>
      <c r="M5414"/>
    </row>
    <row r="5415" spans="2:13" ht="15" x14ac:dyDescent="0.25">
      <c r="B5415"/>
      <c r="M5415"/>
    </row>
    <row r="5416" spans="2:13" ht="15" x14ac:dyDescent="0.25">
      <c r="B5416"/>
      <c r="M5416"/>
    </row>
    <row r="5417" spans="2:13" ht="15" x14ac:dyDescent="0.25">
      <c r="B5417"/>
      <c r="M5417"/>
    </row>
    <row r="5418" spans="2:13" ht="15" x14ac:dyDescent="0.25">
      <c r="B5418"/>
      <c r="M5418"/>
    </row>
    <row r="5419" spans="2:13" ht="15" x14ac:dyDescent="0.25">
      <c r="B5419"/>
      <c r="M5419"/>
    </row>
    <row r="5420" spans="2:13" ht="15" x14ac:dyDescent="0.25">
      <c r="B5420"/>
      <c r="M5420"/>
    </row>
    <row r="5421" spans="2:13" ht="15" x14ac:dyDescent="0.25">
      <c r="B5421"/>
      <c r="M5421"/>
    </row>
    <row r="5422" spans="2:13" ht="15" x14ac:dyDescent="0.25">
      <c r="B5422"/>
      <c r="M5422"/>
    </row>
    <row r="5423" spans="2:13" ht="15" x14ac:dyDescent="0.25">
      <c r="B5423"/>
      <c r="M5423"/>
    </row>
    <row r="5424" spans="2:13" ht="15" x14ac:dyDescent="0.25">
      <c r="B5424"/>
      <c r="M5424"/>
    </row>
    <row r="5425" spans="2:13" ht="15" x14ac:dyDescent="0.25">
      <c r="B5425"/>
      <c r="M5425"/>
    </row>
    <row r="5426" spans="2:13" ht="15" x14ac:dyDescent="0.25">
      <c r="B5426"/>
      <c r="M5426"/>
    </row>
    <row r="5427" spans="2:13" ht="15" x14ac:dyDescent="0.25">
      <c r="B5427"/>
      <c r="M5427"/>
    </row>
    <row r="5428" spans="2:13" ht="15" x14ac:dyDescent="0.25">
      <c r="B5428"/>
      <c r="M5428"/>
    </row>
    <row r="5429" spans="2:13" ht="15" x14ac:dyDescent="0.25">
      <c r="B5429"/>
      <c r="M5429"/>
    </row>
    <row r="5430" spans="2:13" ht="15" x14ac:dyDescent="0.25">
      <c r="B5430"/>
      <c r="M5430"/>
    </row>
    <row r="5431" spans="2:13" ht="15" x14ac:dyDescent="0.25">
      <c r="B5431"/>
      <c r="M5431"/>
    </row>
    <row r="5432" spans="2:13" ht="15" x14ac:dyDescent="0.25">
      <c r="B5432"/>
      <c r="M5432"/>
    </row>
    <row r="5433" spans="2:13" ht="15" x14ac:dyDescent="0.25">
      <c r="B5433"/>
      <c r="M5433"/>
    </row>
    <row r="5434" spans="2:13" ht="15" x14ac:dyDescent="0.25">
      <c r="B5434"/>
      <c r="M5434"/>
    </row>
    <row r="5435" spans="2:13" ht="15" x14ac:dyDescent="0.25">
      <c r="B5435"/>
      <c r="M5435"/>
    </row>
    <row r="5436" spans="2:13" ht="15" x14ac:dyDescent="0.25">
      <c r="B5436"/>
      <c r="M5436"/>
    </row>
    <row r="5437" spans="2:13" ht="15" x14ac:dyDescent="0.25">
      <c r="B5437"/>
      <c r="M5437"/>
    </row>
    <row r="5438" spans="2:13" ht="15" x14ac:dyDescent="0.25">
      <c r="B5438"/>
      <c r="M5438"/>
    </row>
    <row r="5439" spans="2:13" ht="15" x14ac:dyDescent="0.25">
      <c r="B5439"/>
      <c r="M5439"/>
    </row>
    <row r="5440" spans="2:13" ht="15" x14ac:dyDescent="0.25">
      <c r="B5440"/>
      <c r="M5440"/>
    </row>
    <row r="5441" spans="2:13" ht="15" x14ac:dyDescent="0.25">
      <c r="B5441"/>
      <c r="M5441"/>
    </row>
    <row r="5442" spans="2:13" ht="15" x14ac:dyDescent="0.25">
      <c r="B5442"/>
      <c r="M5442"/>
    </row>
    <row r="5443" spans="2:13" ht="15" x14ac:dyDescent="0.25">
      <c r="B5443"/>
      <c r="M5443"/>
    </row>
    <row r="5444" spans="2:13" ht="15" x14ac:dyDescent="0.25">
      <c r="B5444"/>
      <c r="M5444"/>
    </row>
    <row r="5445" spans="2:13" ht="15" x14ac:dyDescent="0.25">
      <c r="B5445"/>
      <c r="M5445"/>
    </row>
    <row r="5446" spans="2:13" ht="15" x14ac:dyDescent="0.25">
      <c r="B5446"/>
      <c r="M5446"/>
    </row>
    <row r="5447" spans="2:13" ht="15" x14ac:dyDescent="0.25">
      <c r="B5447"/>
      <c r="M5447"/>
    </row>
    <row r="5448" spans="2:13" ht="15" x14ac:dyDescent="0.25">
      <c r="B5448"/>
      <c r="M5448"/>
    </row>
    <row r="5449" spans="2:13" ht="15" x14ac:dyDescent="0.25">
      <c r="B5449"/>
      <c r="M5449"/>
    </row>
    <row r="5450" spans="2:13" ht="15" x14ac:dyDescent="0.25">
      <c r="B5450"/>
      <c r="M5450"/>
    </row>
    <row r="5451" spans="2:13" ht="15" x14ac:dyDescent="0.25">
      <c r="B5451"/>
      <c r="M5451"/>
    </row>
    <row r="5452" spans="2:13" ht="15" x14ac:dyDescent="0.25">
      <c r="B5452"/>
      <c r="M5452"/>
    </row>
    <row r="5453" spans="2:13" ht="15" x14ac:dyDescent="0.25">
      <c r="B5453"/>
      <c r="M5453"/>
    </row>
    <row r="5454" spans="2:13" ht="15" x14ac:dyDescent="0.25">
      <c r="B5454"/>
      <c r="M5454"/>
    </row>
    <row r="5455" spans="2:13" ht="15" x14ac:dyDescent="0.25">
      <c r="B5455"/>
      <c r="M5455"/>
    </row>
    <row r="5456" spans="2:13" ht="15" x14ac:dyDescent="0.25">
      <c r="B5456"/>
      <c r="M5456"/>
    </row>
    <row r="5457" spans="2:13" ht="15" x14ac:dyDescent="0.25">
      <c r="B5457"/>
      <c r="M5457"/>
    </row>
    <row r="5458" spans="2:13" ht="15" x14ac:dyDescent="0.25">
      <c r="B5458"/>
      <c r="M5458"/>
    </row>
    <row r="5459" spans="2:13" ht="15" x14ac:dyDescent="0.25">
      <c r="B5459"/>
      <c r="M5459"/>
    </row>
    <row r="5460" spans="2:13" ht="15" x14ac:dyDescent="0.25">
      <c r="B5460"/>
      <c r="M5460"/>
    </row>
    <row r="5461" spans="2:13" ht="15" x14ac:dyDescent="0.25">
      <c r="B5461"/>
      <c r="M5461"/>
    </row>
    <row r="5462" spans="2:13" ht="15" x14ac:dyDescent="0.25">
      <c r="B5462"/>
      <c r="M5462"/>
    </row>
    <row r="5463" spans="2:13" ht="15" x14ac:dyDescent="0.25">
      <c r="B5463"/>
      <c r="M5463"/>
    </row>
    <row r="5464" spans="2:13" ht="15" x14ac:dyDescent="0.25">
      <c r="B5464"/>
      <c r="M5464"/>
    </row>
    <row r="5465" spans="2:13" ht="15" x14ac:dyDescent="0.25">
      <c r="B5465"/>
      <c r="M5465"/>
    </row>
    <row r="5466" spans="2:13" ht="15" x14ac:dyDescent="0.25">
      <c r="B5466"/>
      <c r="M5466"/>
    </row>
    <row r="5467" spans="2:13" ht="15" x14ac:dyDescent="0.25">
      <c r="B5467"/>
      <c r="M5467"/>
    </row>
    <row r="5468" spans="2:13" ht="15" x14ac:dyDescent="0.25">
      <c r="B5468"/>
      <c r="M5468"/>
    </row>
    <row r="5469" spans="2:13" ht="15" x14ac:dyDescent="0.25">
      <c r="B5469"/>
      <c r="M5469"/>
    </row>
    <row r="5470" spans="2:13" ht="15" x14ac:dyDescent="0.25">
      <c r="B5470"/>
      <c r="M5470"/>
    </row>
    <row r="5471" spans="2:13" ht="15" x14ac:dyDescent="0.25">
      <c r="B5471"/>
      <c r="M5471"/>
    </row>
    <row r="5472" spans="2:13" ht="15" x14ac:dyDescent="0.25">
      <c r="B5472"/>
      <c r="M5472"/>
    </row>
    <row r="5473" spans="2:13" ht="15" x14ac:dyDescent="0.25">
      <c r="B5473"/>
      <c r="M5473"/>
    </row>
    <row r="5474" spans="2:13" ht="15" x14ac:dyDescent="0.25">
      <c r="B5474"/>
      <c r="M5474"/>
    </row>
    <row r="5475" spans="2:13" ht="15" x14ac:dyDescent="0.25">
      <c r="B5475"/>
      <c r="M5475"/>
    </row>
    <row r="5476" spans="2:13" ht="15" x14ac:dyDescent="0.25">
      <c r="B5476"/>
      <c r="M5476"/>
    </row>
    <row r="5477" spans="2:13" ht="15" x14ac:dyDescent="0.25">
      <c r="B5477"/>
      <c r="M5477"/>
    </row>
    <row r="5478" spans="2:13" ht="15" x14ac:dyDescent="0.25">
      <c r="B5478"/>
      <c r="M5478"/>
    </row>
    <row r="5479" spans="2:13" ht="15" x14ac:dyDescent="0.25">
      <c r="B5479"/>
      <c r="M5479"/>
    </row>
    <row r="5480" spans="2:13" ht="15" x14ac:dyDescent="0.25">
      <c r="B5480"/>
      <c r="M5480"/>
    </row>
    <row r="5481" spans="2:13" ht="15" x14ac:dyDescent="0.25">
      <c r="B5481"/>
      <c r="M5481"/>
    </row>
    <row r="5482" spans="2:13" ht="15" x14ac:dyDescent="0.25">
      <c r="B5482"/>
      <c r="M5482"/>
    </row>
    <row r="5483" spans="2:13" ht="15" x14ac:dyDescent="0.25">
      <c r="B5483"/>
      <c r="M5483"/>
    </row>
    <row r="5484" spans="2:13" ht="15" x14ac:dyDescent="0.25">
      <c r="B5484"/>
      <c r="M5484"/>
    </row>
    <row r="5485" spans="2:13" ht="15" x14ac:dyDescent="0.25">
      <c r="B5485"/>
      <c r="M5485"/>
    </row>
    <row r="5486" spans="2:13" ht="15" x14ac:dyDescent="0.25">
      <c r="B5486"/>
      <c r="M5486"/>
    </row>
    <row r="5487" spans="2:13" ht="15" x14ac:dyDescent="0.25">
      <c r="B5487"/>
      <c r="M5487"/>
    </row>
    <row r="5488" spans="2:13" ht="15" x14ac:dyDescent="0.25">
      <c r="B5488"/>
      <c r="M5488"/>
    </row>
    <row r="5489" spans="2:13" ht="15" x14ac:dyDescent="0.25">
      <c r="B5489"/>
      <c r="M5489"/>
    </row>
    <row r="5490" spans="2:13" ht="15" x14ac:dyDescent="0.25">
      <c r="B5490"/>
      <c r="M5490"/>
    </row>
    <row r="5491" spans="2:13" ht="15" x14ac:dyDescent="0.25">
      <c r="B5491"/>
      <c r="M5491"/>
    </row>
    <row r="5492" spans="2:13" ht="15" x14ac:dyDescent="0.25">
      <c r="B5492"/>
      <c r="M5492"/>
    </row>
    <row r="5493" spans="2:13" ht="15" x14ac:dyDescent="0.25">
      <c r="B5493"/>
      <c r="M5493"/>
    </row>
    <row r="5494" spans="2:13" ht="15" x14ac:dyDescent="0.25">
      <c r="B5494"/>
      <c r="M5494"/>
    </row>
    <row r="5495" spans="2:13" ht="15" x14ac:dyDescent="0.25">
      <c r="B5495"/>
      <c r="M5495"/>
    </row>
    <row r="5496" spans="2:13" ht="15" x14ac:dyDescent="0.25">
      <c r="B5496"/>
      <c r="M5496"/>
    </row>
    <row r="5497" spans="2:13" ht="15" x14ac:dyDescent="0.25">
      <c r="B5497"/>
      <c r="M5497"/>
    </row>
    <row r="5498" spans="2:13" ht="15" x14ac:dyDescent="0.25">
      <c r="B5498"/>
      <c r="M5498"/>
    </row>
    <row r="5499" spans="2:13" ht="15" x14ac:dyDescent="0.25">
      <c r="B5499"/>
      <c r="M5499"/>
    </row>
    <row r="5500" spans="2:13" ht="15" x14ac:dyDescent="0.25">
      <c r="B5500"/>
      <c r="M5500"/>
    </row>
    <row r="5501" spans="2:13" ht="15" x14ac:dyDescent="0.25">
      <c r="B5501"/>
      <c r="M5501"/>
    </row>
    <row r="5502" spans="2:13" ht="15" x14ac:dyDescent="0.25">
      <c r="B5502"/>
      <c r="M5502"/>
    </row>
    <row r="5503" spans="2:13" ht="15" x14ac:dyDescent="0.25">
      <c r="B5503"/>
      <c r="M5503"/>
    </row>
    <row r="5504" spans="2:13" ht="15" x14ac:dyDescent="0.25">
      <c r="B5504"/>
      <c r="M5504"/>
    </row>
    <row r="5505" spans="2:13" ht="15" x14ac:dyDescent="0.25">
      <c r="B5505"/>
      <c r="M5505"/>
    </row>
    <row r="5506" spans="2:13" ht="15" x14ac:dyDescent="0.25">
      <c r="B5506"/>
      <c r="M5506"/>
    </row>
    <row r="5507" spans="2:13" ht="15" x14ac:dyDescent="0.25">
      <c r="B5507"/>
      <c r="M5507"/>
    </row>
    <row r="5508" spans="2:13" ht="15" x14ac:dyDescent="0.25">
      <c r="B5508"/>
      <c r="M5508"/>
    </row>
    <row r="5509" spans="2:13" ht="15" x14ac:dyDescent="0.25">
      <c r="B5509"/>
      <c r="M5509"/>
    </row>
    <row r="5510" spans="2:13" ht="15" x14ac:dyDescent="0.25">
      <c r="B5510"/>
      <c r="M5510"/>
    </row>
    <row r="5511" spans="2:13" ht="15" x14ac:dyDescent="0.25">
      <c r="B5511"/>
      <c r="M5511"/>
    </row>
    <row r="5512" spans="2:13" ht="15" x14ac:dyDescent="0.25">
      <c r="B5512"/>
      <c r="M5512"/>
    </row>
    <row r="5513" spans="2:13" ht="15" x14ac:dyDescent="0.25">
      <c r="B5513"/>
      <c r="M5513"/>
    </row>
    <row r="5514" spans="2:13" ht="15" x14ac:dyDescent="0.25">
      <c r="B5514"/>
      <c r="M5514"/>
    </row>
    <row r="5515" spans="2:13" ht="15" x14ac:dyDescent="0.25">
      <c r="B5515"/>
      <c r="M5515"/>
    </row>
    <row r="5516" spans="2:13" ht="15" x14ac:dyDescent="0.25">
      <c r="B5516"/>
      <c r="M5516"/>
    </row>
    <row r="5517" spans="2:13" ht="15" x14ac:dyDescent="0.25">
      <c r="B5517"/>
      <c r="M5517"/>
    </row>
    <row r="5518" spans="2:13" ht="15" x14ac:dyDescent="0.25">
      <c r="B5518"/>
      <c r="M5518"/>
    </row>
    <row r="5519" spans="2:13" ht="15" x14ac:dyDescent="0.25">
      <c r="B5519"/>
      <c r="M5519"/>
    </row>
    <row r="5520" spans="2:13" ht="15" x14ac:dyDescent="0.25">
      <c r="B5520"/>
      <c r="M5520"/>
    </row>
    <row r="5521" spans="2:13" ht="15" x14ac:dyDescent="0.25">
      <c r="B5521"/>
      <c r="M5521"/>
    </row>
    <row r="5522" spans="2:13" ht="15" x14ac:dyDescent="0.25">
      <c r="B5522"/>
      <c r="M5522"/>
    </row>
    <row r="5523" spans="2:13" ht="15" x14ac:dyDescent="0.25">
      <c r="B5523"/>
      <c r="M5523"/>
    </row>
    <row r="5524" spans="2:13" ht="15" x14ac:dyDescent="0.25">
      <c r="B5524"/>
      <c r="M5524"/>
    </row>
    <row r="5525" spans="2:13" ht="15" x14ac:dyDescent="0.25">
      <c r="B5525"/>
      <c r="M5525"/>
    </row>
    <row r="5526" spans="2:13" ht="15" x14ac:dyDescent="0.25">
      <c r="B5526"/>
      <c r="M5526"/>
    </row>
    <row r="5527" spans="2:13" ht="15" x14ac:dyDescent="0.25">
      <c r="B5527"/>
      <c r="M5527"/>
    </row>
    <row r="5528" spans="2:13" ht="15" x14ac:dyDescent="0.25">
      <c r="B5528"/>
      <c r="M5528"/>
    </row>
    <row r="5529" spans="2:13" ht="15" x14ac:dyDescent="0.25">
      <c r="B5529"/>
      <c r="M5529"/>
    </row>
    <row r="5530" spans="2:13" ht="15" x14ac:dyDescent="0.25">
      <c r="B5530"/>
      <c r="M5530"/>
    </row>
    <row r="5531" spans="2:13" ht="15" x14ac:dyDescent="0.25">
      <c r="B5531"/>
      <c r="M5531"/>
    </row>
    <row r="5532" spans="2:13" ht="15" x14ac:dyDescent="0.25">
      <c r="B5532"/>
      <c r="M5532"/>
    </row>
    <row r="5533" spans="2:13" ht="15" x14ac:dyDescent="0.25">
      <c r="B5533"/>
      <c r="M5533"/>
    </row>
    <row r="5534" spans="2:13" ht="15" x14ac:dyDescent="0.25">
      <c r="B5534"/>
      <c r="M5534"/>
    </row>
    <row r="5535" spans="2:13" ht="15" x14ac:dyDescent="0.25">
      <c r="B5535"/>
      <c r="M5535"/>
    </row>
    <row r="5536" spans="2:13" ht="15" x14ac:dyDescent="0.25">
      <c r="B5536"/>
      <c r="M5536"/>
    </row>
    <row r="5537" spans="2:13" ht="15" x14ac:dyDescent="0.25">
      <c r="B5537"/>
      <c r="M5537"/>
    </row>
    <row r="5538" spans="2:13" ht="15" x14ac:dyDescent="0.25">
      <c r="B5538"/>
      <c r="M5538"/>
    </row>
    <row r="5539" spans="2:13" ht="15" x14ac:dyDescent="0.25">
      <c r="B5539"/>
      <c r="M5539"/>
    </row>
    <row r="5540" spans="2:13" ht="15" x14ac:dyDescent="0.25">
      <c r="B5540"/>
      <c r="M5540"/>
    </row>
    <row r="5541" spans="2:13" ht="15" x14ac:dyDescent="0.25">
      <c r="B5541"/>
      <c r="M5541"/>
    </row>
    <row r="5542" spans="2:13" ht="15" x14ac:dyDescent="0.25">
      <c r="B5542"/>
      <c r="M5542"/>
    </row>
    <row r="5543" spans="2:13" ht="15" x14ac:dyDescent="0.25">
      <c r="B5543"/>
      <c r="M5543"/>
    </row>
    <row r="5544" spans="2:13" ht="15" x14ac:dyDescent="0.25">
      <c r="B5544"/>
      <c r="M5544"/>
    </row>
    <row r="5545" spans="2:13" ht="15" x14ac:dyDescent="0.25">
      <c r="B5545"/>
      <c r="M5545"/>
    </row>
    <row r="5546" spans="2:13" ht="15" x14ac:dyDescent="0.25">
      <c r="B5546"/>
      <c r="M5546"/>
    </row>
    <row r="5547" spans="2:13" ht="15" x14ac:dyDescent="0.25">
      <c r="B5547"/>
      <c r="M5547"/>
    </row>
    <row r="5548" spans="2:13" ht="15" x14ac:dyDescent="0.25">
      <c r="B5548"/>
      <c r="M5548"/>
    </row>
    <row r="5549" spans="2:13" ht="15" x14ac:dyDescent="0.25">
      <c r="B5549"/>
      <c r="M5549"/>
    </row>
    <row r="5550" spans="2:13" ht="15" x14ac:dyDescent="0.25">
      <c r="B5550"/>
      <c r="M5550"/>
    </row>
    <row r="5551" spans="2:13" ht="15" x14ac:dyDescent="0.25">
      <c r="B5551"/>
      <c r="M5551"/>
    </row>
    <row r="5552" spans="2:13" ht="15" x14ac:dyDescent="0.25">
      <c r="B5552"/>
      <c r="M5552"/>
    </row>
    <row r="5553" spans="2:13" ht="15" x14ac:dyDescent="0.25">
      <c r="B5553"/>
      <c r="M5553"/>
    </row>
    <row r="5554" spans="2:13" ht="15" x14ac:dyDescent="0.25">
      <c r="B5554"/>
      <c r="M5554"/>
    </row>
    <row r="5555" spans="2:13" ht="15" x14ac:dyDescent="0.25">
      <c r="B5555"/>
      <c r="M5555"/>
    </row>
    <row r="5556" spans="2:13" ht="15" x14ac:dyDescent="0.25">
      <c r="B5556"/>
      <c r="M5556"/>
    </row>
    <row r="5557" spans="2:13" ht="15" x14ac:dyDescent="0.25">
      <c r="B5557"/>
      <c r="M5557"/>
    </row>
    <row r="5558" spans="2:13" ht="15" x14ac:dyDescent="0.25">
      <c r="B5558"/>
      <c r="M5558"/>
    </row>
    <row r="5559" spans="2:13" ht="15" x14ac:dyDescent="0.25">
      <c r="B5559"/>
      <c r="M5559"/>
    </row>
    <row r="5560" spans="2:13" ht="15" x14ac:dyDescent="0.25">
      <c r="B5560"/>
      <c r="M5560"/>
    </row>
    <row r="5561" spans="2:13" ht="15" x14ac:dyDescent="0.25">
      <c r="B5561"/>
      <c r="M5561"/>
    </row>
    <row r="5562" spans="2:13" ht="15" x14ac:dyDescent="0.25">
      <c r="B5562"/>
      <c r="M5562"/>
    </row>
    <row r="5563" spans="2:13" ht="15" x14ac:dyDescent="0.25">
      <c r="B5563"/>
      <c r="M5563"/>
    </row>
    <row r="5564" spans="2:13" ht="15" x14ac:dyDescent="0.25">
      <c r="B5564"/>
      <c r="M5564"/>
    </row>
    <row r="5565" spans="2:13" ht="15" x14ac:dyDescent="0.25">
      <c r="B5565"/>
      <c r="M5565"/>
    </row>
    <row r="5566" spans="2:13" ht="15" x14ac:dyDescent="0.25">
      <c r="B5566"/>
      <c r="M5566"/>
    </row>
    <row r="5567" spans="2:13" ht="15" x14ac:dyDescent="0.25">
      <c r="B5567"/>
      <c r="M5567"/>
    </row>
    <row r="5568" spans="2:13" ht="15" x14ac:dyDescent="0.25">
      <c r="B5568"/>
      <c r="M5568"/>
    </row>
    <row r="5569" spans="2:13" ht="15" x14ac:dyDescent="0.25">
      <c r="B5569"/>
      <c r="M5569"/>
    </row>
    <row r="5570" spans="2:13" ht="15" x14ac:dyDescent="0.25">
      <c r="B5570"/>
      <c r="M5570"/>
    </row>
    <row r="5571" spans="2:13" ht="15" x14ac:dyDescent="0.25">
      <c r="B5571"/>
      <c r="M5571"/>
    </row>
    <row r="5572" spans="2:13" ht="15" x14ac:dyDescent="0.25">
      <c r="B5572"/>
      <c r="M5572"/>
    </row>
    <row r="5573" spans="2:13" ht="15" x14ac:dyDescent="0.25">
      <c r="B5573"/>
      <c r="M5573"/>
    </row>
    <row r="5574" spans="2:13" ht="15" x14ac:dyDescent="0.25">
      <c r="B5574"/>
      <c r="M5574"/>
    </row>
    <row r="5575" spans="2:13" ht="15" x14ac:dyDescent="0.25">
      <c r="B5575"/>
      <c r="M5575"/>
    </row>
    <row r="5576" spans="2:13" ht="15" x14ac:dyDescent="0.25">
      <c r="B5576"/>
      <c r="M5576"/>
    </row>
    <row r="5577" spans="2:13" ht="15" x14ac:dyDescent="0.25">
      <c r="B5577"/>
      <c r="M5577"/>
    </row>
    <row r="5578" spans="2:13" ht="15" x14ac:dyDescent="0.25">
      <c r="B5578"/>
      <c r="M5578"/>
    </row>
    <row r="5579" spans="2:13" ht="15" x14ac:dyDescent="0.25">
      <c r="B5579"/>
      <c r="M5579"/>
    </row>
    <row r="5580" spans="2:13" ht="15" x14ac:dyDescent="0.25">
      <c r="B5580"/>
      <c r="M5580"/>
    </row>
    <row r="5581" spans="2:13" ht="15" x14ac:dyDescent="0.25">
      <c r="B5581"/>
      <c r="M5581"/>
    </row>
    <row r="5582" spans="2:13" ht="15" x14ac:dyDescent="0.25">
      <c r="B5582"/>
      <c r="M5582"/>
    </row>
    <row r="5583" spans="2:13" ht="15" x14ac:dyDescent="0.25">
      <c r="B5583"/>
      <c r="M5583"/>
    </row>
    <row r="5584" spans="2:13" ht="15" x14ac:dyDescent="0.25">
      <c r="B5584"/>
      <c r="M5584"/>
    </row>
    <row r="5585" spans="2:13" ht="15" x14ac:dyDescent="0.25">
      <c r="B5585"/>
      <c r="M5585"/>
    </row>
    <row r="5586" spans="2:13" ht="15" x14ac:dyDescent="0.25">
      <c r="B5586"/>
      <c r="M5586"/>
    </row>
    <row r="5587" spans="2:13" ht="15" x14ac:dyDescent="0.25">
      <c r="B5587"/>
      <c r="M5587"/>
    </row>
    <row r="5588" spans="2:13" ht="15" x14ac:dyDescent="0.25">
      <c r="B5588"/>
      <c r="M5588"/>
    </row>
    <row r="5589" spans="2:13" ht="15" x14ac:dyDescent="0.25">
      <c r="B5589"/>
      <c r="M5589"/>
    </row>
    <row r="5590" spans="2:13" ht="15" x14ac:dyDescent="0.25">
      <c r="B5590"/>
      <c r="M5590"/>
    </row>
    <row r="5591" spans="2:13" ht="15" x14ac:dyDescent="0.25">
      <c r="B5591"/>
      <c r="M5591"/>
    </row>
    <row r="5592" spans="2:13" ht="15" x14ac:dyDescent="0.25">
      <c r="B5592"/>
      <c r="M5592"/>
    </row>
    <row r="5593" spans="2:13" ht="15" x14ac:dyDescent="0.25">
      <c r="B5593"/>
      <c r="M5593"/>
    </row>
    <row r="5594" spans="2:13" ht="15" x14ac:dyDescent="0.25">
      <c r="B5594"/>
      <c r="M5594"/>
    </row>
    <row r="5595" spans="2:13" ht="15" x14ac:dyDescent="0.25">
      <c r="B5595"/>
      <c r="M5595"/>
    </row>
    <row r="5596" spans="2:13" ht="15" x14ac:dyDescent="0.25">
      <c r="B5596"/>
      <c r="M5596"/>
    </row>
    <row r="5597" spans="2:13" ht="15" x14ac:dyDescent="0.25">
      <c r="B5597"/>
      <c r="M5597"/>
    </row>
    <row r="5598" spans="2:13" ht="15" x14ac:dyDescent="0.25">
      <c r="B5598"/>
      <c r="M5598"/>
    </row>
    <row r="5599" spans="2:13" ht="15" x14ac:dyDescent="0.25">
      <c r="B5599"/>
      <c r="M5599"/>
    </row>
    <row r="5600" spans="2:13" ht="15" x14ac:dyDescent="0.25">
      <c r="B5600"/>
      <c r="M5600"/>
    </row>
    <row r="5601" spans="2:13" ht="15" x14ac:dyDescent="0.25">
      <c r="B5601"/>
      <c r="M5601"/>
    </row>
    <row r="5602" spans="2:13" ht="15" x14ac:dyDescent="0.25">
      <c r="B5602"/>
      <c r="M5602"/>
    </row>
    <row r="5603" spans="2:13" ht="15" x14ac:dyDescent="0.25">
      <c r="B5603"/>
      <c r="M5603"/>
    </row>
    <row r="5604" spans="2:13" ht="15" x14ac:dyDescent="0.25">
      <c r="B5604"/>
      <c r="M5604"/>
    </row>
    <row r="5605" spans="2:13" ht="15" x14ac:dyDescent="0.25">
      <c r="B5605"/>
      <c r="M5605"/>
    </row>
    <row r="5606" spans="2:13" ht="15" x14ac:dyDescent="0.25">
      <c r="B5606"/>
      <c r="M5606"/>
    </row>
    <row r="5607" spans="2:13" ht="15" x14ac:dyDescent="0.25">
      <c r="B5607"/>
      <c r="M5607"/>
    </row>
    <row r="5608" spans="2:13" ht="15" x14ac:dyDescent="0.25">
      <c r="B5608"/>
      <c r="M5608"/>
    </row>
    <row r="5609" spans="2:13" ht="15" x14ac:dyDescent="0.25">
      <c r="B5609"/>
      <c r="M5609"/>
    </row>
    <row r="5610" spans="2:13" ht="15" x14ac:dyDescent="0.25">
      <c r="B5610"/>
      <c r="M5610"/>
    </row>
    <row r="5611" spans="2:13" ht="15" x14ac:dyDescent="0.25">
      <c r="B5611"/>
      <c r="M5611"/>
    </row>
    <row r="5612" spans="2:13" ht="15" x14ac:dyDescent="0.25">
      <c r="B5612"/>
      <c r="M5612"/>
    </row>
    <row r="5613" spans="2:13" ht="15" x14ac:dyDescent="0.25">
      <c r="B5613"/>
      <c r="M5613"/>
    </row>
    <row r="5614" spans="2:13" ht="15" x14ac:dyDescent="0.25">
      <c r="B5614"/>
      <c r="M5614"/>
    </row>
    <row r="5615" spans="2:13" ht="15" x14ac:dyDescent="0.25">
      <c r="B5615"/>
      <c r="M5615"/>
    </row>
    <row r="5616" spans="2:13" ht="15" x14ac:dyDescent="0.25">
      <c r="B5616"/>
      <c r="M5616"/>
    </row>
    <row r="5617" spans="2:13" ht="15" x14ac:dyDescent="0.25">
      <c r="B5617"/>
      <c r="M5617"/>
    </row>
    <row r="5618" spans="2:13" ht="15" x14ac:dyDescent="0.25">
      <c r="B5618"/>
      <c r="M5618"/>
    </row>
    <row r="5619" spans="2:13" ht="15" x14ac:dyDescent="0.25">
      <c r="B5619"/>
      <c r="M5619"/>
    </row>
    <row r="5620" spans="2:13" ht="15" x14ac:dyDescent="0.25">
      <c r="B5620"/>
      <c r="M5620"/>
    </row>
    <row r="5621" spans="2:13" ht="15" x14ac:dyDescent="0.25">
      <c r="B5621"/>
      <c r="M5621"/>
    </row>
    <row r="5622" spans="2:13" ht="15" x14ac:dyDescent="0.25">
      <c r="B5622"/>
      <c r="M5622"/>
    </row>
    <row r="5623" spans="2:13" ht="15" x14ac:dyDescent="0.25">
      <c r="B5623"/>
      <c r="M5623"/>
    </row>
    <row r="5624" spans="2:13" ht="15" x14ac:dyDescent="0.25">
      <c r="B5624"/>
      <c r="M5624"/>
    </row>
    <row r="5625" spans="2:13" ht="15" x14ac:dyDescent="0.25">
      <c r="B5625"/>
      <c r="M5625"/>
    </row>
    <row r="5626" spans="2:13" ht="15" x14ac:dyDescent="0.25">
      <c r="B5626"/>
      <c r="M5626"/>
    </row>
    <row r="5627" spans="2:13" ht="15" x14ac:dyDescent="0.25">
      <c r="B5627"/>
      <c r="M5627"/>
    </row>
    <row r="5628" spans="2:13" ht="15" x14ac:dyDescent="0.25">
      <c r="B5628"/>
      <c r="M5628"/>
    </row>
    <row r="5629" spans="2:13" ht="15" x14ac:dyDescent="0.25">
      <c r="B5629"/>
      <c r="M5629"/>
    </row>
    <row r="5630" spans="2:13" ht="15" x14ac:dyDescent="0.25">
      <c r="B5630"/>
      <c r="M5630"/>
    </row>
    <row r="5631" spans="2:13" ht="15" x14ac:dyDescent="0.25">
      <c r="B5631"/>
      <c r="M5631"/>
    </row>
    <row r="5632" spans="2:13" ht="15" x14ac:dyDescent="0.25">
      <c r="B5632"/>
      <c r="M5632"/>
    </row>
    <row r="5633" spans="2:13" ht="15" x14ac:dyDescent="0.25">
      <c r="B5633"/>
      <c r="M5633"/>
    </row>
    <row r="5634" spans="2:13" ht="15" x14ac:dyDescent="0.25">
      <c r="B5634"/>
      <c r="M5634"/>
    </row>
    <row r="5635" spans="2:13" ht="15" x14ac:dyDescent="0.25">
      <c r="B5635"/>
      <c r="M5635"/>
    </row>
    <row r="5636" spans="2:13" ht="15" x14ac:dyDescent="0.25">
      <c r="B5636"/>
      <c r="M5636"/>
    </row>
    <row r="5637" spans="2:13" ht="15" x14ac:dyDescent="0.25">
      <c r="B5637"/>
      <c r="M5637"/>
    </row>
    <row r="5638" spans="2:13" ht="15" x14ac:dyDescent="0.25">
      <c r="B5638"/>
      <c r="M5638"/>
    </row>
    <row r="5639" spans="2:13" ht="15" x14ac:dyDescent="0.25">
      <c r="B5639"/>
      <c r="M5639"/>
    </row>
    <row r="5640" spans="2:13" ht="15" x14ac:dyDescent="0.25">
      <c r="B5640"/>
      <c r="M5640"/>
    </row>
    <row r="5641" spans="2:13" ht="15" x14ac:dyDescent="0.25">
      <c r="B5641"/>
      <c r="M5641"/>
    </row>
    <row r="5642" spans="2:13" ht="15" x14ac:dyDescent="0.25">
      <c r="B5642"/>
      <c r="M5642"/>
    </row>
    <row r="5643" spans="2:13" ht="15" x14ac:dyDescent="0.25">
      <c r="B5643"/>
      <c r="M5643"/>
    </row>
    <row r="5644" spans="2:13" ht="15" x14ac:dyDescent="0.25">
      <c r="B5644"/>
      <c r="M5644"/>
    </row>
    <row r="5645" spans="2:13" ht="15" x14ac:dyDescent="0.25">
      <c r="B5645"/>
      <c r="M5645"/>
    </row>
    <row r="5646" spans="2:13" ht="15" x14ac:dyDescent="0.25">
      <c r="B5646"/>
      <c r="M5646"/>
    </row>
    <row r="5647" spans="2:13" ht="15" x14ac:dyDescent="0.25">
      <c r="B5647"/>
      <c r="M5647"/>
    </row>
    <row r="5648" spans="2:13" ht="15" x14ac:dyDescent="0.25">
      <c r="B5648"/>
      <c r="M5648"/>
    </row>
    <row r="5649" spans="2:13" ht="15" x14ac:dyDescent="0.25">
      <c r="B5649"/>
      <c r="M5649"/>
    </row>
    <row r="5650" spans="2:13" ht="15" x14ac:dyDescent="0.25">
      <c r="B5650"/>
      <c r="M5650"/>
    </row>
    <row r="5651" spans="2:13" ht="15" x14ac:dyDescent="0.25">
      <c r="B5651"/>
      <c r="M5651"/>
    </row>
    <row r="5652" spans="2:13" ht="15" x14ac:dyDescent="0.25">
      <c r="B5652"/>
      <c r="M5652"/>
    </row>
    <row r="5653" spans="2:13" ht="15" x14ac:dyDescent="0.25">
      <c r="B5653"/>
      <c r="M5653"/>
    </row>
    <row r="5654" spans="2:13" ht="15" x14ac:dyDescent="0.25">
      <c r="B5654"/>
      <c r="M5654"/>
    </row>
    <row r="5655" spans="2:13" ht="15" x14ac:dyDescent="0.25">
      <c r="B5655"/>
      <c r="M5655"/>
    </row>
    <row r="5656" spans="2:13" ht="15" x14ac:dyDescent="0.25">
      <c r="B5656"/>
      <c r="M5656"/>
    </row>
    <row r="5657" spans="2:13" ht="15" x14ac:dyDescent="0.25">
      <c r="B5657"/>
      <c r="M5657"/>
    </row>
    <row r="5658" spans="2:13" ht="15" x14ac:dyDescent="0.25">
      <c r="B5658"/>
      <c r="M5658"/>
    </row>
    <row r="5659" spans="2:13" ht="15" x14ac:dyDescent="0.25">
      <c r="B5659"/>
      <c r="M5659"/>
    </row>
    <row r="5660" spans="2:13" ht="15" x14ac:dyDescent="0.25">
      <c r="B5660"/>
      <c r="M5660"/>
    </row>
    <row r="5661" spans="2:13" ht="15" x14ac:dyDescent="0.25">
      <c r="B5661"/>
      <c r="M5661"/>
    </row>
    <row r="5662" spans="2:13" ht="15" x14ac:dyDescent="0.25">
      <c r="B5662"/>
      <c r="M5662"/>
    </row>
    <row r="5663" spans="2:13" ht="15" x14ac:dyDescent="0.25">
      <c r="B5663"/>
      <c r="M5663"/>
    </row>
    <row r="5664" spans="2:13" ht="15" x14ac:dyDescent="0.25">
      <c r="B5664"/>
      <c r="M5664"/>
    </row>
    <row r="5665" spans="2:13" ht="15" x14ac:dyDescent="0.25">
      <c r="B5665"/>
      <c r="M5665"/>
    </row>
    <row r="5666" spans="2:13" ht="15" x14ac:dyDescent="0.25">
      <c r="B5666"/>
      <c r="M5666"/>
    </row>
    <row r="5667" spans="2:13" ht="15" x14ac:dyDescent="0.25">
      <c r="B5667"/>
      <c r="M5667"/>
    </row>
    <row r="5668" spans="2:13" ht="15" x14ac:dyDescent="0.25">
      <c r="B5668"/>
      <c r="M5668"/>
    </row>
    <row r="5669" spans="2:13" ht="15" x14ac:dyDescent="0.25">
      <c r="B5669"/>
      <c r="M5669"/>
    </row>
    <row r="5670" spans="2:13" ht="15" x14ac:dyDescent="0.25">
      <c r="B5670"/>
      <c r="M5670"/>
    </row>
    <row r="5671" spans="2:13" ht="15" x14ac:dyDescent="0.25">
      <c r="B5671"/>
      <c r="M5671"/>
    </row>
    <row r="5672" spans="2:13" ht="15" x14ac:dyDescent="0.25">
      <c r="B5672"/>
      <c r="M5672"/>
    </row>
    <row r="5673" spans="2:13" ht="15" x14ac:dyDescent="0.25">
      <c r="B5673"/>
      <c r="M5673"/>
    </row>
    <row r="5674" spans="2:13" ht="15" x14ac:dyDescent="0.25">
      <c r="B5674"/>
      <c r="M5674"/>
    </row>
    <row r="5675" spans="2:13" ht="15" x14ac:dyDescent="0.25">
      <c r="B5675"/>
      <c r="M5675"/>
    </row>
    <row r="5676" spans="2:13" ht="15" x14ac:dyDescent="0.25">
      <c r="B5676"/>
      <c r="M5676"/>
    </row>
    <row r="5677" spans="2:13" ht="15" x14ac:dyDescent="0.25">
      <c r="B5677"/>
      <c r="M5677"/>
    </row>
    <row r="5678" spans="2:13" ht="15" x14ac:dyDescent="0.25">
      <c r="B5678"/>
      <c r="M5678"/>
    </row>
    <row r="5679" spans="2:13" ht="15" x14ac:dyDescent="0.25">
      <c r="B5679"/>
      <c r="M5679"/>
    </row>
    <row r="5680" spans="2:13" ht="15" x14ac:dyDescent="0.25">
      <c r="B5680"/>
      <c r="M5680"/>
    </row>
    <row r="5681" spans="2:13" ht="15" x14ac:dyDescent="0.25">
      <c r="B5681"/>
      <c r="M5681"/>
    </row>
    <row r="5682" spans="2:13" ht="15" x14ac:dyDescent="0.25">
      <c r="B5682"/>
      <c r="M5682"/>
    </row>
    <row r="5683" spans="2:13" ht="15" x14ac:dyDescent="0.25">
      <c r="B5683"/>
      <c r="M5683"/>
    </row>
    <row r="5684" spans="2:13" ht="15" x14ac:dyDescent="0.25">
      <c r="B5684"/>
      <c r="M5684"/>
    </row>
    <row r="5685" spans="2:13" ht="15" x14ac:dyDescent="0.25">
      <c r="B5685"/>
      <c r="M5685"/>
    </row>
    <row r="5686" spans="2:13" ht="15" x14ac:dyDescent="0.25">
      <c r="B5686"/>
      <c r="M5686"/>
    </row>
    <row r="5687" spans="2:13" ht="15" x14ac:dyDescent="0.25">
      <c r="B5687"/>
      <c r="M5687"/>
    </row>
    <row r="5688" spans="2:13" ht="15" x14ac:dyDescent="0.25">
      <c r="B5688"/>
      <c r="M5688"/>
    </row>
    <row r="5689" spans="2:13" ht="15" x14ac:dyDescent="0.25">
      <c r="B5689"/>
      <c r="M5689"/>
    </row>
    <row r="5690" spans="2:13" ht="15" x14ac:dyDescent="0.25">
      <c r="B5690"/>
      <c r="M5690"/>
    </row>
    <row r="5691" spans="2:13" ht="15" x14ac:dyDescent="0.25">
      <c r="B5691"/>
      <c r="M5691"/>
    </row>
    <row r="5692" spans="2:13" ht="15" x14ac:dyDescent="0.25">
      <c r="B5692"/>
      <c r="M5692"/>
    </row>
    <row r="5693" spans="2:13" ht="15" x14ac:dyDescent="0.25">
      <c r="B5693"/>
      <c r="M5693"/>
    </row>
    <row r="5694" spans="2:13" ht="15" x14ac:dyDescent="0.25">
      <c r="B5694"/>
      <c r="M5694"/>
    </row>
    <row r="5695" spans="2:13" ht="15" x14ac:dyDescent="0.25">
      <c r="B5695"/>
      <c r="M5695"/>
    </row>
    <row r="5696" spans="2:13" ht="15" x14ac:dyDescent="0.25">
      <c r="B5696"/>
      <c r="M5696"/>
    </row>
    <row r="5697" spans="2:13" ht="15" x14ac:dyDescent="0.25">
      <c r="B5697"/>
      <c r="M5697"/>
    </row>
    <row r="5698" spans="2:13" ht="15" x14ac:dyDescent="0.25">
      <c r="B5698"/>
      <c r="M5698"/>
    </row>
    <row r="5699" spans="2:13" ht="15" x14ac:dyDescent="0.25">
      <c r="B5699"/>
      <c r="M5699"/>
    </row>
    <row r="5700" spans="2:13" ht="15" x14ac:dyDescent="0.25">
      <c r="B5700"/>
      <c r="M5700"/>
    </row>
    <row r="5701" spans="2:13" ht="15" x14ac:dyDescent="0.25">
      <c r="B5701"/>
      <c r="M5701"/>
    </row>
    <row r="5702" spans="2:13" ht="15" x14ac:dyDescent="0.25">
      <c r="B5702"/>
      <c r="M5702"/>
    </row>
    <row r="5703" spans="2:13" ht="15" x14ac:dyDescent="0.25">
      <c r="B5703"/>
      <c r="M5703"/>
    </row>
    <row r="5704" spans="2:13" ht="15" x14ac:dyDescent="0.25">
      <c r="B5704"/>
      <c r="M5704"/>
    </row>
    <row r="5705" spans="2:13" ht="15" x14ac:dyDescent="0.25">
      <c r="B5705"/>
      <c r="M5705"/>
    </row>
    <row r="5706" spans="2:13" ht="15" x14ac:dyDescent="0.25">
      <c r="B5706"/>
      <c r="M5706"/>
    </row>
    <row r="5707" spans="2:13" ht="15" x14ac:dyDescent="0.25">
      <c r="B5707"/>
      <c r="M5707"/>
    </row>
    <row r="5708" spans="2:13" ht="15" x14ac:dyDescent="0.25">
      <c r="B5708"/>
      <c r="M5708"/>
    </row>
    <row r="5709" spans="2:13" ht="15" x14ac:dyDescent="0.25">
      <c r="B5709"/>
      <c r="M5709"/>
    </row>
    <row r="5710" spans="2:13" ht="15" x14ac:dyDescent="0.25">
      <c r="B5710"/>
      <c r="M5710"/>
    </row>
    <row r="5711" spans="2:13" ht="15" x14ac:dyDescent="0.25">
      <c r="B5711"/>
      <c r="M5711"/>
    </row>
    <row r="5712" spans="2:13" ht="15" x14ac:dyDescent="0.25">
      <c r="B5712"/>
      <c r="M5712"/>
    </row>
    <row r="5713" spans="2:13" ht="15" x14ac:dyDescent="0.25">
      <c r="B5713"/>
      <c r="M5713"/>
    </row>
    <row r="5714" spans="2:13" ht="15" x14ac:dyDescent="0.25">
      <c r="B5714"/>
      <c r="M5714"/>
    </row>
    <row r="5715" spans="2:13" ht="15" x14ac:dyDescent="0.25">
      <c r="B5715"/>
      <c r="M5715"/>
    </row>
    <row r="5716" spans="2:13" ht="15" x14ac:dyDescent="0.25">
      <c r="B5716"/>
      <c r="M5716"/>
    </row>
    <row r="5717" spans="2:13" ht="15" x14ac:dyDescent="0.25">
      <c r="B5717"/>
      <c r="M5717"/>
    </row>
    <row r="5718" spans="2:13" ht="15" x14ac:dyDescent="0.25">
      <c r="B5718"/>
      <c r="M5718"/>
    </row>
    <row r="5719" spans="2:13" ht="15" x14ac:dyDescent="0.25">
      <c r="B5719"/>
      <c r="M5719"/>
    </row>
    <row r="5720" spans="2:13" ht="15" x14ac:dyDescent="0.25">
      <c r="B5720"/>
      <c r="M5720"/>
    </row>
    <row r="5721" spans="2:13" ht="15" x14ac:dyDescent="0.25">
      <c r="B5721"/>
      <c r="M5721"/>
    </row>
    <row r="5722" spans="2:13" ht="15" x14ac:dyDescent="0.25">
      <c r="B5722"/>
      <c r="M5722"/>
    </row>
    <row r="5723" spans="2:13" ht="15" x14ac:dyDescent="0.25">
      <c r="B5723"/>
      <c r="M5723"/>
    </row>
    <row r="5724" spans="2:13" ht="15" x14ac:dyDescent="0.25">
      <c r="B5724"/>
      <c r="M5724"/>
    </row>
    <row r="5725" spans="2:13" ht="15" x14ac:dyDescent="0.25">
      <c r="B5725"/>
      <c r="M5725"/>
    </row>
    <row r="5726" spans="2:13" ht="15" x14ac:dyDescent="0.25">
      <c r="B5726"/>
      <c r="M5726"/>
    </row>
    <row r="5727" spans="2:13" ht="15" x14ac:dyDescent="0.25">
      <c r="B5727"/>
      <c r="M5727"/>
    </row>
    <row r="5728" spans="2:13" ht="15" x14ac:dyDescent="0.25">
      <c r="B5728"/>
      <c r="M5728"/>
    </row>
    <row r="5729" spans="2:13" ht="15" x14ac:dyDescent="0.25">
      <c r="B5729"/>
      <c r="M5729"/>
    </row>
    <row r="5730" spans="2:13" ht="15" x14ac:dyDescent="0.25">
      <c r="B5730"/>
      <c r="M5730"/>
    </row>
    <row r="5731" spans="2:13" ht="15" x14ac:dyDescent="0.25">
      <c r="B5731"/>
      <c r="M5731"/>
    </row>
    <row r="5732" spans="2:13" ht="15" x14ac:dyDescent="0.25">
      <c r="B5732"/>
      <c r="M5732"/>
    </row>
    <row r="5733" spans="2:13" ht="15" x14ac:dyDescent="0.25">
      <c r="B5733"/>
      <c r="M5733"/>
    </row>
    <row r="5734" spans="2:13" ht="15" x14ac:dyDescent="0.25">
      <c r="B5734"/>
      <c r="M5734"/>
    </row>
    <row r="5735" spans="2:13" ht="15" x14ac:dyDescent="0.25">
      <c r="B5735"/>
      <c r="M5735"/>
    </row>
    <row r="5736" spans="2:13" ht="15" x14ac:dyDescent="0.25">
      <c r="B5736"/>
      <c r="M5736"/>
    </row>
    <row r="5737" spans="2:13" ht="15" x14ac:dyDescent="0.25">
      <c r="B5737"/>
      <c r="M5737"/>
    </row>
    <row r="5738" spans="2:13" ht="15" x14ac:dyDescent="0.25">
      <c r="B5738"/>
      <c r="M5738"/>
    </row>
    <row r="5739" spans="2:13" ht="15" x14ac:dyDescent="0.25">
      <c r="B5739"/>
      <c r="M5739"/>
    </row>
    <row r="5740" spans="2:13" ht="15" x14ac:dyDescent="0.25">
      <c r="B5740"/>
      <c r="M5740"/>
    </row>
    <row r="5741" spans="2:13" ht="15" x14ac:dyDescent="0.25">
      <c r="B5741"/>
      <c r="M5741"/>
    </row>
    <row r="5742" spans="2:13" ht="15" x14ac:dyDescent="0.25">
      <c r="B5742"/>
      <c r="M5742"/>
    </row>
    <row r="5743" spans="2:13" ht="15" x14ac:dyDescent="0.25">
      <c r="B5743"/>
      <c r="M5743"/>
    </row>
    <row r="5744" spans="2:13" ht="15" x14ac:dyDescent="0.25">
      <c r="B5744"/>
      <c r="M5744"/>
    </row>
    <row r="5745" spans="2:13" ht="15" x14ac:dyDescent="0.25">
      <c r="B5745"/>
      <c r="M5745"/>
    </row>
    <row r="5746" spans="2:13" ht="15" x14ac:dyDescent="0.25">
      <c r="B5746"/>
      <c r="M5746"/>
    </row>
    <row r="5747" spans="2:13" ht="15" x14ac:dyDescent="0.25">
      <c r="B5747"/>
      <c r="M5747"/>
    </row>
    <row r="5748" spans="2:13" ht="15" x14ac:dyDescent="0.25">
      <c r="B5748"/>
      <c r="M5748"/>
    </row>
    <row r="5749" spans="2:13" ht="15" x14ac:dyDescent="0.25">
      <c r="B5749"/>
      <c r="M5749"/>
    </row>
    <row r="5750" spans="2:13" ht="15" x14ac:dyDescent="0.25">
      <c r="B5750"/>
      <c r="M5750"/>
    </row>
    <row r="5751" spans="2:13" ht="15" x14ac:dyDescent="0.25">
      <c r="B5751"/>
      <c r="M5751"/>
    </row>
    <row r="5752" spans="2:13" ht="15" x14ac:dyDescent="0.25">
      <c r="B5752"/>
      <c r="M5752"/>
    </row>
    <row r="5753" spans="2:13" ht="15" x14ac:dyDescent="0.25">
      <c r="B5753"/>
      <c r="M5753"/>
    </row>
    <row r="5754" spans="2:13" ht="15" x14ac:dyDescent="0.25">
      <c r="B5754"/>
      <c r="M5754"/>
    </row>
    <row r="5755" spans="2:13" ht="15" x14ac:dyDescent="0.25">
      <c r="B5755"/>
      <c r="M5755"/>
    </row>
    <row r="5756" spans="2:13" ht="15" x14ac:dyDescent="0.25">
      <c r="B5756"/>
      <c r="M5756"/>
    </row>
    <row r="5757" spans="2:13" ht="15" x14ac:dyDescent="0.25">
      <c r="B5757"/>
      <c r="M5757"/>
    </row>
    <row r="5758" spans="2:13" ht="15" x14ac:dyDescent="0.25">
      <c r="B5758"/>
      <c r="M5758"/>
    </row>
    <row r="5759" spans="2:13" ht="15" x14ac:dyDescent="0.25">
      <c r="B5759"/>
      <c r="M5759"/>
    </row>
    <row r="5760" spans="2:13" ht="15" x14ac:dyDescent="0.25">
      <c r="B5760"/>
      <c r="M5760"/>
    </row>
    <row r="5761" spans="2:13" ht="15" x14ac:dyDescent="0.25">
      <c r="B5761"/>
      <c r="M5761"/>
    </row>
    <row r="5762" spans="2:13" ht="15" x14ac:dyDescent="0.25">
      <c r="B5762"/>
      <c r="M5762"/>
    </row>
    <row r="5763" spans="2:13" ht="15" x14ac:dyDescent="0.25">
      <c r="B5763"/>
      <c r="M5763"/>
    </row>
    <row r="5764" spans="2:13" ht="15" x14ac:dyDescent="0.25">
      <c r="B5764"/>
      <c r="M5764"/>
    </row>
    <row r="5765" spans="2:13" ht="15" x14ac:dyDescent="0.25">
      <c r="B5765"/>
      <c r="M5765"/>
    </row>
    <row r="5766" spans="2:13" ht="15" x14ac:dyDescent="0.25">
      <c r="B5766"/>
      <c r="M5766"/>
    </row>
    <row r="5767" spans="2:13" ht="15" x14ac:dyDescent="0.25">
      <c r="B5767"/>
      <c r="M5767"/>
    </row>
    <row r="5768" spans="2:13" ht="15" x14ac:dyDescent="0.25">
      <c r="B5768"/>
      <c r="M5768"/>
    </row>
    <row r="5769" spans="2:13" ht="15" x14ac:dyDescent="0.25">
      <c r="B5769"/>
      <c r="M5769"/>
    </row>
    <row r="5770" spans="2:13" ht="15" x14ac:dyDescent="0.25">
      <c r="B5770"/>
      <c r="M5770"/>
    </row>
    <row r="5771" spans="2:13" ht="15" x14ac:dyDescent="0.25">
      <c r="B5771"/>
      <c r="M5771"/>
    </row>
    <row r="5772" spans="2:13" ht="15" x14ac:dyDescent="0.25">
      <c r="B5772"/>
      <c r="M5772"/>
    </row>
    <row r="5773" spans="2:13" ht="15" x14ac:dyDescent="0.25">
      <c r="B5773"/>
      <c r="M5773"/>
    </row>
    <row r="5774" spans="2:13" ht="15" x14ac:dyDescent="0.25">
      <c r="B5774"/>
      <c r="M5774"/>
    </row>
    <row r="5775" spans="2:13" ht="15" x14ac:dyDescent="0.25">
      <c r="B5775"/>
      <c r="M5775"/>
    </row>
    <row r="5776" spans="2:13" ht="15" x14ac:dyDescent="0.25">
      <c r="B5776"/>
      <c r="M5776"/>
    </row>
    <row r="5777" spans="2:13" ht="15" x14ac:dyDescent="0.25">
      <c r="B5777"/>
      <c r="M5777"/>
    </row>
    <row r="5778" spans="2:13" ht="15" x14ac:dyDescent="0.25">
      <c r="B5778"/>
      <c r="M5778"/>
    </row>
    <row r="5779" spans="2:13" ht="15" x14ac:dyDescent="0.25">
      <c r="B5779"/>
      <c r="M5779"/>
    </row>
    <row r="5780" spans="2:13" ht="15" x14ac:dyDescent="0.25">
      <c r="B5780"/>
      <c r="M5780"/>
    </row>
    <row r="5781" spans="2:13" ht="15" x14ac:dyDescent="0.25">
      <c r="B5781"/>
      <c r="M5781"/>
    </row>
    <row r="5782" spans="2:13" ht="15" x14ac:dyDescent="0.25">
      <c r="B5782"/>
      <c r="M5782"/>
    </row>
    <row r="5783" spans="2:13" ht="15" x14ac:dyDescent="0.25">
      <c r="B5783"/>
      <c r="M5783"/>
    </row>
    <row r="5784" spans="2:13" ht="15" x14ac:dyDescent="0.25">
      <c r="B5784"/>
      <c r="M5784"/>
    </row>
    <row r="5785" spans="2:13" ht="15" x14ac:dyDescent="0.25">
      <c r="B5785"/>
      <c r="M5785"/>
    </row>
    <row r="5786" spans="2:13" ht="15" x14ac:dyDescent="0.25">
      <c r="B5786"/>
      <c r="M5786"/>
    </row>
    <row r="5787" spans="2:13" ht="15" x14ac:dyDescent="0.25">
      <c r="B5787"/>
      <c r="M5787"/>
    </row>
    <row r="5788" spans="2:13" ht="15" x14ac:dyDescent="0.25">
      <c r="B5788"/>
      <c r="M5788"/>
    </row>
    <row r="5789" spans="2:13" ht="15" x14ac:dyDescent="0.25">
      <c r="B5789"/>
      <c r="M5789"/>
    </row>
    <row r="5790" spans="2:13" ht="15" x14ac:dyDescent="0.25">
      <c r="B5790"/>
      <c r="M5790"/>
    </row>
    <row r="5791" spans="2:13" ht="15" x14ac:dyDescent="0.25">
      <c r="B5791"/>
      <c r="M5791"/>
    </row>
    <row r="5792" spans="2:13" ht="15" x14ac:dyDescent="0.25">
      <c r="B5792"/>
      <c r="M5792"/>
    </row>
    <row r="5793" spans="2:13" ht="15" x14ac:dyDescent="0.25">
      <c r="B5793"/>
      <c r="M5793"/>
    </row>
    <row r="5794" spans="2:13" ht="15" x14ac:dyDescent="0.25">
      <c r="B5794"/>
      <c r="M5794"/>
    </row>
    <row r="5795" spans="2:13" ht="15" x14ac:dyDescent="0.25">
      <c r="B5795"/>
      <c r="M5795"/>
    </row>
    <row r="5796" spans="2:13" ht="15" x14ac:dyDescent="0.25">
      <c r="B5796"/>
      <c r="M5796"/>
    </row>
    <row r="5797" spans="2:13" ht="15" x14ac:dyDescent="0.25">
      <c r="B5797"/>
      <c r="M5797"/>
    </row>
    <row r="5798" spans="2:13" ht="15" x14ac:dyDescent="0.25">
      <c r="B5798"/>
      <c r="M5798"/>
    </row>
    <row r="5799" spans="2:13" ht="15" x14ac:dyDescent="0.25">
      <c r="B5799"/>
      <c r="M5799"/>
    </row>
    <row r="5800" spans="2:13" ht="15" x14ac:dyDescent="0.25">
      <c r="B5800"/>
      <c r="M5800"/>
    </row>
    <row r="5801" spans="2:13" ht="15" x14ac:dyDescent="0.25">
      <c r="B5801"/>
      <c r="M5801"/>
    </row>
    <row r="5802" spans="2:13" ht="15" x14ac:dyDescent="0.25">
      <c r="B5802"/>
      <c r="M5802"/>
    </row>
    <row r="5803" spans="2:13" ht="15" x14ac:dyDescent="0.25">
      <c r="B5803"/>
      <c r="M5803"/>
    </row>
    <row r="5804" spans="2:13" ht="15" x14ac:dyDescent="0.25">
      <c r="B5804"/>
      <c r="M5804"/>
    </row>
    <row r="5805" spans="2:13" ht="15" x14ac:dyDescent="0.25">
      <c r="B5805"/>
      <c r="M5805"/>
    </row>
    <row r="5806" spans="2:13" ht="15" x14ac:dyDescent="0.25">
      <c r="B5806"/>
      <c r="M5806"/>
    </row>
    <row r="5807" spans="2:13" ht="15" x14ac:dyDescent="0.25">
      <c r="B5807"/>
      <c r="M5807"/>
    </row>
    <row r="5808" spans="2:13" ht="15" x14ac:dyDescent="0.25">
      <c r="B5808"/>
      <c r="M5808"/>
    </row>
    <row r="5809" spans="2:13" ht="15" x14ac:dyDescent="0.25">
      <c r="B5809"/>
      <c r="M5809"/>
    </row>
    <row r="5810" spans="2:13" ht="15" x14ac:dyDescent="0.25">
      <c r="B5810"/>
      <c r="M5810"/>
    </row>
    <row r="5811" spans="2:13" ht="15" x14ac:dyDescent="0.25">
      <c r="B5811"/>
      <c r="M5811"/>
    </row>
    <row r="5812" spans="2:13" ht="15" x14ac:dyDescent="0.25">
      <c r="B5812"/>
      <c r="M5812"/>
    </row>
    <row r="5813" spans="2:13" ht="15" x14ac:dyDescent="0.25">
      <c r="B5813"/>
      <c r="M5813"/>
    </row>
    <row r="5814" spans="2:13" ht="15" x14ac:dyDescent="0.25">
      <c r="B5814"/>
      <c r="M5814"/>
    </row>
    <row r="5815" spans="2:13" ht="15" x14ac:dyDescent="0.25">
      <c r="B5815"/>
      <c r="M5815"/>
    </row>
    <row r="5816" spans="2:13" ht="15" x14ac:dyDescent="0.25">
      <c r="B5816"/>
      <c r="M5816"/>
    </row>
    <row r="5817" spans="2:13" ht="15" x14ac:dyDescent="0.25">
      <c r="B5817"/>
      <c r="M5817"/>
    </row>
    <row r="5818" spans="2:13" ht="15" x14ac:dyDescent="0.25">
      <c r="B5818"/>
      <c r="M5818"/>
    </row>
    <row r="5819" spans="2:13" ht="15" x14ac:dyDescent="0.25">
      <c r="B5819"/>
      <c r="M5819"/>
    </row>
    <row r="5820" spans="2:13" ht="15" x14ac:dyDescent="0.25">
      <c r="B5820"/>
      <c r="M5820"/>
    </row>
    <row r="5821" spans="2:13" ht="15" x14ac:dyDescent="0.25">
      <c r="B5821"/>
      <c r="M5821"/>
    </row>
    <row r="5822" spans="2:13" ht="15" x14ac:dyDescent="0.25">
      <c r="B5822"/>
      <c r="M5822"/>
    </row>
    <row r="5823" spans="2:13" ht="15" x14ac:dyDescent="0.25">
      <c r="B5823"/>
      <c r="M5823"/>
    </row>
    <row r="5824" spans="2:13" ht="15" x14ac:dyDescent="0.25">
      <c r="B5824"/>
      <c r="M5824"/>
    </row>
    <row r="5825" spans="2:13" ht="15" x14ac:dyDescent="0.25">
      <c r="B5825"/>
      <c r="M5825"/>
    </row>
    <row r="5826" spans="2:13" ht="15" x14ac:dyDescent="0.25">
      <c r="B5826"/>
      <c r="M5826"/>
    </row>
    <row r="5827" spans="2:13" ht="15" x14ac:dyDescent="0.25">
      <c r="B5827"/>
      <c r="M5827"/>
    </row>
    <row r="5828" spans="2:13" ht="15" x14ac:dyDescent="0.25">
      <c r="B5828"/>
      <c r="M5828"/>
    </row>
    <row r="5829" spans="2:13" ht="15" x14ac:dyDescent="0.25">
      <c r="B5829"/>
      <c r="M5829"/>
    </row>
    <row r="5830" spans="2:13" ht="15" x14ac:dyDescent="0.25">
      <c r="B5830"/>
      <c r="M5830"/>
    </row>
    <row r="5831" spans="2:13" ht="15" x14ac:dyDescent="0.25">
      <c r="B5831"/>
      <c r="M5831"/>
    </row>
    <row r="5832" spans="2:13" ht="15" x14ac:dyDescent="0.25">
      <c r="B5832"/>
      <c r="M5832"/>
    </row>
    <row r="5833" spans="2:13" ht="15" x14ac:dyDescent="0.25">
      <c r="B5833"/>
      <c r="M5833"/>
    </row>
    <row r="5834" spans="2:13" ht="15" x14ac:dyDescent="0.25">
      <c r="B5834"/>
      <c r="M5834"/>
    </row>
    <row r="5835" spans="2:13" ht="15" x14ac:dyDescent="0.25">
      <c r="B5835"/>
      <c r="M5835"/>
    </row>
    <row r="5836" spans="2:13" ht="15" x14ac:dyDescent="0.25">
      <c r="B5836"/>
      <c r="M5836"/>
    </row>
    <row r="5837" spans="2:13" ht="15" x14ac:dyDescent="0.25">
      <c r="B5837"/>
      <c r="M5837"/>
    </row>
    <row r="5838" spans="2:13" ht="15" x14ac:dyDescent="0.25">
      <c r="B5838"/>
      <c r="M5838"/>
    </row>
    <row r="5839" spans="2:13" ht="15" x14ac:dyDescent="0.25">
      <c r="B5839"/>
      <c r="M5839"/>
    </row>
    <row r="5840" spans="2:13" ht="15" x14ac:dyDescent="0.25">
      <c r="B5840"/>
      <c r="M5840"/>
    </row>
    <row r="5841" spans="2:13" ht="15" x14ac:dyDescent="0.25">
      <c r="B5841"/>
      <c r="M5841"/>
    </row>
    <row r="5842" spans="2:13" ht="15" x14ac:dyDescent="0.25">
      <c r="B5842"/>
      <c r="M5842"/>
    </row>
    <row r="5843" spans="2:13" ht="15" x14ac:dyDescent="0.25">
      <c r="B5843"/>
      <c r="M5843"/>
    </row>
    <row r="5844" spans="2:13" ht="15" x14ac:dyDescent="0.25">
      <c r="B5844"/>
      <c r="M5844"/>
    </row>
    <row r="5845" spans="2:13" ht="15" x14ac:dyDescent="0.25">
      <c r="B5845"/>
      <c r="M5845"/>
    </row>
    <row r="5846" spans="2:13" ht="15" x14ac:dyDescent="0.25">
      <c r="B5846"/>
      <c r="M5846"/>
    </row>
    <row r="5847" spans="2:13" ht="15" x14ac:dyDescent="0.25">
      <c r="B5847"/>
      <c r="M5847"/>
    </row>
    <row r="5848" spans="2:13" ht="15" x14ac:dyDescent="0.25">
      <c r="B5848"/>
      <c r="M5848"/>
    </row>
    <row r="5849" spans="2:13" ht="15" x14ac:dyDescent="0.25">
      <c r="B5849"/>
      <c r="M5849"/>
    </row>
    <row r="5850" spans="2:13" ht="15" x14ac:dyDescent="0.25">
      <c r="B5850"/>
      <c r="M5850"/>
    </row>
    <row r="5851" spans="2:13" ht="15" x14ac:dyDescent="0.25">
      <c r="B5851"/>
      <c r="M5851"/>
    </row>
    <row r="5852" spans="2:13" ht="15" x14ac:dyDescent="0.25">
      <c r="B5852"/>
      <c r="M5852"/>
    </row>
    <row r="5853" spans="2:13" ht="15" x14ac:dyDescent="0.25">
      <c r="B5853"/>
      <c r="M5853"/>
    </row>
    <row r="5854" spans="2:13" ht="15" x14ac:dyDescent="0.25">
      <c r="B5854"/>
      <c r="M5854"/>
    </row>
    <row r="5855" spans="2:13" ht="15" x14ac:dyDescent="0.25">
      <c r="B5855"/>
      <c r="M5855"/>
    </row>
    <row r="5856" spans="2:13" ht="15" x14ac:dyDescent="0.25">
      <c r="B5856"/>
      <c r="M5856"/>
    </row>
    <row r="5857" spans="2:13" ht="15" x14ac:dyDescent="0.25">
      <c r="B5857"/>
      <c r="M5857"/>
    </row>
    <row r="5858" spans="2:13" ht="15" x14ac:dyDescent="0.25">
      <c r="B5858"/>
      <c r="M5858"/>
    </row>
    <row r="5859" spans="2:13" ht="15" x14ac:dyDescent="0.25">
      <c r="B5859"/>
      <c r="M5859"/>
    </row>
    <row r="5860" spans="2:13" ht="15" x14ac:dyDescent="0.25">
      <c r="B5860"/>
      <c r="M5860"/>
    </row>
    <row r="5861" spans="2:13" ht="15" x14ac:dyDescent="0.25">
      <c r="B5861"/>
      <c r="M5861"/>
    </row>
    <row r="5862" spans="2:13" ht="15" x14ac:dyDescent="0.25">
      <c r="B5862"/>
      <c r="M5862"/>
    </row>
    <row r="5863" spans="2:13" ht="15" x14ac:dyDescent="0.25">
      <c r="B5863"/>
      <c r="M5863"/>
    </row>
    <row r="5864" spans="2:13" ht="15" x14ac:dyDescent="0.25">
      <c r="B5864"/>
      <c r="M5864"/>
    </row>
    <row r="5865" spans="2:13" ht="15" x14ac:dyDescent="0.25">
      <c r="B5865"/>
      <c r="M5865"/>
    </row>
    <row r="5866" spans="2:13" ht="15" x14ac:dyDescent="0.25">
      <c r="B5866"/>
      <c r="M5866"/>
    </row>
    <row r="5867" spans="2:13" ht="15" x14ac:dyDescent="0.25">
      <c r="B5867"/>
      <c r="M5867"/>
    </row>
    <row r="5868" spans="2:13" ht="15" x14ac:dyDescent="0.25">
      <c r="B5868"/>
      <c r="M5868"/>
    </row>
    <row r="5869" spans="2:13" ht="15" x14ac:dyDescent="0.25">
      <c r="B5869"/>
      <c r="M5869"/>
    </row>
    <row r="5870" spans="2:13" ht="15" x14ac:dyDescent="0.25">
      <c r="B5870"/>
      <c r="M5870"/>
    </row>
    <row r="5871" spans="2:13" ht="15" x14ac:dyDescent="0.25">
      <c r="B5871"/>
      <c r="M5871"/>
    </row>
    <row r="5872" spans="2:13" ht="15" x14ac:dyDescent="0.25">
      <c r="B5872"/>
      <c r="M5872"/>
    </row>
    <row r="5873" spans="2:13" ht="15" x14ac:dyDescent="0.25">
      <c r="B5873"/>
      <c r="M5873"/>
    </row>
    <row r="5874" spans="2:13" ht="15" x14ac:dyDescent="0.25">
      <c r="B5874"/>
      <c r="M5874"/>
    </row>
    <row r="5875" spans="2:13" ht="15" x14ac:dyDescent="0.25">
      <c r="B5875"/>
      <c r="M5875"/>
    </row>
    <row r="5876" spans="2:13" ht="15" x14ac:dyDescent="0.25">
      <c r="B5876"/>
      <c r="M5876"/>
    </row>
    <row r="5877" spans="2:13" ht="15" x14ac:dyDescent="0.25">
      <c r="B5877"/>
      <c r="M5877"/>
    </row>
    <row r="5878" spans="2:13" ht="15" x14ac:dyDescent="0.25">
      <c r="B5878"/>
      <c r="M5878"/>
    </row>
    <row r="5879" spans="2:13" ht="15" x14ac:dyDescent="0.25">
      <c r="B5879"/>
      <c r="M5879"/>
    </row>
    <row r="5880" spans="2:13" ht="15" x14ac:dyDescent="0.25">
      <c r="B5880"/>
      <c r="M5880"/>
    </row>
    <row r="5881" spans="2:13" ht="15" x14ac:dyDescent="0.25">
      <c r="B5881"/>
      <c r="M5881"/>
    </row>
    <row r="5882" spans="2:13" ht="15" x14ac:dyDescent="0.25">
      <c r="B5882"/>
      <c r="M5882"/>
    </row>
    <row r="5883" spans="2:13" ht="15" x14ac:dyDescent="0.25">
      <c r="B5883"/>
      <c r="M5883"/>
    </row>
    <row r="5884" spans="2:13" ht="15" x14ac:dyDescent="0.25">
      <c r="B5884"/>
      <c r="M5884"/>
    </row>
    <row r="5885" spans="2:13" ht="15" x14ac:dyDescent="0.25">
      <c r="B5885"/>
      <c r="M5885"/>
    </row>
    <row r="5886" spans="2:13" ht="15" x14ac:dyDescent="0.25">
      <c r="B5886"/>
      <c r="M5886"/>
    </row>
    <row r="5887" spans="2:13" ht="15" x14ac:dyDescent="0.25">
      <c r="B5887"/>
      <c r="M5887"/>
    </row>
    <row r="5888" spans="2:13" ht="15" x14ac:dyDescent="0.25">
      <c r="B5888"/>
      <c r="M5888"/>
    </row>
    <row r="5889" spans="2:13" ht="15" x14ac:dyDescent="0.25">
      <c r="B5889"/>
      <c r="M5889"/>
    </row>
    <row r="5890" spans="2:13" ht="15" x14ac:dyDescent="0.25">
      <c r="B5890"/>
      <c r="M5890"/>
    </row>
    <row r="5891" spans="2:13" ht="15" x14ac:dyDescent="0.25">
      <c r="B5891"/>
      <c r="M5891"/>
    </row>
    <row r="5892" spans="2:13" ht="15" x14ac:dyDescent="0.25">
      <c r="B5892"/>
      <c r="M5892"/>
    </row>
    <row r="5893" spans="2:13" ht="15" x14ac:dyDescent="0.25">
      <c r="B5893"/>
      <c r="M5893"/>
    </row>
    <row r="5894" spans="2:13" ht="15" x14ac:dyDescent="0.25">
      <c r="B5894"/>
      <c r="M5894"/>
    </row>
    <row r="5895" spans="2:13" ht="15" x14ac:dyDescent="0.25">
      <c r="B5895"/>
      <c r="M5895"/>
    </row>
    <row r="5896" spans="2:13" ht="15" x14ac:dyDescent="0.25">
      <c r="B5896"/>
      <c r="M5896"/>
    </row>
    <row r="5897" spans="2:13" ht="15" x14ac:dyDescent="0.25">
      <c r="B5897"/>
      <c r="M5897"/>
    </row>
    <row r="5898" spans="2:13" ht="15" x14ac:dyDescent="0.25">
      <c r="B5898"/>
      <c r="M5898"/>
    </row>
    <row r="5899" spans="2:13" ht="15" x14ac:dyDescent="0.25">
      <c r="B5899"/>
      <c r="M5899"/>
    </row>
    <row r="5900" spans="2:13" ht="15" x14ac:dyDescent="0.25">
      <c r="B5900"/>
      <c r="M5900"/>
    </row>
    <row r="5901" spans="2:13" ht="15" x14ac:dyDescent="0.25">
      <c r="B5901"/>
      <c r="M5901"/>
    </row>
    <row r="5902" spans="2:13" ht="15" x14ac:dyDescent="0.25">
      <c r="B5902"/>
      <c r="M5902"/>
    </row>
    <row r="5903" spans="2:13" ht="15" x14ac:dyDescent="0.25">
      <c r="B5903"/>
      <c r="M5903"/>
    </row>
    <row r="5904" spans="2:13" ht="15" x14ac:dyDescent="0.25">
      <c r="B5904"/>
      <c r="M5904"/>
    </row>
    <row r="5905" spans="2:13" ht="15" x14ac:dyDescent="0.25">
      <c r="B5905"/>
      <c r="M5905"/>
    </row>
    <row r="5906" spans="2:13" ht="15" x14ac:dyDescent="0.25">
      <c r="B5906"/>
      <c r="M5906"/>
    </row>
    <row r="5907" spans="2:13" ht="15" x14ac:dyDescent="0.25">
      <c r="B5907"/>
      <c r="M5907"/>
    </row>
    <row r="5908" spans="2:13" ht="15" x14ac:dyDescent="0.25">
      <c r="B5908"/>
      <c r="M5908"/>
    </row>
    <row r="5909" spans="2:13" ht="15" x14ac:dyDescent="0.25">
      <c r="B5909"/>
      <c r="M5909"/>
    </row>
    <row r="5910" spans="2:13" ht="15" x14ac:dyDescent="0.25">
      <c r="B5910"/>
      <c r="M5910"/>
    </row>
    <row r="5911" spans="2:13" ht="15" x14ac:dyDescent="0.25">
      <c r="B5911"/>
      <c r="M5911"/>
    </row>
    <row r="5912" spans="2:13" ht="15" x14ac:dyDescent="0.25">
      <c r="B5912"/>
      <c r="M5912"/>
    </row>
    <row r="5913" spans="2:13" ht="15" x14ac:dyDescent="0.25">
      <c r="B5913"/>
      <c r="M5913"/>
    </row>
    <row r="5914" spans="2:13" ht="15" x14ac:dyDescent="0.25">
      <c r="B5914"/>
      <c r="M5914"/>
    </row>
    <row r="5915" spans="2:13" ht="15" x14ac:dyDescent="0.25">
      <c r="B5915"/>
      <c r="M5915"/>
    </row>
    <row r="5916" spans="2:13" ht="15" x14ac:dyDescent="0.25">
      <c r="B5916"/>
      <c r="M5916"/>
    </row>
    <row r="5917" spans="2:13" ht="15" x14ac:dyDescent="0.25">
      <c r="B5917"/>
      <c r="M5917"/>
    </row>
    <row r="5918" spans="2:13" ht="15" x14ac:dyDescent="0.25">
      <c r="B5918"/>
      <c r="M5918"/>
    </row>
    <row r="5919" spans="2:13" ht="15" x14ac:dyDescent="0.25">
      <c r="B5919"/>
      <c r="M5919"/>
    </row>
    <row r="5920" spans="2:13" ht="15" x14ac:dyDescent="0.25">
      <c r="B5920"/>
      <c r="M5920"/>
    </row>
    <row r="5921" spans="2:13" ht="15" x14ac:dyDescent="0.25">
      <c r="B5921"/>
      <c r="M5921"/>
    </row>
    <row r="5922" spans="2:13" ht="15" x14ac:dyDescent="0.25">
      <c r="B5922"/>
      <c r="M5922"/>
    </row>
    <row r="5923" spans="2:13" ht="15" x14ac:dyDescent="0.25">
      <c r="B5923"/>
      <c r="M5923"/>
    </row>
    <row r="5924" spans="2:13" ht="15" x14ac:dyDescent="0.25">
      <c r="B5924"/>
      <c r="M5924"/>
    </row>
    <row r="5925" spans="2:13" ht="15" x14ac:dyDescent="0.25">
      <c r="B5925"/>
      <c r="M5925"/>
    </row>
    <row r="5926" spans="2:13" ht="15" x14ac:dyDescent="0.25">
      <c r="B5926"/>
      <c r="M5926"/>
    </row>
    <row r="5927" spans="2:13" ht="15" x14ac:dyDescent="0.25">
      <c r="B5927"/>
      <c r="M5927"/>
    </row>
    <row r="5928" spans="2:13" ht="15" x14ac:dyDescent="0.25">
      <c r="B5928"/>
      <c r="M5928"/>
    </row>
    <row r="5929" spans="2:13" ht="15" x14ac:dyDescent="0.25">
      <c r="B5929"/>
      <c r="M5929"/>
    </row>
    <row r="5930" spans="2:13" ht="15" x14ac:dyDescent="0.25">
      <c r="B5930"/>
      <c r="M5930"/>
    </row>
    <row r="5931" spans="2:13" ht="15" x14ac:dyDescent="0.25">
      <c r="B5931"/>
      <c r="M5931"/>
    </row>
    <row r="5932" spans="2:13" ht="15" x14ac:dyDescent="0.25">
      <c r="B5932"/>
      <c r="M5932"/>
    </row>
    <row r="5933" spans="2:13" ht="15" x14ac:dyDescent="0.25">
      <c r="B5933"/>
      <c r="M5933"/>
    </row>
    <row r="5934" spans="2:13" ht="15" x14ac:dyDescent="0.25">
      <c r="B5934"/>
      <c r="M5934"/>
    </row>
    <row r="5935" spans="2:13" ht="15" x14ac:dyDescent="0.25">
      <c r="B5935"/>
      <c r="M5935"/>
    </row>
    <row r="5936" spans="2:13" ht="15" x14ac:dyDescent="0.25">
      <c r="B5936"/>
      <c r="M5936"/>
    </row>
    <row r="5937" spans="2:13" ht="15" x14ac:dyDescent="0.25">
      <c r="B5937"/>
      <c r="M5937"/>
    </row>
    <row r="5938" spans="2:13" ht="15" x14ac:dyDescent="0.25">
      <c r="B5938"/>
      <c r="M5938"/>
    </row>
    <row r="5939" spans="2:13" ht="15" x14ac:dyDescent="0.25">
      <c r="B5939"/>
      <c r="M5939"/>
    </row>
    <row r="5940" spans="2:13" ht="15" x14ac:dyDescent="0.25">
      <c r="B5940"/>
      <c r="M5940"/>
    </row>
    <row r="5941" spans="2:13" ht="15" x14ac:dyDescent="0.25">
      <c r="B5941"/>
      <c r="M5941"/>
    </row>
    <row r="5942" spans="2:13" ht="15" x14ac:dyDescent="0.25">
      <c r="B5942"/>
      <c r="M5942"/>
    </row>
    <row r="5943" spans="2:13" ht="15" x14ac:dyDescent="0.25">
      <c r="B5943"/>
      <c r="M5943"/>
    </row>
    <row r="5944" spans="2:13" ht="15" x14ac:dyDescent="0.25">
      <c r="B5944"/>
      <c r="M5944"/>
    </row>
    <row r="5945" spans="2:13" ht="15" x14ac:dyDescent="0.25">
      <c r="B5945"/>
      <c r="M5945"/>
    </row>
    <row r="5946" spans="2:13" ht="15" x14ac:dyDescent="0.25">
      <c r="B5946"/>
      <c r="M5946"/>
    </row>
    <row r="5947" spans="2:13" ht="15" x14ac:dyDescent="0.25">
      <c r="B5947"/>
      <c r="M5947"/>
    </row>
    <row r="5948" spans="2:13" ht="15" x14ac:dyDescent="0.25">
      <c r="B5948"/>
      <c r="M5948"/>
    </row>
    <row r="5949" spans="2:13" ht="15" x14ac:dyDescent="0.25">
      <c r="B5949"/>
      <c r="M5949"/>
    </row>
    <row r="5950" spans="2:13" ht="15" x14ac:dyDescent="0.25">
      <c r="B5950"/>
      <c r="M5950"/>
    </row>
    <row r="5951" spans="2:13" ht="15" x14ac:dyDescent="0.25">
      <c r="B5951"/>
      <c r="M5951"/>
    </row>
    <row r="5952" spans="2:13" ht="15" x14ac:dyDescent="0.25">
      <c r="B5952"/>
      <c r="M5952"/>
    </row>
    <row r="5953" spans="2:13" ht="15" x14ac:dyDescent="0.25">
      <c r="B5953"/>
      <c r="M5953"/>
    </row>
    <row r="5954" spans="2:13" ht="15" x14ac:dyDescent="0.25">
      <c r="B5954"/>
      <c r="M5954"/>
    </row>
    <row r="5955" spans="2:13" ht="15" x14ac:dyDescent="0.25">
      <c r="B5955"/>
      <c r="M5955"/>
    </row>
    <row r="5956" spans="2:13" ht="15" x14ac:dyDescent="0.25">
      <c r="B5956"/>
      <c r="M5956"/>
    </row>
    <row r="5957" spans="2:13" ht="15" x14ac:dyDescent="0.25">
      <c r="B5957"/>
      <c r="M5957"/>
    </row>
    <row r="5958" spans="2:13" ht="15" x14ac:dyDescent="0.25">
      <c r="B5958"/>
      <c r="M5958"/>
    </row>
    <row r="5959" spans="2:13" ht="15" x14ac:dyDescent="0.25">
      <c r="B5959"/>
      <c r="M5959"/>
    </row>
    <row r="5960" spans="2:13" ht="15" x14ac:dyDescent="0.25">
      <c r="B5960"/>
      <c r="M5960"/>
    </row>
    <row r="5961" spans="2:13" ht="15" x14ac:dyDescent="0.25">
      <c r="B5961"/>
      <c r="M5961"/>
    </row>
    <row r="5962" spans="2:13" ht="15" x14ac:dyDescent="0.25">
      <c r="B5962"/>
      <c r="M5962"/>
    </row>
    <row r="5963" spans="2:13" ht="15" x14ac:dyDescent="0.25">
      <c r="B5963"/>
      <c r="M5963"/>
    </row>
    <row r="5964" spans="2:13" ht="15" x14ac:dyDescent="0.25">
      <c r="B5964"/>
      <c r="M5964"/>
    </row>
    <row r="5965" spans="2:13" ht="15" x14ac:dyDescent="0.25">
      <c r="B5965"/>
      <c r="M5965"/>
    </row>
    <row r="5966" spans="2:13" ht="15" x14ac:dyDescent="0.25">
      <c r="B5966"/>
      <c r="M5966"/>
    </row>
    <row r="5967" spans="2:13" ht="15" x14ac:dyDescent="0.25">
      <c r="B5967"/>
      <c r="M5967"/>
    </row>
    <row r="5968" spans="2:13" ht="15" x14ac:dyDescent="0.25">
      <c r="B5968"/>
      <c r="M5968"/>
    </row>
    <row r="5969" spans="2:13" ht="15" x14ac:dyDescent="0.25">
      <c r="B5969"/>
      <c r="M5969"/>
    </row>
    <row r="5970" spans="2:13" ht="15" x14ac:dyDescent="0.25">
      <c r="B5970"/>
      <c r="M5970"/>
    </row>
    <row r="5971" spans="2:13" ht="15" x14ac:dyDescent="0.25">
      <c r="B5971"/>
      <c r="M5971"/>
    </row>
    <row r="5972" spans="2:13" ht="15" x14ac:dyDescent="0.25">
      <c r="B5972"/>
      <c r="M5972"/>
    </row>
    <row r="5973" spans="2:13" ht="15" x14ac:dyDescent="0.25">
      <c r="B5973"/>
      <c r="M5973"/>
    </row>
    <row r="5974" spans="2:13" ht="15" x14ac:dyDescent="0.25">
      <c r="B5974"/>
      <c r="M5974"/>
    </row>
    <row r="5975" spans="2:13" ht="15" x14ac:dyDescent="0.25">
      <c r="B5975"/>
      <c r="M5975"/>
    </row>
    <row r="5976" spans="2:13" ht="15" x14ac:dyDescent="0.25">
      <c r="B5976"/>
      <c r="M5976"/>
    </row>
    <row r="5977" spans="2:13" ht="15" x14ac:dyDescent="0.25">
      <c r="B5977"/>
      <c r="M5977"/>
    </row>
    <row r="5978" spans="2:13" ht="15" x14ac:dyDescent="0.25">
      <c r="B5978"/>
      <c r="M5978"/>
    </row>
    <row r="5979" spans="2:13" ht="15" x14ac:dyDescent="0.25">
      <c r="B5979"/>
      <c r="M5979"/>
    </row>
    <row r="5980" spans="2:13" ht="15" x14ac:dyDescent="0.25">
      <c r="B5980"/>
      <c r="M5980"/>
    </row>
    <row r="5981" spans="2:13" ht="15" x14ac:dyDescent="0.25">
      <c r="B5981"/>
      <c r="M5981"/>
    </row>
    <row r="5982" spans="2:13" ht="15" x14ac:dyDescent="0.25">
      <c r="B5982"/>
      <c r="M5982"/>
    </row>
    <row r="5983" spans="2:13" ht="15" x14ac:dyDescent="0.25">
      <c r="B5983"/>
      <c r="M5983"/>
    </row>
    <row r="5984" spans="2:13" ht="15" x14ac:dyDescent="0.25">
      <c r="B5984"/>
      <c r="M5984"/>
    </row>
    <row r="5985" spans="2:13" ht="15" x14ac:dyDescent="0.25">
      <c r="B5985"/>
      <c r="M5985"/>
    </row>
    <row r="5986" spans="2:13" ht="15" x14ac:dyDescent="0.25">
      <c r="B5986"/>
      <c r="M5986"/>
    </row>
    <row r="5987" spans="2:13" ht="15" x14ac:dyDescent="0.25">
      <c r="B5987"/>
      <c r="M5987"/>
    </row>
    <row r="5988" spans="2:13" ht="15" x14ac:dyDescent="0.25">
      <c r="B5988"/>
      <c r="M5988"/>
    </row>
    <row r="5989" spans="2:13" ht="15" x14ac:dyDescent="0.25">
      <c r="B5989"/>
      <c r="M5989"/>
    </row>
    <row r="5990" spans="2:13" ht="15" x14ac:dyDescent="0.25">
      <c r="B5990"/>
      <c r="M5990"/>
    </row>
    <row r="5991" spans="2:13" ht="15" x14ac:dyDescent="0.25">
      <c r="B5991"/>
      <c r="M5991"/>
    </row>
    <row r="5992" spans="2:13" ht="15" x14ac:dyDescent="0.25">
      <c r="B5992"/>
      <c r="M5992"/>
    </row>
    <row r="5993" spans="2:13" ht="15" x14ac:dyDescent="0.25">
      <c r="B5993"/>
      <c r="M5993"/>
    </row>
    <row r="5994" spans="2:13" ht="15" x14ac:dyDescent="0.25">
      <c r="B5994"/>
      <c r="M5994"/>
    </row>
    <row r="5995" spans="2:13" ht="15" x14ac:dyDescent="0.25">
      <c r="B5995"/>
      <c r="M5995"/>
    </row>
    <row r="5996" spans="2:13" ht="15" x14ac:dyDescent="0.25">
      <c r="B5996"/>
      <c r="M5996"/>
    </row>
    <row r="5997" spans="2:13" ht="15" x14ac:dyDescent="0.25">
      <c r="B5997"/>
      <c r="M5997"/>
    </row>
    <row r="5998" spans="2:13" ht="15" x14ac:dyDescent="0.25">
      <c r="B5998"/>
      <c r="M5998"/>
    </row>
    <row r="5999" spans="2:13" ht="15" x14ac:dyDescent="0.25">
      <c r="B5999"/>
      <c r="M5999"/>
    </row>
    <row r="6000" spans="2:13" ht="15" x14ac:dyDescent="0.25">
      <c r="B6000"/>
      <c r="M6000"/>
    </row>
    <row r="6001" spans="2:13" ht="15" x14ac:dyDescent="0.25">
      <c r="B6001"/>
      <c r="M6001"/>
    </row>
    <row r="6002" spans="2:13" ht="15" x14ac:dyDescent="0.25">
      <c r="B6002"/>
      <c r="M6002"/>
    </row>
    <row r="6003" spans="2:13" ht="15" x14ac:dyDescent="0.25">
      <c r="B6003"/>
      <c r="M6003"/>
    </row>
    <row r="6004" spans="2:13" ht="15" x14ac:dyDescent="0.25">
      <c r="B6004"/>
      <c r="M6004"/>
    </row>
    <row r="6005" spans="2:13" ht="15" x14ac:dyDescent="0.25">
      <c r="B6005"/>
      <c r="M6005"/>
    </row>
    <row r="6006" spans="2:13" ht="15" x14ac:dyDescent="0.25">
      <c r="B6006"/>
      <c r="M6006"/>
    </row>
    <row r="6007" spans="2:13" ht="15" x14ac:dyDescent="0.25">
      <c r="B6007"/>
      <c r="M6007"/>
    </row>
    <row r="6008" spans="2:13" ht="15" x14ac:dyDescent="0.25">
      <c r="B6008"/>
      <c r="M6008"/>
    </row>
    <row r="6009" spans="2:13" ht="15" x14ac:dyDescent="0.25">
      <c r="B6009"/>
      <c r="M6009"/>
    </row>
    <row r="6010" spans="2:13" ht="15" x14ac:dyDescent="0.25">
      <c r="B6010"/>
      <c r="M6010"/>
    </row>
    <row r="6011" spans="2:13" ht="15" x14ac:dyDescent="0.25">
      <c r="B6011"/>
      <c r="M6011"/>
    </row>
    <row r="6012" spans="2:13" ht="15" x14ac:dyDescent="0.25">
      <c r="B6012"/>
      <c r="M6012"/>
    </row>
    <row r="6013" spans="2:13" ht="15" x14ac:dyDescent="0.25">
      <c r="B6013"/>
      <c r="M6013"/>
    </row>
    <row r="6014" spans="2:13" ht="15" x14ac:dyDescent="0.25">
      <c r="B6014"/>
      <c r="M6014"/>
    </row>
    <row r="6015" spans="2:13" ht="15" x14ac:dyDescent="0.25">
      <c r="B6015"/>
      <c r="M6015"/>
    </row>
    <row r="6016" spans="2:13" ht="15" x14ac:dyDescent="0.25">
      <c r="B6016"/>
      <c r="M6016"/>
    </row>
    <row r="6017" spans="2:13" ht="15" x14ac:dyDescent="0.25">
      <c r="B6017"/>
      <c r="M6017"/>
    </row>
    <row r="6018" spans="2:13" ht="15" x14ac:dyDescent="0.25">
      <c r="B6018"/>
      <c r="M6018"/>
    </row>
    <row r="6019" spans="2:13" ht="15" x14ac:dyDescent="0.25">
      <c r="B6019"/>
      <c r="M6019"/>
    </row>
    <row r="6020" spans="2:13" ht="15" x14ac:dyDescent="0.25">
      <c r="B6020"/>
      <c r="M6020"/>
    </row>
    <row r="6021" spans="2:13" ht="15" x14ac:dyDescent="0.25">
      <c r="B6021"/>
      <c r="M6021"/>
    </row>
    <row r="6022" spans="2:13" ht="15" x14ac:dyDescent="0.25">
      <c r="B6022"/>
      <c r="M6022"/>
    </row>
    <row r="6023" spans="2:13" ht="15" x14ac:dyDescent="0.25">
      <c r="B6023"/>
      <c r="M6023"/>
    </row>
    <row r="6024" spans="2:13" ht="15" x14ac:dyDescent="0.25">
      <c r="B6024"/>
      <c r="M6024"/>
    </row>
    <row r="6025" spans="2:13" ht="15" x14ac:dyDescent="0.25">
      <c r="B6025"/>
      <c r="M6025"/>
    </row>
    <row r="6026" spans="2:13" ht="15" x14ac:dyDescent="0.25">
      <c r="B6026"/>
      <c r="M6026"/>
    </row>
    <row r="6027" spans="2:13" ht="15" x14ac:dyDescent="0.25">
      <c r="B6027"/>
      <c r="M6027"/>
    </row>
    <row r="6028" spans="2:13" ht="15" x14ac:dyDescent="0.25">
      <c r="B6028"/>
      <c r="M6028"/>
    </row>
    <row r="6029" spans="2:13" ht="15" x14ac:dyDescent="0.25">
      <c r="B6029"/>
      <c r="M6029"/>
    </row>
    <row r="6030" spans="2:13" ht="15" x14ac:dyDescent="0.25">
      <c r="B6030"/>
      <c r="M6030"/>
    </row>
    <row r="6031" spans="2:13" ht="15" x14ac:dyDescent="0.25">
      <c r="B6031"/>
      <c r="M6031"/>
    </row>
    <row r="6032" spans="2:13" ht="15" x14ac:dyDescent="0.25">
      <c r="B6032"/>
      <c r="M6032"/>
    </row>
    <row r="6033" spans="2:13" ht="15" x14ac:dyDescent="0.25">
      <c r="B6033"/>
      <c r="M6033"/>
    </row>
    <row r="6034" spans="2:13" ht="15" x14ac:dyDescent="0.25">
      <c r="B6034"/>
      <c r="M6034"/>
    </row>
    <row r="6035" spans="2:13" ht="15" x14ac:dyDescent="0.25">
      <c r="B6035"/>
      <c r="M6035"/>
    </row>
    <row r="6036" spans="2:13" ht="15" x14ac:dyDescent="0.25">
      <c r="B6036"/>
      <c r="M6036"/>
    </row>
    <row r="6037" spans="2:13" ht="15" x14ac:dyDescent="0.25">
      <c r="B6037"/>
      <c r="M6037"/>
    </row>
    <row r="6038" spans="2:13" ht="15" x14ac:dyDescent="0.25">
      <c r="B6038"/>
      <c r="M6038"/>
    </row>
    <row r="6039" spans="2:13" ht="15" x14ac:dyDescent="0.25">
      <c r="B6039"/>
      <c r="M6039"/>
    </row>
    <row r="6040" spans="2:13" ht="15" x14ac:dyDescent="0.25">
      <c r="B6040"/>
      <c r="M6040"/>
    </row>
    <row r="6041" spans="2:13" ht="15" x14ac:dyDescent="0.25">
      <c r="B6041"/>
      <c r="M6041"/>
    </row>
    <row r="6042" spans="2:13" ht="15" x14ac:dyDescent="0.25">
      <c r="B6042"/>
      <c r="M6042"/>
    </row>
    <row r="6043" spans="2:13" ht="15" x14ac:dyDescent="0.25">
      <c r="B6043"/>
      <c r="M6043"/>
    </row>
    <row r="6044" spans="2:13" ht="15" x14ac:dyDescent="0.25">
      <c r="B6044"/>
      <c r="M6044"/>
    </row>
    <row r="6045" spans="2:13" ht="15" x14ac:dyDescent="0.25">
      <c r="B6045"/>
      <c r="M6045"/>
    </row>
    <row r="6046" spans="2:13" ht="15" x14ac:dyDescent="0.25">
      <c r="B6046"/>
      <c r="M6046"/>
    </row>
    <row r="6047" spans="2:13" ht="15" x14ac:dyDescent="0.25">
      <c r="B6047"/>
      <c r="M6047"/>
    </row>
    <row r="6048" spans="2:13" ht="15" x14ac:dyDescent="0.25">
      <c r="B6048"/>
      <c r="M6048"/>
    </row>
    <row r="6049" spans="2:13" ht="15" x14ac:dyDescent="0.25">
      <c r="B6049"/>
      <c r="M6049"/>
    </row>
    <row r="6050" spans="2:13" ht="15" x14ac:dyDescent="0.25">
      <c r="B6050"/>
      <c r="M6050"/>
    </row>
    <row r="6051" spans="2:13" ht="15" x14ac:dyDescent="0.25">
      <c r="B6051"/>
      <c r="M6051"/>
    </row>
    <row r="6052" spans="2:13" ht="15" x14ac:dyDescent="0.25">
      <c r="B6052"/>
      <c r="M6052"/>
    </row>
    <row r="6053" spans="2:13" ht="15" x14ac:dyDescent="0.25">
      <c r="B6053"/>
      <c r="M6053"/>
    </row>
    <row r="6054" spans="2:13" ht="15" x14ac:dyDescent="0.25">
      <c r="B6054"/>
      <c r="M6054"/>
    </row>
    <row r="6055" spans="2:13" ht="15" x14ac:dyDescent="0.25">
      <c r="B6055"/>
      <c r="M6055"/>
    </row>
    <row r="6056" spans="2:13" ht="15" x14ac:dyDescent="0.25">
      <c r="B6056"/>
      <c r="M6056"/>
    </row>
    <row r="6057" spans="2:13" ht="15" x14ac:dyDescent="0.25">
      <c r="B6057"/>
      <c r="M6057"/>
    </row>
    <row r="6058" spans="2:13" ht="15" x14ac:dyDescent="0.25">
      <c r="B6058"/>
      <c r="M6058"/>
    </row>
    <row r="6059" spans="2:13" ht="15" x14ac:dyDescent="0.25">
      <c r="B6059"/>
      <c r="M6059"/>
    </row>
    <row r="6060" spans="2:13" ht="15" x14ac:dyDescent="0.25">
      <c r="B6060"/>
      <c r="M6060"/>
    </row>
    <row r="6061" spans="2:13" ht="15" x14ac:dyDescent="0.25">
      <c r="B6061"/>
      <c r="M6061"/>
    </row>
    <row r="6062" spans="2:13" ht="15" x14ac:dyDescent="0.25">
      <c r="B6062"/>
      <c r="M6062"/>
    </row>
    <row r="6063" spans="2:13" ht="15" x14ac:dyDescent="0.25">
      <c r="B6063"/>
      <c r="M6063"/>
    </row>
    <row r="6064" spans="2:13" ht="15" x14ac:dyDescent="0.25">
      <c r="B6064"/>
      <c r="M6064"/>
    </row>
    <row r="6065" spans="2:13" ht="15" x14ac:dyDescent="0.25">
      <c r="B6065"/>
      <c r="M6065"/>
    </row>
    <row r="6066" spans="2:13" ht="15" x14ac:dyDescent="0.25">
      <c r="B6066"/>
      <c r="M6066"/>
    </row>
    <row r="6067" spans="2:13" ht="15" x14ac:dyDescent="0.25">
      <c r="B6067"/>
      <c r="M6067"/>
    </row>
    <row r="6068" spans="2:13" ht="15" x14ac:dyDescent="0.25">
      <c r="B6068"/>
      <c r="M6068"/>
    </row>
    <row r="6069" spans="2:13" ht="15" x14ac:dyDescent="0.25">
      <c r="B6069"/>
      <c r="M6069"/>
    </row>
    <row r="6070" spans="2:13" ht="15" x14ac:dyDescent="0.25">
      <c r="B6070"/>
      <c r="M6070"/>
    </row>
    <row r="6071" spans="2:13" ht="15" x14ac:dyDescent="0.25">
      <c r="B6071"/>
      <c r="M6071"/>
    </row>
    <row r="6072" spans="2:13" ht="15" x14ac:dyDescent="0.25">
      <c r="B6072"/>
      <c r="M6072"/>
    </row>
    <row r="6073" spans="2:13" ht="15" x14ac:dyDescent="0.25">
      <c r="B6073"/>
      <c r="M6073"/>
    </row>
    <row r="6074" spans="2:13" ht="15" x14ac:dyDescent="0.25">
      <c r="B6074"/>
      <c r="M6074"/>
    </row>
    <row r="6075" spans="2:13" ht="15" x14ac:dyDescent="0.25">
      <c r="B6075"/>
      <c r="M6075"/>
    </row>
    <row r="6076" spans="2:13" ht="15" x14ac:dyDescent="0.25">
      <c r="B6076"/>
      <c r="M6076"/>
    </row>
    <row r="6077" spans="2:13" ht="15" x14ac:dyDescent="0.25">
      <c r="B6077"/>
      <c r="M6077"/>
    </row>
    <row r="6078" spans="2:13" ht="15" x14ac:dyDescent="0.25">
      <c r="B6078"/>
      <c r="M6078"/>
    </row>
    <row r="6079" spans="2:13" ht="15" x14ac:dyDescent="0.25">
      <c r="B6079"/>
      <c r="M6079"/>
    </row>
    <row r="6080" spans="2:13" ht="15" x14ac:dyDescent="0.25">
      <c r="B6080"/>
      <c r="M6080"/>
    </row>
    <row r="6081" spans="2:13" ht="15" x14ac:dyDescent="0.25">
      <c r="B6081"/>
      <c r="M6081"/>
    </row>
    <row r="6082" spans="2:13" ht="15" x14ac:dyDescent="0.25">
      <c r="B6082"/>
      <c r="M6082"/>
    </row>
    <row r="6083" spans="2:13" ht="15" x14ac:dyDescent="0.25">
      <c r="B6083"/>
      <c r="M6083"/>
    </row>
    <row r="6084" spans="2:13" ht="15" x14ac:dyDescent="0.25">
      <c r="B6084"/>
      <c r="M6084"/>
    </row>
    <row r="6085" spans="2:13" ht="15" x14ac:dyDescent="0.25">
      <c r="B6085"/>
      <c r="M6085"/>
    </row>
    <row r="6086" spans="2:13" ht="15" x14ac:dyDescent="0.25">
      <c r="B6086"/>
      <c r="M6086"/>
    </row>
    <row r="6087" spans="2:13" ht="15" x14ac:dyDescent="0.25">
      <c r="B6087"/>
      <c r="M6087"/>
    </row>
    <row r="6088" spans="2:13" ht="15" x14ac:dyDescent="0.25">
      <c r="B6088"/>
      <c r="M6088"/>
    </row>
    <row r="6089" spans="2:13" ht="15" x14ac:dyDescent="0.25">
      <c r="B6089"/>
      <c r="M6089"/>
    </row>
    <row r="6090" spans="2:13" ht="15" x14ac:dyDescent="0.25">
      <c r="B6090"/>
      <c r="M6090"/>
    </row>
    <row r="6091" spans="2:13" ht="15" x14ac:dyDescent="0.25">
      <c r="B6091"/>
      <c r="M6091"/>
    </row>
    <row r="6092" spans="2:13" ht="15" x14ac:dyDescent="0.25">
      <c r="B6092"/>
      <c r="M6092"/>
    </row>
    <row r="6093" spans="2:13" ht="15" x14ac:dyDescent="0.25">
      <c r="B6093"/>
      <c r="M6093"/>
    </row>
    <row r="6094" spans="2:13" ht="15" x14ac:dyDescent="0.25">
      <c r="B6094"/>
      <c r="M6094"/>
    </row>
    <row r="6095" spans="2:13" ht="15" x14ac:dyDescent="0.25">
      <c r="B6095"/>
      <c r="M6095"/>
    </row>
    <row r="6096" spans="2:13" ht="15" x14ac:dyDescent="0.25">
      <c r="B6096"/>
      <c r="M6096"/>
    </row>
    <row r="6097" spans="2:13" ht="15" x14ac:dyDescent="0.25">
      <c r="B6097"/>
      <c r="M6097"/>
    </row>
    <row r="6098" spans="2:13" ht="15" x14ac:dyDescent="0.25">
      <c r="B6098"/>
      <c r="M6098"/>
    </row>
    <row r="6099" spans="2:13" ht="15" x14ac:dyDescent="0.25">
      <c r="B6099"/>
      <c r="M6099"/>
    </row>
    <row r="6100" spans="2:13" ht="15" x14ac:dyDescent="0.25">
      <c r="B6100"/>
      <c r="M6100"/>
    </row>
    <row r="6101" spans="2:13" ht="15" x14ac:dyDescent="0.25">
      <c r="B6101"/>
      <c r="M6101"/>
    </row>
    <row r="6102" spans="2:13" ht="15" x14ac:dyDescent="0.25">
      <c r="B6102"/>
      <c r="M6102"/>
    </row>
    <row r="6103" spans="2:13" ht="15" x14ac:dyDescent="0.25">
      <c r="B6103"/>
      <c r="M6103"/>
    </row>
    <row r="6104" spans="2:13" ht="15" x14ac:dyDescent="0.25">
      <c r="B6104"/>
      <c r="M6104"/>
    </row>
    <row r="6105" spans="2:13" ht="15" x14ac:dyDescent="0.25">
      <c r="B6105"/>
      <c r="M6105"/>
    </row>
    <row r="6106" spans="2:13" ht="15" x14ac:dyDescent="0.25">
      <c r="B6106"/>
      <c r="M6106"/>
    </row>
    <row r="6107" spans="2:13" ht="15" x14ac:dyDescent="0.25">
      <c r="B6107"/>
      <c r="M6107"/>
    </row>
    <row r="6108" spans="2:13" ht="15" x14ac:dyDescent="0.25">
      <c r="B6108"/>
      <c r="M6108"/>
    </row>
    <row r="6109" spans="2:13" ht="15" x14ac:dyDescent="0.25">
      <c r="B6109"/>
      <c r="M6109"/>
    </row>
    <row r="6110" spans="2:13" ht="15" x14ac:dyDescent="0.25">
      <c r="B6110"/>
      <c r="M6110"/>
    </row>
    <row r="6111" spans="2:13" ht="15" x14ac:dyDescent="0.25">
      <c r="B6111"/>
      <c r="M6111"/>
    </row>
    <row r="6112" spans="2:13" ht="15" x14ac:dyDescent="0.25">
      <c r="B6112"/>
      <c r="M6112"/>
    </row>
    <row r="6113" spans="2:13" ht="15" x14ac:dyDescent="0.25">
      <c r="B6113"/>
      <c r="M6113"/>
    </row>
    <row r="6114" spans="2:13" ht="15" x14ac:dyDescent="0.25">
      <c r="B6114"/>
      <c r="M6114"/>
    </row>
    <row r="6115" spans="2:13" ht="15" x14ac:dyDescent="0.25">
      <c r="B6115"/>
      <c r="M6115"/>
    </row>
    <row r="6116" spans="2:13" ht="15" x14ac:dyDescent="0.25">
      <c r="B6116"/>
      <c r="M6116"/>
    </row>
    <row r="6117" spans="2:13" ht="15" x14ac:dyDescent="0.25">
      <c r="B6117"/>
      <c r="M6117"/>
    </row>
    <row r="6118" spans="2:13" ht="15" x14ac:dyDescent="0.25">
      <c r="B6118"/>
      <c r="M6118"/>
    </row>
    <row r="6119" spans="2:13" ht="15" x14ac:dyDescent="0.25">
      <c r="B6119"/>
      <c r="M6119"/>
    </row>
    <row r="6120" spans="2:13" ht="15" x14ac:dyDescent="0.25">
      <c r="B6120"/>
      <c r="M6120"/>
    </row>
    <row r="6121" spans="2:13" ht="15" x14ac:dyDescent="0.25">
      <c r="B6121"/>
      <c r="M6121"/>
    </row>
    <row r="6122" spans="2:13" ht="15" x14ac:dyDescent="0.25">
      <c r="B6122"/>
      <c r="M6122"/>
    </row>
    <row r="6123" spans="2:13" ht="15" x14ac:dyDescent="0.25">
      <c r="B6123"/>
      <c r="M6123"/>
    </row>
    <row r="6124" spans="2:13" ht="15" x14ac:dyDescent="0.25">
      <c r="B6124"/>
      <c r="M6124"/>
    </row>
    <row r="6125" spans="2:13" ht="15" x14ac:dyDescent="0.25">
      <c r="B6125"/>
      <c r="M6125"/>
    </row>
    <row r="6126" spans="2:13" ht="15" x14ac:dyDescent="0.25">
      <c r="B6126"/>
      <c r="M6126"/>
    </row>
    <row r="6127" spans="2:13" ht="15" x14ac:dyDescent="0.25">
      <c r="B6127"/>
      <c r="M6127"/>
    </row>
    <row r="6128" spans="2:13" ht="15" x14ac:dyDescent="0.25">
      <c r="B6128"/>
      <c r="M6128"/>
    </row>
    <row r="6129" spans="2:13" ht="15" x14ac:dyDescent="0.25">
      <c r="B6129"/>
      <c r="M6129"/>
    </row>
    <row r="6130" spans="2:13" ht="15" x14ac:dyDescent="0.25">
      <c r="B6130"/>
      <c r="M6130"/>
    </row>
    <row r="6131" spans="2:13" ht="15" x14ac:dyDescent="0.25">
      <c r="B6131"/>
      <c r="M6131"/>
    </row>
    <row r="6132" spans="2:13" ht="15" x14ac:dyDescent="0.25">
      <c r="B6132"/>
      <c r="M6132"/>
    </row>
    <row r="6133" spans="2:13" ht="15" x14ac:dyDescent="0.25">
      <c r="B6133"/>
      <c r="M6133"/>
    </row>
    <row r="6134" spans="2:13" ht="15" x14ac:dyDescent="0.25">
      <c r="B6134"/>
      <c r="M6134"/>
    </row>
    <row r="6135" spans="2:13" ht="15" x14ac:dyDescent="0.25">
      <c r="B6135"/>
      <c r="M6135"/>
    </row>
    <row r="6136" spans="2:13" ht="15" x14ac:dyDescent="0.25">
      <c r="B6136"/>
      <c r="M6136"/>
    </row>
    <row r="6137" spans="2:13" ht="15" x14ac:dyDescent="0.25">
      <c r="B6137"/>
      <c r="M6137"/>
    </row>
    <row r="6138" spans="2:13" ht="15" x14ac:dyDescent="0.25">
      <c r="B6138"/>
      <c r="M6138"/>
    </row>
    <row r="6139" spans="2:13" ht="15" x14ac:dyDescent="0.25">
      <c r="B6139"/>
      <c r="M6139"/>
    </row>
    <row r="6140" spans="2:13" ht="15" x14ac:dyDescent="0.25">
      <c r="B6140"/>
      <c r="M6140"/>
    </row>
    <row r="6141" spans="2:13" ht="15" x14ac:dyDescent="0.25">
      <c r="B6141"/>
      <c r="M6141"/>
    </row>
    <row r="6142" spans="2:13" ht="15" x14ac:dyDescent="0.25">
      <c r="B6142"/>
      <c r="M6142"/>
    </row>
    <row r="6143" spans="2:13" ht="15" x14ac:dyDescent="0.25">
      <c r="B6143"/>
      <c r="M6143"/>
    </row>
    <row r="6144" spans="2:13" ht="15" x14ac:dyDescent="0.25">
      <c r="B6144"/>
      <c r="M6144"/>
    </row>
    <row r="6145" spans="2:13" ht="15" x14ac:dyDescent="0.25">
      <c r="B6145"/>
      <c r="M6145"/>
    </row>
    <row r="6146" spans="2:13" ht="15" x14ac:dyDescent="0.25">
      <c r="B6146"/>
      <c r="M6146"/>
    </row>
    <row r="6147" spans="2:13" ht="15" x14ac:dyDescent="0.25">
      <c r="B6147"/>
      <c r="M6147"/>
    </row>
    <row r="6148" spans="2:13" ht="15" x14ac:dyDescent="0.25">
      <c r="B6148"/>
      <c r="M6148"/>
    </row>
    <row r="6149" spans="2:13" ht="15" x14ac:dyDescent="0.25">
      <c r="B6149"/>
      <c r="M6149"/>
    </row>
    <row r="6150" spans="2:13" ht="15" x14ac:dyDescent="0.25">
      <c r="B6150"/>
      <c r="M6150"/>
    </row>
    <row r="6151" spans="2:13" ht="15" x14ac:dyDescent="0.25">
      <c r="B6151"/>
      <c r="M6151"/>
    </row>
    <row r="6152" spans="2:13" ht="15" x14ac:dyDescent="0.25">
      <c r="B6152"/>
      <c r="M6152"/>
    </row>
    <row r="6153" spans="2:13" ht="15" x14ac:dyDescent="0.25">
      <c r="B6153"/>
      <c r="M6153"/>
    </row>
    <row r="6154" spans="2:13" ht="15" x14ac:dyDescent="0.25">
      <c r="B6154"/>
      <c r="M6154"/>
    </row>
    <row r="6155" spans="2:13" ht="15" x14ac:dyDescent="0.25">
      <c r="B6155"/>
      <c r="M6155"/>
    </row>
    <row r="6156" spans="2:13" ht="15" x14ac:dyDescent="0.25">
      <c r="B6156"/>
      <c r="M6156"/>
    </row>
    <row r="6157" spans="2:13" ht="15" x14ac:dyDescent="0.25">
      <c r="B6157"/>
      <c r="M6157"/>
    </row>
    <row r="6158" spans="2:13" ht="15" x14ac:dyDescent="0.25">
      <c r="B6158"/>
      <c r="M6158"/>
    </row>
    <row r="6159" spans="2:13" ht="15" x14ac:dyDescent="0.25">
      <c r="B6159"/>
      <c r="M6159"/>
    </row>
    <row r="6160" spans="2:13" ht="15" x14ac:dyDescent="0.25">
      <c r="B6160"/>
      <c r="M6160"/>
    </row>
    <row r="6161" spans="2:13" ht="15" x14ac:dyDescent="0.25">
      <c r="B6161"/>
      <c r="M6161"/>
    </row>
    <row r="6162" spans="2:13" ht="15" x14ac:dyDescent="0.25">
      <c r="B6162"/>
      <c r="M6162"/>
    </row>
    <row r="6163" spans="2:13" ht="15" x14ac:dyDescent="0.25">
      <c r="B6163"/>
      <c r="M6163"/>
    </row>
    <row r="6164" spans="2:13" ht="15" x14ac:dyDescent="0.25">
      <c r="B6164"/>
      <c r="M6164"/>
    </row>
    <row r="6165" spans="2:13" ht="15" x14ac:dyDescent="0.25">
      <c r="B6165"/>
      <c r="M6165"/>
    </row>
    <row r="6166" spans="2:13" ht="15" x14ac:dyDescent="0.25">
      <c r="B6166"/>
      <c r="M6166"/>
    </row>
    <row r="6167" spans="2:13" ht="15" x14ac:dyDescent="0.25">
      <c r="B6167"/>
      <c r="M6167"/>
    </row>
    <row r="6168" spans="2:13" ht="15" x14ac:dyDescent="0.25">
      <c r="B6168"/>
      <c r="M6168"/>
    </row>
    <row r="6169" spans="2:13" ht="15" x14ac:dyDescent="0.25">
      <c r="B6169"/>
      <c r="M6169"/>
    </row>
    <row r="6170" spans="2:13" ht="15" x14ac:dyDescent="0.25">
      <c r="B6170"/>
      <c r="M6170"/>
    </row>
    <row r="6171" spans="2:13" ht="15" x14ac:dyDescent="0.25">
      <c r="B6171"/>
      <c r="M6171"/>
    </row>
    <row r="6172" spans="2:13" ht="15" x14ac:dyDescent="0.25">
      <c r="B6172"/>
      <c r="M6172"/>
    </row>
    <row r="6173" spans="2:13" ht="15" x14ac:dyDescent="0.25">
      <c r="B6173"/>
      <c r="M6173"/>
    </row>
    <row r="6174" spans="2:13" ht="15" x14ac:dyDescent="0.25">
      <c r="B6174"/>
      <c r="M6174"/>
    </row>
    <row r="6175" spans="2:13" ht="15" x14ac:dyDescent="0.25">
      <c r="B6175"/>
      <c r="M6175"/>
    </row>
    <row r="6176" spans="2:13" ht="15" x14ac:dyDescent="0.25">
      <c r="B6176"/>
      <c r="M6176"/>
    </row>
    <row r="6177" spans="2:13" ht="15" x14ac:dyDescent="0.25">
      <c r="B6177"/>
      <c r="M6177"/>
    </row>
    <row r="6178" spans="2:13" ht="15" x14ac:dyDescent="0.25">
      <c r="B6178"/>
      <c r="M6178"/>
    </row>
    <row r="6179" spans="2:13" ht="15" x14ac:dyDescent="0.25">
      <c r="B6179"/>
      <c r="M6179"/>
    </row>
    <row r="6180" spans="2:13" ht="15" x14ac:dyDescent="0.25">
      <c r="B6180"/>
      <c r="M6180"/>
    </row>
    <row r="6181" spans="2:13" ht="15" x14ac:dyDescent="0.25">
      <c r="B6181"/>
      <c r="M6181"/>
    </row>
    <row r="6182" spans="2:13" ht="15" x14ac:dyDescent="0.25">
      <c r="B6182"/>
      <c r="M6182"/>
    </row>
    <row r="6183" spans="2:13" ht="15" x14ac:dyDescent="0.25">
      <c r="B6183"/>
      <c r="M6183"/>
    </row>
    <row r="6184" spans="2:13" ht="15" x14ac:dyDescent="0.25">
      <c r="B6184"/>
      <c r="M6184"/>
    </row>
    <row r="6185" spans="2:13" ht="15" x14ac:dyDescent="0.25">
      <c r="B6185"/>
      <c r="M6185"/>
    </row>
    <row r="6186" spans="2:13" ht="15" x14ac:dyDescent="0.25">
      <c r="B6186"/>
      <c r="M6186"/>
    </row>
    <row r="6187" spans="2:13" ht="15" x14ac:dyDescent="0.25">
      <c r="B6187"/>
      <c r="M6187"/>
    </row>
    <row r="6188" spans="2:13" ht="15" x14ac:dyDescent="0.25">
      <c r="B6188"/>
      <c r="M6188"/>
    </row>
    <row r="6189" spans="2:13" ht="15" x14ac:dyDescent="0.25">
      <c r="B6189"/>
      <c r="M6189"/>
    </row>
    <row r="6190" spans="2:13" ht="15" x14ac:dyDescent="0.25">
      <c r="B6190"/>
      <c r="M6190"/>
    </row>
    <row r="6191" spans="2:13" ht="15" x14ac:dyDescent="0.25">
      <c r="B6191"/>
      <c r="M6191"/>
    </row>
    <row r="6192" spans="2:13" ht="15" x14ac:dyDescent="0.25">
      <c r="B6192"/>
      <c r="M6192"/>
    </row>
    <row r="6193" spans="2:13" ht="15" x14ac:dyDescent="0.25">
      <c r="B6193"/>
      <c r="M6193"/>
    </row>
    <row r="6194" spans="2:13" ht="15" x14ac:dyDescent="0.25">
      <c r="B6194"/>
      <c r="M6194"/>
    </row>
    <row r="6195" spans="2:13" ht="15" x14ac:dyDescent="0.25">
      <c r="B6195"/>
      <c r="M6195"/>
    </row>
    <row r="6196" spans="2:13" ht="15" x14ac:dyDescent="0.25">
      <c r="B6196"/>
      <c r="M6196"/>
    </row>
    <row r="6197" spans="2:13" ht="15" x14ac:dyDescent="0.25">
      <c r="B6197"/>
      <c r="M6197"/>
    </row>
    <row r="6198" spans="2:13" ht="15" x14ac:dyDescent="0.25">
      <c r="B6198"/>
      <c r="M6198"/>
    </row>
    <row r="6199" spans="2:13" ht="15" x14ac:dyDescent="0.25">
      <c r="B6199"/>
      <c r="M6199"/>
    </row>
    <row r="6200" spans="2:13" ht="15" x14ac:dyDescent="0.25">
      <c r="B6200"/>
      <c r="M6200"/>
    </row>
    <row r="6201" spans="2:13" ht="15" x14ac:dyDescent="0.25">
      <c r="B6201"/>
      <c r="M6201"/>
    </row>
    <row r="6202" spans="2:13" ht="15" x14ac:dyDescent="0.25">
      <c r="B6202"/>
      <c r="M6202"/>
    </row>
    <row r="6203" spans="2:13" ht="15" x14ac:dyDescent="0.25">
      <c r="B6203"/>
      <c r="M6203"/>
    </row>
    <row r="6204" spans="2:13" ht="15" x14ac:dyDescent="0.25">
      <c r="B6204"/>
      <c r="M6204"/>
    </row>
    <row r="6205" spans="2:13" ht="15" x14ac:dyDescent="0.25">
      <c r="B6205"/>
      <c r="M6205"/>
    </row>
    <row r="6206" spans="2:13" ht="15" x14ac:dyDescent="0.25">
      <c r="B6206"/>
      <c r="M6206"/>
    </row>
    <row r="6207" spans="2:13" ht="15" x14ac:dyDescent="0.25">
      <c r="B6207"/>
      <c r="M6207"/>
    </row>
    <row r="6208" spans="2:13" ht="15" x14ac:dyDescent="0.25">
      <c r="B6208"/>
      <c r="M6208"/>
    </row>
    <row r="6209" spans="2:13" ht="15" x14ac:dyDescent="0.25">
      <c r="B6209"/>
      <c r="M6209"/>
    </row>
    <row r="6210" spans="2:13" ht="15" x14ac:dyDescent="0.25">
      <c r="B6210"/>
      <c r="M6210"/>
    </row>
    <row r="6211" spans="2:13" ht="15" x14ac:dyDescent="0.25">
      <c r="B6211"/>
      <c r="M6211"/>
    </row>
    <row r="6212" spans="2:13" ht="15" x14ac:dyDescent="0.25">
      <c r="B6212"/>
      <c r="M6212"/>
    </row>
    <row r="6213" spans="2:13" ht="15" x14ac:dyDescent="0.25">
      <c r="B6213"/>
      <c r="M6213"/>
    </row>
    <row r="6214" spans="2:13" ht="15" x14ac:dyDescent="0.25">
      <c r="B6214"/>
      <c r="M6214"/>
    </row>
    <row r="6215" spans="2:13" ht="15" x14ac:dyDescent="0.25">
      <c r="B6215"/>
      <c r="M6215"/>
    </row>
    <row r="6216" spans="2:13" ht="15" x14ac:dyDescent="0.25">
      <c r="B6216"/>
      <c r="M6216"/>
    </row>
    <row r="6217" spans="2:13" ht="15" x14ac:dyDescent="0.25">
      <c r="B6217"/>
      <c r="M6217"/>
    </row>
    <row r="6218" spans="2:13" ht="15" x14ac:dyDescent="0.25">
      <c r="B6218"/>
      <c r="M6218"/>
    </row>
    <row r="6219" spans="2:13" ht="15" x14ac:dyDescent="0.25">
      <c r="B6219"/>
      <c r="M6219"/>
    </row>
    <row r="6220" spans="2:13" ht="15" x14ac:dyDescent="0.25">
      <c r="B6220"/>
      <c r="M6220"/>
    </row>
    <row r="6221" spans="2:13" ht="15" x14ac:dyDescent="0.25">
      <c r="B6221"/>
      <c r="M6221"/>
    </row>
    <row r="6222" spans="2:13" ht="15" x14ac:dyDescent="0.25">
      <c r="B6222"/>
      <c r="M6222"/>
    </row>
    <row r="6223" spans="2:13" ht="15" x14ac:dyDescent="0.25">
      <c r="B6223"/>
      <c r="M6223"/>
    </row>
    <row r="6224" spans="2:13" ht="15" x14ac:dyDescent="0.25">
      <c r="B6224"/>
      <c r="M6224"/>
    </row>
    <row r="6225" spans="2:13" ht="15" x14ac:dyDescent="0.25">
      <c r="B6225"/>
      <c r="M6225"/>
    </row>
    <row r="6226" spans="2:13" ht="15" x14ac:dyDescent="0.25">
      <c r="B6226"/>
      <c r="M6226"/>
    </row>
    <row r="6227" spans="2:13" ht="15" x14ac:dyDescent="0.25">
      <c r="B6227"/>
      <c r="M6227"/>
    </row>
    <row r="6228" spans="2:13" ht="15" x14ac:dyDescent="0.25">
      <c r="B6228"/>
      <c r="M6228"/>
    </row>
    <row r="6229" spans="2:13" ht="15" x14ac:dyDescent="0.25">
      <c r="B6229"/>
      <c r="M6229"/>
    </row>
    <row r="6230" spans="2:13" ht="15" x14ac:dyDescent="0.25">
      <c r="B6230"/>
      <c r="M6230"/>
    </row>
    <row r="6231" spans="2:13" ht="15" x14ac:dyDescent="0.25">
      <c r="B6231"/>
      <c r="M6231"/>
    </row>
    <row r="6232" spans="2:13" ht="15" x14ac:dyDescent="0.25">
      <c r="B6232"/>
      <c r="M6232"/>
    </row>
    <row r="6233" spans="2:13" ht="15" x14ac:dyDescent="0.25">
      <c r="B6233"/>
      <c r="M6233"/>
    </row>
    <row r="6234" spans="2:13" ht="15" x14ac:dyDescent="0.25">
      <c r="B6234"/>
      <c r="M6234"/>
    </row>
    <row r="6235" spans="2:13" ht="15" x14ac:dyDescent="0.25">
      <c r="B6235"/>
      <c r="M6235"/>
    </row>
    <row r="6236" spans="2:13" ht="15" x14ac:dyDescent="0.25">
      <c r="B6236"/>
      <c r="M6236"/>
    </row>
    <row r="6237" spans="2:13" ht="15" x14ac:dyDescent="0.25">
      <c r="B6237"/>
      <c r="M6237"/>
    </row>
    <row r="6238" spans="2:13" ht="15" x14ac:dyDescent="0.25">
      <c r="B6238"/>
      <c r="M6238"/>
    </row>
    <row r="6239" spans="2:13" ht="15" x14ac:dyDescent="0.25">
      <c r="B6239"/>
      <c r="M6239"/>
    </row>
    <row r="6240" spans="2:13" ht="15" x14ac:dyDescent="0.25">
      <c r="B6240"/>
      <c r="M6240"/>
    </row>
    <row r="6241" spans="2:13" ht="15" x14ac:dyDescent="0.25">
      <c r="B6241"/>
      <c r="M6241"/>
    </row>
    <row r="6242" spans="2:13" ht="15" x14ac:dyDescent="0.25">
      <c r="B6242"/>
      <c r="M6242"/>
    </row>
    <row r="6243" spans="2:13" ht="15" x14ac:dyDescent="0.25">
      <c r="B6243"/>
      <c r="M6243"/>
    </row>
    <row r="6244" spans="2:13" ht="15" x14ac:dyDescent="0.25">
      <c r="B6244"/>
      <c r="M6244"/>
    </row>
    <row r="6245" spans="2:13" ht="15" x14ac:dyDescent="0.25">
      <c r="B6245"/>
      <c r="M6245"/>
    </row>
    <row r="6246" spans="2:13" ht="15" x14ac:dyDescent="0.25">
      <c r="B6246"/>
      <c r="M6246"/>
    </row>
    <row r="6247" spans="2:13" ht="15" x14ac:dyDescent="0.25">
      <c r="B6247"/>
      <c r="M6247"/>
    </row>
    <row r="6248" spans="2:13" ht="15" x14ac:dyDescent="0.25">
      <c r="B6248"/>
      <c r="M6248"/>
    </row>
    <row r="6249" spans="2:13" ht="15" x14ac:dyDescent="0.25">
      <c r="B6249"/>
      <c r="M6249"/>
    </row>
    <row r="6250" spans="2:13" ht="15" x14ac:dyDescent="0.25">
      <c r="B6250"/>
      <c r="M6250"/>
    </row>
    <row r="6251" spans="2:13" ht="15" x14ac:dyDescent="0.25">
      <c r="B6251"/>
      <c r="M6251"/>
    </row>
    <row r="6252" spans="2:13" ht="15" x14ac:dyDescent="0.25">
      <c r="B6252"/>
      <c r="M6252"/>
    </row>
    <row r="6253" spans="2:13" ht="15" x14ac:dyDescent="0.25">
      <c r="B6253"/>
      <c r="M6253"/>
    </row>
    <row r="6254" spans="2:13" ht="15" x14ac:dyDescent="0.25">
      <c r="B6254"/>
      <c r="M6254"/>
    </row>
    <row r="6255" spans="2:13" ht="15" x14ac:dyDescent="0.25">
      <c r="B6255"/>
      <c r="M6255"/>
    </row>
    <row r="6256" spans="2:13" ht="15" x14ac:dyDescent="0.25">
      <c r="B6256"/>
      <c r="M6256"/>
    </row>
    <row r="6257" spans="2:13" ht="15" x14ac:dyDescent="0.25">
      <c r="B6257"/>
      <c r="M6257"/>
    </row>
    <row r="6258" spans="2:13" ht="15" x14ac:dyDescent="0.25">
      <c r="B6258"/>
      <c r="M6258"/>
    </row>
    <row r="6259" spans="2:13" ht="15" x14ac:dyDescent="0.25">
      <c r="B6259"/>
      <c r="M6259"/>
    </row>
    <row r="6260" spans="2:13" ht="15" x14ac:dyDescent="0.25">
      <c r="B6260"/>
      <c r="M6260"/>
    </row>
    <row r="6261" spans="2:13" ht="15" x14ac:dyDescent="0.25">
      <c r="B6261"/>
      <c r="M6261"/>
    </row>
    <row r="6262" spans="2:13" ht="15" x14ac:dyDescent="0.25">
      <c r="B6262"/>
      <c r="M6262"/>
    </row>
    <row r="6263" spans="2:13" ht="15" x14ac:dyDescent="0.25">
      <c r="B6263"/>
      <c r="M6263"/>
    </row>
    <row r="6264" spans="2:13" ht="15" x14ac:dyDescent="0.25">
      <c r="B6264"/>
      <c r="M6264"/>
    </row>
    <row r="6265" spans="2:13" ht="15" x14ac:dyDescent="0.25">
      <c r="B6265"/>
      <c r="M6265"/>
    </row>
    <row r="6266" spans="2:13" ht="15" x14ac:dyDescent="0.25">
      <c r="B6266"/>
      <c r="M6266"/>
    </row>
    <row r="6267" spans="2:13" ht="15" x14ac:dyDescent="0.25">
      <c r="B6267"/>
      <c r="M6267"/>
    </row>
    <row r="6268" spans="2:13" ht="15" x14ac:dyDescent="0.25">
      <c r="B6268"/>
      <c r="M6268"/>
    </row>
    <row r="6269" spans="2:13" ht="15" x14ac:dyDescent="0.25">
      <c r="B6269"/>
      <c r="M6269"/>
    </row>
    <row r="6270" spans="2:13" ht="15" x14ac:dyDescent="0.25">
      <c r="B6270"/>
      <c r="M6270"/>
    </row>
    <row r="6271" spans="2:13" ht="15" x14ac:dyDescent="0.25">
      <c r="B6271"/>
      <c r="M6271"/>
    </row>
    <row r="6272" spans="2:13" ht="15" x14ac:dyDescent="0.25">
      <c r="B6272"/>
      <c r="M6272"/>
    </row>
    <row r="6273" spans="2:13" ht="15" x14ac:dyDescent="0.25">
      <c r="B6273"/>
      <c r="M6273"/>
    </row>
    <row r="6274" spans="2:13" ht="15" x14ac:dyDescent="0.25">
      <c r="B6274"/>
      <c r="M6274"/>
    </row>
    <row r="6275" spans="2:13" ht="15" x14ac:dyDescent="0.25">
      <c r="B6275"/>
      <c r="M6275"/>
    </row>
    <row r="6276" spans="2:13" ht="15" x14ac:dyDescent="0.25">
      <c r="B6276"/>
      <c r="M6276"/>
    </row>
    <row r="6277" spans="2:13" ht="15" x14ac:dyDescent="0.25">
      <c r="B6277"/>
      <c r="M6277"/>
    </row>
    <row r="6278" spans="2:13" ht="15" x14ac:dyDescent="0.25">
      <c r="B6278"/>
      <c r="M6278"/>
    </row>
    <row r="6279" spans="2:13" ht="15" x14ac:dyDescent="0.25">
      <c r="B6279"/>
      <c r="M6279"/>
    </row>
    <row r="6280" spans="2:13" ht="15" x14ac:dyDescent="0.25">
      <c r="B6280"/>
      <c r="M6280"/>
    </row>
    <row r="6281" spans="2:13" ht="15" x14ac:dyDescent="0.25">
      <c r="B6281"/>
      <c r="M6281"/>
    </row>
    <row r="6282" spans="2:13" ht="15" x14ac:dyDescent="0.25">
      <c r="B6282"/>
      <c r="M6282"/>
    </row>
    <row r="6283" spans="2:13" ht="15" x14ac:dyDescent="0.25">
      <c r="B6283"/>
      <c r="M6283"/>
    </row>
    <row r="6284" spans="2:13" ht="15" x14ac:dyDescent="0.25">
      <c r="B6284"/>
      <c r="M6284"/>
    </row>
    <row r="6285" spans="2:13" ht="15" x14ac:dyDescent="0.25">
      <c r="B6285"/>
      <c r="M6285"/>
    </row>
    <row r="6286" spans="2:13" ht="15" x14ac:dyDescent="0.25">
      <c r="B6286"/>
      <c r="M6286"/>
    </row>
    <row r="6287" spans="2:13" ht="15" x14ac:dyDescent="0.25">
      <c r="B6287"/>
      <c r="M6287"/>
    </row>
    <row r="6288" spans="2:13" ht="15" x14ac:dyDescent="0.25">
      <c r="B6288"/>
      <c r="M6288"/>
    </row>
    <row r="6289" spans="2:13" ht="15" x14ac:dyDescent="0.25">
      <c r="B6289"/>
      <c r="M6289"/>
    </row>
    <row r="6290" spans="2:13" ht="15" x14ac:dyDescent="0.25">
      <c r="B6290"/>
      <c r="M6290"/>
    </row>
    <row r="6291" spans="2:13" ht="15" x14ac:dyDescent="0.25">
      <c r="B6291"/>
      <c r="M6291"/>
    </row>
    <row r="6292" spans="2:13" ht="15" x14ac:dyDescent="0.25">
      <c r="B6292"/>
      <c r="M6292"/>
    </row>
    <row r="6293" spans="2:13" ht="15" x14ac:dyDescent="0.25">
      <c r="B6293"/>
      <c r="M6293"/>
    </row>
    <row r="6294" spans="2:13" ht="15" x14ac:dyDescent="0.25">
      <c r="B6294"/>
      <c r="M6294"/>
    </row>
    <row r="6295" spans="2:13" ht="15" x14ac:dyDescent="0.25">
      <c r="B6295"/>
      <c r="M6295"/>
    </row>
    <row r="6296" spans="2:13" ht="15" x14ac:dyDescent="0.25">
      <c r="B6296"/>
      <c r="M6296"/>
    </row>
    <row r="6297" spans="2:13" ht="15" x14ac:dyDescent="0.25">
      <c r="B6297"/>
      <c r="M6297"/>
    </row>
    <row r="6298" spans="2:13" ht="15" x14ac:dyDescent="0.25">
      <c r="B6298"/>
      <c r="M6298"/>
    </row>
    <row r="6299" spans="2:13" ht="15" x14ac:dyDescent="0.25">
      <c r="B6299"/>
      <c r="M6299"/>
    </row>
    <row r="6300" spans="2:13" ht="15" x14ac:dyDescent="0.25">
      <c r="B6300"/>
      <c r="M6300"/>
    </row>
    <row r="6301" spans="2:13" ht="15" x14ac:dyDescent="0.25">
      <c r="B6301"/>
      <c r="M6301"/>
    </row>
    <row r="6302" spans="2:13" ht="15" x14ac:dyDescent="0.25">
      <c r="B6302"/>
      <c r="M6302"/>
    </row>
    <row r="6303" spans="2:13" ht="15" x14ac:dyDescent="0.25">
      <c r="B6303"/>
      <c r="M6303"/>
    </row>
    <row r="6304" spans="2:13" ht="15" x14ac:dyDescent="0.25">
      <c r="B6304"/>
      <c r="M6304"/>
    </row>
    <row r="6305" spans="2:13" ht="15" x14ac:dyDescent="0.25">
      <c r="B6305"/>
      <c r="M6305"/>
    </row>
    <row r="6306" spans="2:13" ht="15" x14ac:dyDescent="0.25">
      <c r="B6306"/>
      <c r="M6306"/>
    </row>
    <row r="6307" spans="2:13" ht="15" x14ac:dyDescent="0.25">
      <c r="B6307"/>
      <c r="M6307"/>
    </row>
    <row r="6308" spans="2:13" ht="15" x14ac:dyDescent="0.25">
      <c r="B6308"/>
      <c r="M6308"/>
    </row>
    <row r="6309" spans="2:13" ht="15" x14ac:dyDescent="0.25">
      <c r="B6309"/>
      <c r="M6309"/>
    </row>
    <row r="6310" spans="2:13" ht="15" x14ac:dyDescent="0.25">
      <c r="B6310"/>
      <c r="M6310"/>
    </row>
    <row r="6311" spans="2:13" ht="15" x14ac:dyDescent="0.25">
      <c r="B6311"/>
      <c r="M6311"/>
    </row>
    <row r="6312" spans="2:13" ht="15" x14ac:dyDescent="0.25">
      <c r="B6312"/>
      <c r="M6312"/>
    </row>
    <row r="6313" spans="2:13" ht="15" x14ac:dyDescent="0.25">
      <c r="B6313"/>
      <c r="M6313"/>
    </row>
    <row r="6314" spans="2:13" ht="15" x14ac:dyDescent="0.25">
      <c r="B6314"/>
      <c r="M6314"/>
    </row>
    <row r="6315" spans="2:13" ht="15" x14ac:dyDescent="0.25">
      <c r="B6315"/>
      <c r="M6315"/>
    </row>
    <row r="6316" spans="2:13" ht="15" x14ac:dyDescent="0.25">
      <c r="B6316"/>
      <c r="M6316"/>
    </row>
    <row r="6317" spans="2:13" ht="15" x14ac:dyDescent="0.25">
      <c r="B6317"/>
      <c r="M6317"/>
    </row>
    <row r="6318" spans="2:13" ht="15" x14ac:dyDescent="0.25">
      <c r="B6318"/>
      <c r="M6318"/>
    </row>
    <row r="6319" spans="2:13" ht="15" x14ac:dyDescent="0.25">
      <c r="B6319"/>
      <c r="M6319"/>
    </row>
    <row r="6320" spans="2:13" ht="15" x14ac:dyDescent="0.25">
      <c r="B6320"/>
      <c r="M6320"/>
    </row>
    <row r="6321" spans="2:13" ht="15" x14ac:dyDescent="0.25">
      <c r="B6321"/>
      <c r="M6321"/>
    </row>
    <row r="6322" spans="2:13" ht="15" x14ac:dyDescent="0.25">
      <c r="B6322"/>
      <c r="M6322"/>
    </row>
    <row r="6323" spans="2:13" ht="15" x14ac:dyDescent="0.25">
      <c r="B6323"/>
      <c r="M6323"/>
    </row>
    <row r="6324" spans="2:13" ht="15" x14ac:dyDescent="0.25">
      <c r="B6324"/>
      <c r="M6324"/>
    </row>
    <row r="6325" spans="2:13" ht="15" x14ac:dyDescent="0.25">
      <c r="B6325"/>
      <c r="M6325"/>
    </row>
    <row r="6326" spans="2:13" ht="15" x14ac:dyDescent="0.25">
      <c r="B6326"/>
      <c r="M6326"/>
    </row>
    <row r="6327" spans="2:13" ht="15" x14ac:dyDescent="0.25">
      <c r="B6327"/>
      <c r="M6327"/>
    </row>
    <row r="6328" spans="2:13" ht="15" x14ac:dyDescent="0.25">
      <c r="B6328"/>
      <c r="M6328"/>
    </row>
    <row r="6329" spans="2:13" ht="15" x14ac:dyDescent="0.25">
      <c r="B6329"/>
      <c r="M6329"/>
    </row>
    <row r="6330" spans="2:13" ht="15" x14ac:dyDescent="0.25">
      <c r="B6330"/>
      <c r="M6330"/>
    </row>
    <row r="6331" spans="2:13" ht="15" x14ac:dyDescent="0.25">
      <c r="B6331"/>
      <c r="M6331"/>
    </row>
    <row r="6332" spans="2:13" ht="15" x14ac:dyDescent="0.25">
      <c r="B6332"/>
      <c r="M6332"/>
    </row>
    <row r="6333" spans="2:13" ht="15" x14ac:dyDescent="0.25">
      <c r="B6333"/>
      <c r="M6333"/>
    </row>
    <row r="6334" spans="2:13" ht="15" x14ac:dyDescent="0.25">
      <c r="B6334"/>
      <c r="M6334"/>
    </row>
    <row r="6335" spans="2:13" ht="15" x14ac:dyDescent="0.25">
      <c r="B6335"/>
      <c r="M6335"/>
    </row>
    <row r="6336" spans="2:13" ht="15" x14ac:dyDescent="0.25">
      <c r="B6336"/>
      <c r="M6336"/>
    </row>
    <row r="6337" spans="2:13" ht="15" x14ac:dyDescent="0.25">
      <c r="B6337"/>
      <c r="M6337"/>
    </row>
    <row r="6338" spans="2:13" ht="15" x14ac:dyDescent="0.25">
      <c r="B6338"/>
      <c r="M6338"/>
    </row>
    <row r="6339" spans="2:13" ht="15" x14ac:dyDescent="0.25">
      <c r="B6339"/>
      <c r="M6339"/>
    </row>
    <row r="6340" spans="2:13" ht="15" x14ac:dyDescent="0.25">
      <c r="B6340"/>
      <c r="M6340"/>
    </row>
    <row r="6341" spans="2:13" ht="15" x14ac:dyDescent="0.25">
      <c r="B6341"/>
      <c r="M6341"/>
    </row>
    <row r="6342" spans="2:13" ht="15" x14ac:dyDescent="0.25">
      <c r="B6342"/>
      <c r="M6342"/>
    </row>
    <row r="6343" spans="2:13" ht="15" x14ac:dyDescent="0.25">
      <c r="B6343"/>
      <c r="M6343"/>
    </row>
    <row r="6344" spans="2:13" ht="15" x14ac:dyDescent="0.25">
      <c r="B6344"/>
      <c r="M6344"/>
    </row>
    <row r="6345" spans="2:13" ht="15" x14ac:dyDescent="0.25">
      <c r="B6345"/>
      <c r="M6345"/>
    </row>
    <row r="6346" spans="2:13" ht="15" x14ac:dyDescent="0.25">
      <c r="B6346"/>
      <c r="M6346"/>
    </row>
    <row r="6347" spans="2:13" ht="15" x14ac:dyDescent="0.25">
      <c r="B6347"/>
      <c r="M6347"/>
    </row>
    <row r="6348" spans="2:13" ht="15" x14ac:dyDescent="0.25">
      <c r="B6348"/>
      <c r="M6348"/>
    </row>
    <row r="6349" spans="2:13" ht="15" x14ac:dyDescent="0.25">
      <c r="B6349"/>
      <c r="M6349"/>
    </row>
    <row r="6350" spans="2:13" ht="15" x14ac:dyDescent="0.25">
      <c r="B6350"/>
      <c r="M6350"/>
    </row>
    <row r="6351" spans="2:13" ht="15" x14ac:dyDescent="0.25">
      <c r="B6351"/>
      <c r="M6351"/>
    </row>
    <row r="6352" spans="2:13" ht="15" x14ac:dyDescent="0.25">
      <c r="B6352"/>
      <c r="M6352"/>
    </row>
    <row r="6353" spans="2:13" ht="15" x14ac:dyDescent="0.25">
      <c r="B6353"/>
      <c r="M6353"/>
    </row>
    <row r="6354" spans="2:13" ht="15" x14ac:dyDescent="0.25">
      <c r="B6354"/>
      <c r="M6354"/>
    </row>
    <row r="6355" spans="2:13" ht="15" x14ac:dyDescent="0.25">
      <c r="B6355"/>
      <c r="M6355"/>
    </row>
    <row r="6356" spans="2:13" ht="15" x14ac:dyDescent="0.25">
      <c r="B6356"/>
      <c r="M6356"/>
    </row>
    <row r="6357" spans="2:13" ht="15" x14ac:dyDescent="0.25">
      <c r="B6357"/>
      <c r="M6357"/>
    </row>
    <row r="6358" spans="2:13" ht="15" x14ac:dyDescent="0.25">
      <c r="B6358"/>
      <c r="M6358"/>
    </row>
    <row r="6359" spans="2:13" ht="15" x14ac:dyDescent="0.25">
      <c r="B6359"/>
      <c r="M6359"/>
    </row>
    <row r="6360" spans="2:13" ht="15" x14ac:dyDescent="0.25">
      <c r="B6360"/>
      <c r="M6360"/>
    </row>
    <row r="6361" spans="2:13" ht="15" x14ac:dyDescent="0.25">
      <c r="B6361"/>
      <c r="M6361"/>
    </row>
    <row r="6362" spans="2:13" ht="15" x14ac:dyDescent="0.25">
      <c r="B6362"/>
      <c r="M6362"/>
    </row>
    <row r="6363" spans="2:13" ht="15" x14ac:dyDescent="0.25">
      <c r="B6363"/>
      <c r="M6363"/>
    </row>
    <row r="6364" spans="2:13" ht="15" x14ac:dyDescent="0.25">
      <c r="B6364"/>
      <c r="M6364"/>
    </row>
    <row r="6365" spans="2:13" ht="15" x14ac:dyDescent="0.25">
      <c r="B6365"/>
      <c r="M6365"/>
    </row>
    <row r="6366" spans="2:13" ht="15" x14ac:dyDescent="0.25">
      <c r="B6366"/>
      <c r="M6366"/>
    </row>
    <row r="6367" spans="2:13" ht="15" x14ac:dyDescent="0.25">
      <c r="B6367"/>
      <c r="M6367"/>
    </row>
    <row r="6368" spans="2:13" ht="15" x14ac:dyDescent="0.25">
      <c r="B6368"/>
      <c r="M6368"/>
    </row>
    <row r="6369" spans="2:13" ht="15" x14ac:dyDescent="0.25">
      <c r="B6369"/>
      <c r="M6369"/>
    </row>
    <row r="6370" spans="2:13" ht="15" x14ac:dyDescent="0.25">
      <c r="B6370"/>
      <c r="M6370"/>
    </row>
    <row r="6371" spans="2:13" ht="15" x14ac:dyDescent="0.25">
      <c r="B6371"/>
      <c r="M6371"/>
    </row>
    <row r="6372" spans="2:13" ht="15" x14ac:dyDescent="0.25">
      <c r="B6372"/>
      <c r="M6372"/>
    </row>
    <row r="6373" spans="2:13" ht="15" x14ac:dyDescent="0.25">
      <c r="B6373"/>
      <c r="M6373"/>
    </row>
    <row r="6374" spans="2:13" ht="15" x14ac:dyDescent="0.25">
      <c r="B6374"/>
      <c r="M6374"/>
    </row>
    <row r="6375" spans="2:13" ht="15" x14ac:dyDescent="0.25">
      <c r="B6375"/>
      <c r="M6375"/>
    </row>
    <row r="6376" spans="2:13" ht="15" x14ac:dyDescent="0.25">
      <c r="B6376"/>
      <c r="M6376"/>
    </row>
    <row r="6377" spans="2:13" ht="15" x14ac:dyDescent="0.25">
      <c r="B6377"/>
      <c r="M6377"/>
    </row>
    <row r="6378" spans="2:13" ht="15" x14ac:dyDescent="0.25">
      <c r="B6378"/>
      <c r="M6378"/>
    </row>
    <row r="6379" spans="2:13" ht="15" x14ac:dyDescent="0.25">
      <c r="B6379"/>
      <c r="M6379"/>
    </row>
    <row r="6380" spans="2:13" ht="15" x14ac:dyDescent="0.25">
      <c r="B6380"/>
      <c r="M6380"/>
    </row>
    <row r="6381" spans="2:13" ht="15" x14ac:dyDescent="0.25">
      <c r="B6381"/>
      <c r="M6381"/>
    </row>
    <row r="6382" spans="2:13" ht="15" x14ac:dyDescent="0.25">
      <c r="B6382"/>
      <c r="M6382"/>
    </row>
    <row r="6383" spans="2:13" ht="15" x14ac:dyDescent="0.25">
      <c r="B6383"/>
      <c r="M6383"/>
    </row>
    <row r="6384" spans="2:13" ht="15" x14ac:dyDescent="0.25">
      <c r="B6384"/>
      <c r="M6384"/>
    </row>
    <row r="6385" spans="2:13" ht="15" x14ac:dyDescent="0.25">
      <c r="B6385"/>
      <c r="M6385"/>
    </row>
    <row r="6386" spans="2:13" ht="15" x14ac:dyDescent="0.25">
      <c r="B6386"/>
      <c r="M6386"/>
    </row>
    <row r="6387" spans="2:13" ht="15" x14ac:dyDescent="0.25">
      <c r="B6387"/>
      <c r="M6387"/>
    </row>
    <row r="6388" spans="2:13" ht="15" x14ac:dyDescent="0.25">
      <c r="B6388"/>
      <c r="M6388"/>
    </row>
    <row r="6389" spans="2:13" ht="15" x14ac:dyDescent="0.25">
      <c r="B6389"/>
      <c r="M6389"/>
    </row>
    <row r="6390" spans="2:13" ht="15" x14ac:dyDescent="0.25">
      <c r="B6390"/>
      <c r="M6390"/>
    </row>
    <row r="6391" spans="2:13" ht="15" x14ac:dyDescent="0.25">
      <c r="B6391"/>
      <c r="M6391"/>
    </row>
    <row r="6392" spans="2:13" ht="15" x14ac:dyDescent="0.25">
      <c r="B6392"/>
      <c r="M6392"/>
    </row>
    <row r="6393" spans="2:13" ht="15" x14ac:dyDescent="0.25">
      <c r="B6393"/>
      <c r="M6393"/>
    </row>
    <row r="6394" spans="2:13" ht="15" x14ac:dyDescent="0.25">
      <c r="B6394"/>
      <c r="M6394"/>
    </row>
    <row r="6395" spans="2:13" ht="15" x14ac:dyDescent="0.25">
      <c r="B6395"/>
      <c r="M6395"/>
    </row>
    <row r="6396" spans="2:13" ht="15" x14ac:dyDescent="0.25">
      <c r="B6396"/>
      <c r="M6396"/>
    </row>
    <row r="6397" spans="2:13" ht="15" x14ac:dyDescent="0.25">
      <c r="B6397"/>
      <c r="M6397"/>
    </row>
    <row r="6398" spans="2:13" ht="15" x14ac:dyDescent="0.25">
      <c r="B6398"/>
      <c r="M6398"/>
    </row>
    <row r="6399" spans="2:13" ht="15" x14ac:dyDescent="0.25">
      <c r="B6399"/>
      <c r="M6399"/>
    </row>
    <row r="6400" spans="2:13" ht="15" x14ac:dyDescent="0.25">
      <c r="B6400"/>
      <c r="M6400"/>
    </row>
    <row r="6401" spans="2:13" ht="15" x14ac:dyDescent="0.25">
      <c r="B6401"/>
      <c r="M6401"/>
    </row>
    <row r="6402" spans="2:13" ht="15" x14ac:dyDescent="0.25">
      <c r="B6402"/>
      <c r="M6402"/>
    </row>
    <row r="6403" spans="2:13" ht="15" x14ac:dyDescent="0.25">
      <c r="B6403"/>
      <c r="M6403"/>
    </row>
    <row r="6404" spans="2:13" ht="15" x14ac:dyDescent="0.25">
      <c r="B6404"/>
      <c r="M6404"/>
    </row>
    <row r="6405" spans="2:13" ht="15" x14ac:dyDescent="0.25">
      <c r="B6405"/>
      <c r="M6405"/>
    </row>
    <row r="6406" spans="2:13" ht="15" x14ac:dyDescent="0.25">
      <c r="B6406"/>
      <c r="M6406"/>
    </row>
    <row r="6407" spans="2:13" ht="15" x14ac:dyDescent="0.25">
      <c r="B6407"/>
      <c r="M6407"/>
    </row>
    <row r="6408" spans="2:13" ht="15" x14ac:dyDescent="0.25">
      <c r="B6408"/>
      <c r="M6408"/>
    </row>
    <row r="6409" spans="2:13" ht="15" x14ac:dyDescent="0.25">
      <c r="B6409"/>
      <c r="M6409"/>
    </row>
    <row r="6410" spans="2:13" ht="15" x14ac:dyDescent="0.25">
      <c r="B6410"/>
      <c r="M6410"/>
    </row>
    <row r="6411" spans="2:13" ht="15" x14ac:dyDescent="0.25">
      <c r="B6411"/>
      <c r="M6411"/>
    </row>
    <row r="6412" spans="2:13" ht="15" x14ac:dyDescent="0.25">
      <c r="B6412"/>
      <c r="M6412"/>
    </row>
    <row r="6413" spans="2:13" ht="15" x14ac:dyDescent="0.25">
      <c r="B6413"/>
      <c r="M6413"/>
    </row>
    <row r="6414" spans="2:13" ht="15" x14ac:dyDescent="0.25">
      <c r="B6414"/>
      <c r="M6414"/>
    </row>
    <row r="6415" spans="2:13" ht="15" x14ac:dyDescent="0.25">
      <c r="B6415"/>
      <c r="M6415"/>
    </row>
    <row r="6416" spans="2:13" ht="15" x14ac:dyDescent="0.25">
      <c r="B6416"/>
      <c r="M6416"/>
    </row>
    <row r="6417" spans="2:13" ht="15" x14ac:dyDescent="0.25">
      <c r="B6417"/>
      <c r="M6417"/>
    </row>
    <row r="6418" spans="2:13" ht="15" x14ac:dyDescent="0.25">
      <c r="B6418"/>
      <c r="M6418"/>
    </row>
    <row r="6419" spans="2:13" ht="15" x14ac:dyDescent="0.25">
      <c r="B6419"/>
      <c r="M6419"/>
    </row>
    <row r="6420" spans="2:13" ht="15" x14ac:dyDescent="0.25">
      <c r="B6420"/>
      <c r="M6420"/>
    </row>
    <row r="6421" spans="2:13" ht="15" x14ac:dyDescent="0.25">
      <c r="B6421"/>
      <c r="M6421"/>
    </row>
    <row r="6422" spans="2:13" ht="15" x14ac:dyDescent="0.25">
      <c r="B6422"/>
      <c r="M6422"/>
    </row>
    <row r="6423" spans="2:13" ht="15" x14ac:dyDescent="0.25">
      <c r="B6423"/>
      <c r="M6423"/>
    </row>
    <row r="6424" spans="2:13" ht="15" x14ac:dyDescent="0.25">
      <c r="B6424"/>
      <c r="M6424"/>
    </row>
    <row r="6425" spans="2:13" ht="15" x14ac:dyDescent="0.25">
      <c r="B6425"/>
      <c r="M6425"/>
    </row>
    <row r="6426" spans="2:13" ht="15" x14ac:dyDescent="0.25">
      <c r="B6426"/>
      <c r="M6426"/>
    </row>
    <row r="6427" spans="2:13" ht="15" x14ac:dyDescent="0.25">
      <c r="B6427"/>
      <c r="M6427"/>
    </row>
    <row r="6428" spans="2:13" ht="15" x14ac:dyDescent="0.25">
      <c r="B6428"/>
      <c r="M6428"/>
    </row>
    <row r="6429" spans="2:13" ht="15" x14ac:dyDescent="0.25">
      <c r="B6429"/>
      <c r="M6429"/>
    </row>
    <row r="6430" spans="2:13" ht="15" x14ac:dyDescent="0.25">
      <c r="B6430"/>
      <c r="M6430"/>
    </row>
    <row r="6431" spans="2:13" ht="15" x14ac:dyDescent="0.25">
      <c r="B6431"/>
      <c r="M6431"/>
    </row>
    <row r="6432" spans="2:13" ht="15" x14ac:dyDescent="0.25">
      <c r="B6432"/>
      <c r="M6432"/>
    </row>
    <row r="6433" spans="2:13" ht="15" x14ac:dyDescent="0.25">
      <c r="B6433"/>
      <c r="M6433"/>
    </row>
    <row r="6434" spans="2:13" ht="15" x14ac:dyDescent="0.25">
      <c r="B6434"/>
      <c r="M6434"/>
    </row>
    <row r="6435" spans="2:13" ht="15" x14ac:dyDescent="0.25">
      <c r="B6435"/>
      <c r="M6435"/>
    </row>
    <row r="6436" spans="2:13" ht="15" x14ac:dyDescent="0.25">
      <c r="B6436"/>
      <c r="M6436"/>
    </row>
    <row r="6437" spans="2:13" ht="15" x14ac:dyDescent="0.25">
      <c r="B6437"/>
      <c r="M6437"/>
    </row>
    <row r="6438" spans="2:13" ht="15" x14ac:dyDescent="0.25">
      <c r="B6438"/>
      <c r="M6438"/>
    </row>
    <row r="6439" spans="2:13" ht="15" x14ac:dyDescent="0.25">
      <c r="B6439"/>
      <c r="M6439"/>
    </row>
    <row r="6440" spans="2:13" ht="15" x14ac:dyDescent="0.25">
      <c r="B6440"/>
      <c r="M6440"/>
    </row>
    <row r="6441" spans="2:13" ht="15" x14ac:dyDescent="0.25">
      <c r="B6441"/>
      <c r="M6441"/>
    </row>
    <row r="6442" spans="2:13" ht="15" x14ac:dyDescent="0.25">
      <c r="B6442"/>
      <c r="M6442"/>
    </row>
    <row r="6443" spans="2:13" ht="15" x14ac:dyDescent="0.25">
      <c r="B6443"/>
      <c r="M6443"/>
    </row>
    <row r="6444" spans="2:13" ht="15" x14ac:dyDescent="0.25">
      <c r="B6444"/>
      <c r="M6444"/>
    </row>
    <row r="6445" spans="2:13" ht="15" x14ac:dyDescent="0.25">
      <c r="B6445"/>
      <c r="M6445"/>
    </row>
    <row r="6446" spans="2:13" ht="15" x14ac:dyDescent="0.25">
      <c r="B6446"/>
      <c r="M6446"/>
    </row>
    <row r="6447" spans="2:13" ht="15" x14ac:dyDescent="0.25">
      <c r="B6447"/>
      <c r="M6447"/>
    </row>
    <row r="6448" spans="2:13" ht="15" x14ac:dyDescent="0.25">
      <c r="B6448"/>
      <c r="M6448"/>
    </row>
    <row r="6449" spans="2:13" ht="15" x14ac:dyDescent="0.25">
      <c r="B6449"/>
      <c r="M6449"/>
    </row>
    <row r="6450" spans="2:13" ht="15" x14ac:dyDescent="0.25">
      <c r="B6450"/>
      <c r="M6450"/>
    </row>
    <row r="6451" spans="2:13" ht="15" x14ac:dyDescent="0.25">
      <c r="B6451"/>
      <c r="M6451"/>
    </row>
    <row r="6452" spans="2:13" ht="15" x14ac:dyDescent="0.25">
      <c r="B6452"/>
      <c r="M6452"/>
    </row>
    <row r="6453" spans="2:13" ht="15" x14ac:dyDescent="0.25">
      <c r="B6453"/>
      <c r="M6453"/>
    </row>
    <row r="6454" spans="2:13" ht="15" x14ac:dyDescent="0.25">
      <c r="B6454"/>
      <c r="M6454"/>
    </row>
    <row r="6455" spans="2:13" ht="15" x14ac:dyDescent="0.25">
      <c r="B6455"/>
      <c r="M6455"/>
    </row>
    <row r="6456" spans="2:13" ht="15" x14ac:dyDescent="0.25">
      <c r="B6456"/>
      <c r="M6456"/>
    </row>
    <row r="6457" spans="2:13" ht="15" x14ac:dyDescent="0.25">
      <c r="B6457"/>
      <c r="M6457"/>
    </row>
    <row r="6458" spans="2:13" ht="15" x14ac:dyDescent="0.25">
      <c r="B6458"/>
      <c r="M6458"/>
    </row>
    <row r="6459" spans="2:13" ht="15" x14ac:dyDescent="0.25">
      <c r="B6459"/>
      <c r="M6459"/>
    </row>
    <row r="6460" spans="2:13" ht="15" x14ac:dyDescent="0.25">
      <c r="B6460"/>
      <c r="M6460"/>
    </row>
    <row r="6461" spans="2:13" ht="15" x14ac:dyDescent="0.25">
      <c r="B6461"/>
      <c r="M6461"/>
    </row>
    <row r="6462" spans="2:13" ht="15" x14ac:dyDescent="0.25">
      <c r="B6462"/>
      <c r="M6462"/>
    </row>
    <row r="6463" spans="2:13" ht="15" x14ac:dyDescent="0.25">
      <c r="B6463"/>
      <c r="M6463"/>
    </row>
    <row r="6464" spans="2:13" ht="15" x14ac:dyDescent="0.25">
      <c r="B6464"/>
      <c r="M6464"/>
    </row>
    <row r="6465" spans="2:13" ht="15" x14ac:dyDescent="0.25">
      <c r="B6465"/>
      <c r="M6465"/>
    </row>
    <row r="6466" spans="2:13" ht="15" x14ac:dyDescent="0.25">
      <c r="B6466"/>
      <c r="M6466"/>
    </row>
    <row r="6467" spans="2:13" ht="15" x14ac:dyDescent="0.25">
      <c r="B6467"/>
      <c r="M6467"/>
    </row>
    <row r="6468" spans="2:13" ht="15" x14ac:dyDescent="0.25">
      <c r="B6468"/>
      <c r="M6468"/>
    </row>
    <row r="6469" spans="2:13" ht="15" x14ac:dyDescent="0.25">
      <c r="B6469"/>
      <c r="M6469"/>
    </row>
    <row r="6470" spans="2:13" ht="15" x14ac:dyDescent="0.25">
      <c r="B6470"/>
      <c r="M6470"/>
    </row>
    <row r="6471" spans="2:13" ht="15" x14ac:dyDescent="0.25">
      <c r="B6471"/>
      <c r="M6471"/>
    </row>
    <row r="6472" spans="2:13" ht="15" x14ac:dyDescent="0.25">
      <c r="B6472"/>
      <c r="M6472"/>
    </row>
    <row r="6473" spans="2:13" ht="15" x14ac:dyDescent="0.25">
      <c r="B6473"/>
      <c r="M6473"/>
    </row>
    <row r="6474" spans="2:13" ht="15" x14ac:dyDescent="0.25">
      <c r="B6474"/>
      <c r="M6474"/>
    </row>
    <row r="6475" spans="2:13" ht="15" x14ac:dyDescent="0.25">
      <c r="B6475"/>
      <c r="M6475"/>
    </row>
    <row r="6476" spans="2:13" ht="15" x14ac:dyDescent="0.25">
      <c r="B6476"/>
      <c r="M6476"/>
    </row>
    <row r="6477" spans="2:13" ht="15" x14ac:dyDescent="0.25">
      <c r="B6477"/>
      <c r="M6477"/>
    </row>
    <row r="6478" spans="2:13" ht="15" x14ac:dyDescent="0.25">
      <c r="B6478"/>
      <c r="M6478"/>
    </row>
    <row r="6479" spans="2:13" ht="15" x14ac:dyDescent="0.25">
      <c r="B6479"/>
      <c r="M6479"/>
    </row>
    <row r="6480" spans="2:13" ht="15" x14ac:dyDescent="0.25">
      <c r="B6480"/>
      <c r="M6480"/>
    </row>
    <row r="6481" spans="2:13" ht="15" x14ac:dyDescent="0.25">
      <c r="B6481"/>
      <c r="M6481"/>
    </row>
    <row r="6482" spans="2:13" ht="15" x14ac:dyDescent="0.25">
      <c r="B6482"/>
      <c r="M6482"/>
    </row>
    <row r="6483" spans="2:13" ht="15" x14ac:dyDescent="0.25">
      <c r="B6483"/>
      <c r="M6483"/>
    </row>
    <row r="6484" spans="2:13" ht="15" x14ac:dyDescent="0.25">
      <c r="B6484"/>
      <c r="M6484"/>
    </row>
    <row r="6485" spans="2:13" ht="15" x14ac:dyDescent="0.25">
      <c r="B6485"/>
      <c r="M6485"/>
    </row>
    <row r="6486" spans="2:13" ht="15" x14ac:dyDescent="0.25">
      <c r="B6486"/>
      <c r="M6486"/>
    </row>
    <row r="6487" spans="2:13" ht="15" x14ac:dyDescent="0.25">
      <c r="B6487"/>
      <c r="M6487"/>
    </row>
    <row r="6488" spans="2:13" ht="15" x14ac:dyDescent="0.25">
      <c r="B6488"/>
      <c r="M6488"/>
    </row>
    <row r="6489" spans="2:13" ht="15" x14ac:dyDescent="0.25">
      <c r="B6489"/>
      <c r="M6489"/>
    </row>
    <row r="6490" spans="2:13" ht="15" x14ac:dyDescent="0.25">
      <c r="B6490"/>
      <c r="M6490"/>
    </row>
    <row r="6491" spans="2:13" ht="15" x14ac:dyDescent="0.25">
      <c r="B6491"/>
      <c r="M6491"/>
    </row>
    <row r="6492" spans="2:13" ht="15" x14ac:dyDescent="0.25">
      <c r="B6492"/>
      <c r="M6492"/>
    </row>
    <row r="6493" spans="2:13" ht="15" x14ac:dyDescent="0.25">
      <c r="B6493"/>
      <c r="M6493"/>
    </row>
    <row r="6494" spans="2:13" ht="15" x14ac:dyDescent="0.25">
      <c r="B6494"/>
      <c r="M6494"/>
    </row>
    <row r="6495" spans="2:13" ht="15" x14ac:dyDescent="0.25">
      <c r="B6495"/>
      <c r="M6495"/>
    </row>
    <row r="6496" spans="2:13" ht="15" x14ac:dyDescent="0.25">
      <c r="B6496"/>
      <c r="M6496"/>
    </row>
    <row r="6497" spans="2:13" ht="15" x14ac:dyDescent="0.25">
      <c r="B6497"/>
      <c r="M6497"/>
    </row>
    <row r="6498" spans="2:13" ht="15" x14ac:dyDescent="0.25">
      <c r="B6498"/>
      <c r="M6498"/>
    </row>
    <row r="6499" spans="2:13" ht="15" x14ac:dyDescent="0.25">
      <c r="B6499"/>
      <c r="M6499"/>
    </row>
    <row r="6500" spans="2:13" ht="15" x14ac:dyDescent="0.25">
      <c r="B6500"/>
      <c r="M6500"/>
    </row>
    <row r="6501" spans="2:13" ht="15" x14ac:dyDescent="0.25">
      <c r="B6501"/>
      <c r="M6501"/>
    </row>
    <row r="6502" spans="2:13" ht="15" x14ac:dyDescent="0.25">
      <c r="B6502"/>
      <c r="M6502"/>
    </row>
    <row r="6503" spans="2:13" ht="15" x14ac:dyDescent="0.25">
      <c r="B6503"/>
      <c r="M6503"/>
    </row>
    <row r="6504" spans="2:13" ht="15" x14ac:dyDescent="0.25">
      <c r="B6504"/>
      <c r="M6504"/>
    </row>
    <row r="6505" spans="2:13" ht="15" x14ac:dyDescent="0.25">
      <c r="B6505"/>
      <c r="M6505"/>
    </row>
    <row r="6506" spans="2:13" ht="15" x14ac:dyDescent="0.25">
      <c r="B6506"/>
      <c r="M6506"/>
    </row>
    <row r="6507" spans="2:13" ht="15" x14ac:dyDescent="0.25">
      <c r="B6507"/>
      <c r="M6507"/>
    </row>
    <row r="6508" spans="2:13" ht="15" x14ac:dyDescent="0.25">
      <c r="B6508"/>
      <c r="M6508"/>
    </row>
    <row r="6509" spans="2:13" ht="15" x14ac:dyDescent="0.25">
      <c r="B6509"/>
      <c r="M6509"/>
    </row>
    <row r="6510" spans="2:13" ht="15" x14ac:dyDescent="0.25">
      <c r="B6510"/>
      <c r="M6510"/>
    </row>
    <row r="6511" spans="2:13" ht="15" x14ac:dyDescent="0.25">
      <c r="B6511"/>
      <c r="M6511"/>
    </row>
    <row r="6512" spans="2:13" ht="15" x14ac:dyDescent="0.25">
      <c r="B6512"/>
      <c r="M6512"/>
    </row>
    <row r="6513" spans="2:13" ht="15" x14ac:dyDescent="0.25">
      <c r="B6513"/>
      <c r="M6513"/>
    </row>
    <row r="6514" spans="2:13" ht="15" x14ac:dyDescent="0.25">
      <c r="B6514"/>
      <c r="M6514"/>
    </row>
    <row r="6515" spans="2:13" ht="15" x14ac:dyDescent="0.25">
      <c r="B6515"/>
      <c r="M6515"/>
    </row>
    <row r="6516" spans="2:13" ht="15" x14ac:dyDescent="0.25">
      <c r="B6516"/>
      <c r="M6516"/>
    </row>
    <row r="6517" spans="2:13" ht="15" x14ac:dyDescent="0.25">
      <c r="B6517"/>
      <c r="M6517"/>
    </row>
    <row r="6518" spans="2:13" ht="15" x14ac:dyDescent="0.25">
      <c r="B6518"/>
      <c r="M6518"/>
    </row>
    <row r="6519" spans="2:13" ht="15" x14ac:dyDescent="0.25">
      <c r="B6519"/>
      <c r="M6519"/>
    </row>
    <row r="6520" spans="2:13" ht="15" x14ac:dyDescent="0.25">
      <c r="B6520"/>
      <c r="M6520"/>
    </row>
    <row r="6521" spans="2:13" ht="15" x14ac:dyDescent="0.25">
      <c r="B6521"/>
      <c r="M6521"/>
    </row>
    <row r="6522" spans="2:13" ht="15" x14ac:dyDescent="0.25">
      <c r="B6522"/>
      <c r="M6522"/>
    </row>
    <row r="6523" spans="2:13" ht="15" x14ac:dyDescent="0.25">
      <c r="B6523"/>
      <c r="M6523"/>
    </row>
    <row r="6524" spans="2:13" ht="15" x14ac:dyDescent="0.25">
      <c r="B6524"/>
      <c r="M6524"/>
    </row>
    <row r="6525" spans="2:13" ht="15" x14ac:dyDescent="0.25">
      <c r="B6525"/>
      <c r="M6525"/>
    </row>
    <row r="6526" spans="2:13" ht="15" x14ac:dyDescent="0.25">
      <c r="B6526"/>
      <c r="M6526"/>
    </row>
    <row r="6527" spans="2:13" ht="15" x14ac:dyDescent="0.25">
      <c r="B6527"/>
      <c r="M6527"/>
    </row>
    <row r="6528" spans="2:13" ht="15" x14ac:dyDescent="0.25">
      <c r="B6528"/>
      <c r="M6528"/>
    </row>
    <row r="6529" spans="2:13" ht="15" x14ac:dyDescent="0.25">
      <c r="B6529"/>
      <c r="M6529"/>
    </row>
    <row r="6530" spans="2:13" ht="15" x14ac:dyDescent="0.25">
      <c r="B6530"/>
      <c r="M6530"/>
    </row>
    <row r="6531" spans="2:13" ht="15" x14ac:dyDescent="0.25">
      <c r="B6531"/>
      <c r="M6531"/>
    </row>
    <row r="6532" spans="2:13" ht="15" x14ac:dyDescent="0.25">
      <c r="B6532"/>
      <c r="M6532"/>
    </row>
    <row r="6533" spans="2:13" ht="15" x14ac:dyDescent="0.25">
      <c r="B6533"/>
      <c r="M6533"/>
    </row>
    <row r="6534" spans="2:13" ht="15" x14ac:dyDescent="0.25">
      <c r="B6534"/>
      <c r="M6534"/>
    </row>
    <row r="6535" spans="2:13" ht="15" x14ac:dyDescent="0.25">
      <c r="B6535"/>
      <c r="M6535"/>
    </row>
    <row r="6536" spans="2:13" ht="15" x14ac:dyDescent="0.25">
      <c r="B6536"/>
      <c r="M6536"/>
    </row>
    <row r="6537" spans="2:13" ht="15" x14ac:dyDescent="0.25">
      <c r="B6537"/>
      <c r="M6537"/>
    </row>
    <row r="6538" spans="2:13" ht="15" x14ac:dyDescent="0.25">
      <c r="B6538"/>
      <c r="M6538"/>
    </row>
    <row r="6539" spans="2:13" ht="15" x14ac:dyDescent="0.25">
      <c r="B6539"/>
      <c r="M6539"/>
    </row>
    <row r="6540" spans="2:13" ht="15" x14ac:dyDescent="0.25">
      <c r="B6540"/>
      <c r="M6540"/>
    </row>
    <row r="6541" spans="2:13" ht="15" x14ac:dyDescent="0.25">
      <c r="B6541"/>
      <c r="M6541"/>
    </row>
    <row r="6542" spans="2:13" ht="15" x14ac:dyDescent="0.25">
      <c r="B6542"/>
      <c r="M6542"/>
    </row>
    <row r="6543" spans="2:13" ht="15" x14ac:dyDescent="0.25">
      <c r="B6543"/>
      <c r="M6543"/>
    </row>
    <row r="6544" spans="2:13" ht="15" x14ac:dyDescent="0.25">
      <c r="B6544"/>
      <c r="M6544"/>
    </row>
    <row r="6545" spans="2:13" ht="15" x14ac:dyDescent="0.25">
      <c r="B6545"/>
      <c r="M6545"/>
    </row>
    <row r="6546" spans="2:13" ht="15" x14ac:dyDescent="0.25">
      <c r="B6546"/>
      <c r="M6546"/>
    </row>
    <row r="6547" spans="2:13" ht="15" x14ac:dyDescent="0.25">
      <c r="B6547"/>
      <c r="M6547"/>
    </row>
    <row r="6548" spans="2:13" ht="15" x14ac:dyDescent="0.25">
      <c r="B6548"/>
      <c r="M6548"/>
    </row>
    <row r="6549" spans="2:13" ht="15" x14ac:dyDescent="0.25">
      <c r="B6549"/>
      <c r="M6549"/>
    </row>
    <row r="6550" spans="2:13" ht="15" x14ac:dyDescent="0.25">
      <c r="B6550"/>
      <c r="M6550"/>
    </row>
    <row r="6551" spans="2:13" ht="15" x14ac:dyDescent="0.25">
      <c r="B6551"/>
      <c r="M6551"/>
    </row>
    <row r="6552" spans="2:13" ht="15" x14ac:dyDescent="0.25">
      <c r="B6552"/>
      <c r="M6552"/>
    </row>
    <row r="6553" spans="2:13" ht="15" x14ac:dyDescent="0.25">
      <c r="B6553"/>
      <c r="M6553"/>
    </row>
    <row r="6554" spans="2:13" ht="15" x14ac:dyDescent="0.25">
      <c r="B6554"/>
      <c r="M6554"/>
    </row>
    <row r="6555" spans="2:13" ht="15" x14ac:dyDescent="0.25">
      <c r="B6555"/>
      <c r="M6555"/>
    </row>
    <row r="6556" spans="2:13" ht="15" x14ac:dyDescent="0.25">
      <c r="B6556"/>
      <c r="M6556"/>
    </row>
    <row r="6557" spans="2:13" ht="15" x14ac:dyDescent="0.25">
      <c r="B6557"/>
      <c r="M6557"/>
    </row>
    <row r="6558" spans="2:13" ht="15" x14ac:dyDescent="0.25">
      <c r="B6558"/>
      <c r="M6558"/>
    </row>
    <row r="6559" spans="2:13" ht="15" x14ac:dyDescent="0.25">
      <c r="B6559"/>
      <c r="M6559"/>
    </row>
    <row r="6560" spans="2:13" ht="15" x14ac:dyDescent="0.25">
      <c r="B6560"/>
      <c r="M6560"/>
    </row>
    <row r="6561" spans="2:13" ht="15" x14ac:dyDescent="0.25">
      <c r="B6561"/>
      <c r="M6561"/>
    </row>
    <row r="6562" spans="2:13" ht="15" x14ac:dyDescent="0.25">
      <c r="B6562"/>
      <c r="M6562"/>
    </row>
    <row r="6563" spans="2:13" ht="15" x14ac:dyDescent="0.25">
      <c r="B6563"/>
      <c r="M6563"/>
    </row>
    <row r="6564" spans="2:13" ht="15" x14ac:dyDescent="0.25">
      <c r="B6564"/>
      <c r="M6564"/>
    </row>
    <row r="6565" spans="2:13" ht="15" x14ac:dyDescent="0.25">
      <c r="B6565"/>
      <c r="M6565"/>
    </row>
    <row r="6566" spans="2:13" ht="15" x14ac:dyDescent="0.25">
      <c r="B6566"/>
      <c r="M6566"/>
    </row>
    <row r="6567" spans="2:13" ht="15" x14ac:dyDescent="0.25">
      <c r="B6567"/>
      <c r="M6567"/>
    </row>
    <row r="6568" spans="2:13" ht="15" x14ac:dyDescent="0.25">
      <c r="B6568"/>
      <c r="M6568"/>
    </row>
    <row r="6569" spans="2:13" ht="15" x14ac:dyDescent="0.25">
      <c r="B6569"/>
      <c r="M6569"/>
    </row>
    <row r="6570" spans="2:13" ht="15" x14ac:dyDescent="0.25">
      <c r="B6570"/>
      <c r="M6570"/>
    </row>
    <row r="6571" spans="2:13" ht="15" x14ac:dyDescent="0.25">
      <c r="B6571"/>
      <c r="M6571"/>
    </row>
    <row r="6572" spans="2:13" ht="15" x14ac:dyDescent="0.25">
      <c r="B6572"/>
      <c r="M6572"/>
    </row>
    <row r="6573" spans="2:13" ht="15" x14ac:dyDescent="0.25">
      <c r="B6573"/>
      <c r="M6573"/>
    </row>
    <row r="6574" spans="2:13" ht="15" x14ac:dyDescent="0.25">
      <c r="B6574"/>
      <c r="M6574"/>
    </row>
    <row r="6575" spans="2:13" ht="15" x14ac:dyDescent="0.25">
      <c r="B6575"/>
      <c r="M6575"/>
    </row>
    <row r="6576" spans="2:13" ht="15" x14ac:dyDescent="0.25">
      <c r="B6576"/>
      <c r="M6576"/>
    </row>
    <row r="6577" spans="2:13" ht="15" x14ac:dyDescent="0.25">
      <c r="B6577"/>
      <c r="M6577"/>
    </row>
    <row r="6578" spans="2:13" ht="15" x14ac:dyDescent="0.25">
      <c r="B6578"/>
      <c r="M6578"/>
    </row>
    <row r="6579" spans="2:13" ht="15" x14ac:dyDescent="0.25">
      <c r="B6579"/>
      <c r="M6579"/>
    </row>
    <row r="6580" spans="2:13" ht="15" x14ac:dyDescent="0.25">
      <c r="B6580"/>
      <c r="M6580"/>
    </row>
    <row r="6581" spans="2:13" ht="15" x14ac:dyDescent="0.25">
      <c r="B6581"/>
      <c r="M6581"/>
    </row>
    <row r="6582" spans="2:13" ht="15" x14ac:dyDescent="0.25">
      <c r="B6582"/>
      <c r="M6582"/>
    </row>
    <row r="6583" spans="2:13" ht="15" x14ac:dyDescent="0.25">
      <c r="B6583"/>
      <c r="M6583"/>
    </row>
    <row r="6584" spans="2:13" ht="15" x14ac:dyDescent="0.25">
      <c r="B6584"/>
      <c r="M6584"/>
    </row>
    <row r="6585" spans="2:13" ht="15" x14ac:dyDescent="0.25">
      <c r="B6585"/>
      <c r="M6585"/>
    </row>
    <row r="6586" spans="2:13" ht="15" x14ac:dyDescent="0.25">
      <c r="B6586"/>
      <c r="M6586"/>
    </row>
    <row r="6587" spans="2:13" ht="15" x14ac:dyDescent="0.25">
      <c r="B6587"/>
      <c r="M6587"/>
    </row>
    <row r="6588" spans="2:13" ht="15" x14ac:dyDescent="0.25">
      <c r="B6588"/>
      <c r="M6588"/>
    </row>
    <row r="6589" spans="2:13" ht="15" x14ac:dyDescent="0.25">
      <c r="B6589"/>
      <c r="M6589"/>
    </row>
    <row r="6590" spans="2:13" ht="15" x14ac:dyDescent="0.25">
      <c r="B6590"/>
      <c r="M6590"/>
    </row>
    <row r="6591" spans="2:13" ht="15" x14ac:dyDescent="0.25">
      <c r="B6591"/>
      <c r="M6591"/>
    </row>
    <row r="6592" spans="2:13" ht="15" x14ac:dyDescent="0.25">
      <c r="B6592"/>
      <c r="M6592"/>
    </row>
    <row r="6593" spans="2:13" ht="15" x14ac:dyDescent="0.25">
      <c r="B6593"/>
      <c r="M6593"/>
    </row>
    <row r="6594" spans="2:13" ht="15" x14ac:dyDescent="0.25">
      <c r="B6594"/>
      <c r="M6594"/>
    </row>
    <row r="6595" spans="2:13" ht="15" x14ac:dyDescent="0.25">
      <c r="B6595"/>
      <c r="M6595"/>
    </row>
    <row r="6596" spans="2:13" ht="15" x14ac:dyDescent="0.25">
      <c r="B6596"/>
      <c r="M6596"/>
    </row>
    <row r="6597" spans="2:13" ht="15" x14ac:dyDescent="0.25">
      <c r="B6597"/>
      <c r="M6597"/>
    </row>
    <row r="6598" spans="2:13" ht="15" x14ac:dyDescent="0.25">
      <c r="B6598"/>
      <c r="M6598"/>
    </row>
    <row r="6599" spans="2:13" ht="15" x14ac:dyDescent="0.25">
      <c r="B6599"/>
      <c r="M6599"/>
    </row>
    <row r="6600" spans="2:13" ht="15" x14ac:dyDescent="0.25">
      <c r="B6600"/>
      <c r="M6600"/>
    </row>
    <row r="6601" spans="2:13" ht="15" x14ac:dyDescent="0.25">
      <c r="B6601"/>
      <c r="M6601"/>
    </row>
    <row r="6602" spans="2:13" ht="15" x14ac:dyDescent="0.25">
      <c r="B6602"/>
      <c r="M6602"/>
    </row>
    <row r="6603" spans="2:13" ht="15" x14ac:dyDescent="0.25">
      <c r="B6603"/>
      <c r="M6603"/>
    </row>
    <row r="6604" spans="2:13" ht="15" x14ac:dyDescent="0.25">
      <c r="B6604"/>
      <c r="M6604"/>
    </row>
    <row r="6605" spans="2:13" ht="15" x14ac:dyDescent="0.25">
      <c r="B6605"/>
      <c r="M6605"/>
    </row>
    <row r="6606" spans="2:13" ht="15" x14ac:dyDescent="0.25">
      <c r="B6606"/>
      <c r="M6606"/>
    </row>
    <row r="6607" spans="2:13" ht="15" x14ac:dyDescent="0.25">
      <c r="B6607"/>
      <c r="M6607"/>
    </row>
    <row r="6608" spans="2:13" ht="15" x14ac:dyDescent="0.25">
      <c r="B6608"/>
      <c r="M6608"/>
    </row>
    <row r="6609" spans="2:13" ht="15" x14ac:dyDescent="0.25">
      <c r="B6609"/>
      <c r="M6609"/>
    </row>
    <row r="6610" spans="2:13" ht="15" x14ac:dyDescent="0.25">
      <c r="B6610"/>
      <c r="M6610"/>
    </row>
    <row r="6611" spans="2:13" ht="15" x14ac:dyDescent="0.25">
      <c r="B6611"/>
      <c r="M6611"/>
    </row>
    <row r="6612" spans="2:13" ht="15" x14ac:dyDescent="0.25">
      <c r="B6612"/>
      <c r="M6612"/>
    </row>
    <row r="6613" spans="2:13" ht="15" x14ac:dyDescent="0.25">
      <c r="B6613"/>
      <c r="M6613"/>
    </row>
    <row r="6614" spans="2:13" ht="15" x14ac:dyDescent="0.25">
      <c r="B6614"/>
      <c r="M6614"/>
    </row>
    <row r="6615" spans="2:13" ht="15" x14ac:dyDescent="0.25">
      <c r="B6615"/>
      <c r="M6615"/>
    </row>
    <row r="6616" spans="2:13" ht="15" x14ac:dyDescent="0.25">
      <c r="B6616"/>
      <c r="M6616"/>
    </row>
    <row r="6617" spans="2:13" ht="15" x14ac:dyDescent="0.25">
      <c r="B6617"/>
      <c r="M6617"/>
    </row>
    <row r="6618" spans="2:13" ht="15" x14ac:dyDescent="0.25">
      <c r="B6618"/>
      <c r="M6618"/>
    </row>
    <row r="6619" spans="2:13" ht="15" x14ac:dyDescent="0.25">
      <c r="B6619"/>
      <c r="M6619"/>
    </row>
    <row r="6620" spans="2:13" ht="15" x14ac:dyDescent="0.25">
      <c r="B6620"/>
      <c r="M6620"/>
    </row>
    <row r="6621" spans="2:13" ht="15" x14ac:dyDescent="0.25">
      <c r="B6621"/>
      <c r="M6621"/>
    </row>
    <row r="6622" spans="2:13" ht="15" x14ac:dyDescent="0.25">
      <c r="B6622"/>
      <c r="M6622"/>
    </row>
    <row r="6623" spans="2:13" ht="15" x14ac:dyDescent="0.25">
      <c r="B6623"/>
      <c r="M6623"/>
    </row>
    <row r="6624" spans="2:13" ht="15" x14ac:dyDescent="0.25">
      <c r="B6624"/>
      <c r="M6624"/>
    </row>
    <row r="6625" spans="2:13" ht="15" x14ac:dyDescent="0.25">
      <c r="B6625"/>
      <c r="M6625"/>
    </row>
    <row r="6626" spans="2:13" ht="15" x14ac:dyDescent="0.25">
      <c r="B6626"/>
      <c r="M6626"/>
    </row>
    <row r="6627" spans="2:13" ht="15" x14ac:dyDescent="0.25">
      <c r="B6627"/>
      <c r="M6627"/>
    </row>
    <row r="6628" spans="2:13" ht="15" x14ac:dyDescent="0.25">
      <c r="B6628"/>
      <c r="M6628"/>
    </row>
    <row r="6629" spans="2:13" ht="15" x14ac:dyDescent="0.25">
      <c r="B6629"/>
      <c r="M6629"/>
    </row>
    <row r="6630" spans="2:13" ht="15" x14ac:dyDescent="0.25">
      <c r="B6630"/>
      <c r="M6630"/>
    </row>
    <row r="6631" spans="2:13" ht="15" x14ac:dyDescent="0.25">
      <c r="B6631"/>
      <c r="M6631"/>
    </row>
    <row r="6632" spans="2:13" ht="15" x14ac:dyDescent="0.25">
      <c r="B6632"/>
      <c r="M6632"/>
    </row>
    <row r="6633" spans="2:13" ht="15" x14ac:dyDescent="0.25">
      <c r="B6633"/>
      <c r="M6633"/>
    </row>
    <row r="6634" spans="2:13" ht="15" x14ac:dyDescent="0.25">
      <c r="B6634"/>
      <c r="M6634"/>
    </row>
    <row r="6635" spans="2:13" ht="15" x14ac:dyDescent="0.25">
      <c r="B6635"/>
      <c r="M6635"/>
    </row>
    <row r="6636" spans="2:13" ht="15" x14ac:dyDescent="0.25">
      <c r="B6636"/>
      <c r="M6636"/>
    </row>
    <row r="6637" spans="2:13" ht="15" x14ac:dyDescent="0.25">
      <c r="B6637"/>
      <c r="M6637"/>
    </row>
    <row r="6638" spans="2:13" ht="15" x14ac:dyDescent="0.25">
      <c r="B6638"/>
      <c r="M6638"/>
    </row>
    <row r="6639" spans="2:13" ht="15" x14ac:dyDescent="0.25">
      <c r="B6639"/>
      <c r="M6639"/>
    </row>
    <row r="6640" spans="2:13" ht="15" x14ac:dyDescent="0.25">
      <c r="B6640"/>
      <c r="M6640"/>
    </row>
    <row r="6641" spans="2:13" ht="15" x14ac:dyDescent="0.25">
      <c r="B6641"/>
      <c r="M6641"/>
    </row>
    <row r="6642" spans="2:13" ht="15" x14ac:dyDescent="0.25">
      <c r="B6642"/>
      <c r="M6642"/>
    </row>
    <row r="6643" spans="2:13" ht="15" x14ac:dyDescent="0.25">
      <c r="B6643"/>
      <c r="M6643"/>
    </row>
    <row r="6644" spans="2:13" ht="15" x14ac:dyDescent="0.25">
      <c r="B6644"/>
      <c r="M6644"/>
    </row>
    <row r="6645" spans="2:13" ht="15" x14ac:dyDescent="0.25">
      <c r="B6645"/>
      <c r="M6645"/>
    </row>
    <row r="6646" spans="2:13" ht="15" x14ac:dyDescent="0.25">
      <c r="B6646"/>
      <c r="M6646"/>
    </row>
    <row r="6647" spans="2:13" ht="15" x14ac:dyDescent="0.25">
      <c r="B6647"/>
      <c r="M6647"/>
    </row>
    <row r="6648" spans="2:13" ht="15" x14ac:dyDescent="0.25">
      <c r="B6648"/>
      <c r="M6648"/>
    </row>
    <row r="6649" spans="2:13" ht="15" x14ac:dyDescent="0.25">
      <c r="B6649"/>
      <c r="M6649"/>
    </row>
    <row r="6650" spans="2:13" ht="15" x14ac:dyDescent="0.25">
      <c r="B6650"/>
      <c r="M6650"/>
    </row>
    <row r="6651" spans="2:13" ht="15" x14ac:dyDescent="0.25">
      <c r="B6651"/>
      <c r="M6651"/>
    </row>
    <row r="6652" spans="2:13" ht="15" x14ac:dyDescent="0.25">
      <c r="B6652"/>
      <c r="M6652"/>
    </row>
    <row r="6653" spans="2:13" ht="15" x14ac:dyDescent="0.25">
      <c r="B6653"/>
      <c r="M6653"/>
    </row>
    <row r="6654" spans="2:13" ht="15" x14ac:dyDescent="0.25">
      <c r="B6654"/>
      <c r="M6654"/>
    </row>
    <row r="6655" spans="2:13" ht="15" x14ac:dyDescent="0.25">
      <c r="B6655"/>
      <c r="M6655"/>
    </row>
    <row r="6656" spans="2:13" ht="15" x14ac:dyDescent="0.25">
      <c r="B6656"/>
      <c r="M6656"/>
    </row>
    <row r="6657" spans="2:13" ht="15" x14ac:dyDescent="0.25">
      <c r="B6657"/>
      <c r="M6657"/>
    </row>
    <row r="6658" spans="2:13" ht="15" x14ac:dyDescent="0.25">
      <c r="B6658"/>
      <c r="M6658"/>
    </row>
    <row r="6659" spans="2:13" ht="15" x14ac:dyDescent="0.25">
      <c r="B6659"/>
      <c r="M6659"/>
    </row>
    <row r="6660" spans="2:13" ht="15" x14ac:dyDescent="0.25">
      <c r="B6660"/>
      <c r="M6660"/>
    </row>
    <row r="6661" spans="2:13" ht="15" x14ac:dyDescent="0.25">
      <c r="B6661"/>
      <c r="M6661"/>
    </row>
    <row r="6662" spans="2:13" ht="15" x14ac:dyDescent="0.25">
      <c r="B6662"/>
      <c r="M6662"/>
    </row>
    <row r="6663" spans="2:13" ht="15" x14ac:dyDescent="0.25">
      <c r="B6663"/>
      <c r="M6663"/>
    </row>
    <row r="6664" spans="2:13" ht="15" x14ac:dyDescent="0.25">
      <c r="B6664"/>
      <c r="M6664"/>
    </row>
    <row r="6665" spans="2:13" ht="15" x14ac:dyDescent="0.25">
      <c r="B6665"/>
      <c r="M6665"/>
    </row>
    <row r="6666" spans="2:13" ht="15" x14ac:dyDescent="0.25">
      <c r="B6666"/>
      <c r="M6666"/>
    </row>
    <row r="6667" spans="2:13" ht="15" x14ac:dyDescent="0.25">
      <c r="B6667"/>
      <c r="M6667"/>
    </row>
    <row r="6668" spans="2:13" ht="15" x14ac:dyDescent="0.25">
      <c r="B6668"/>
      <c r="M6668"/>
    </row>
    <row r="6669" spans="2:13" ht="15" x14ac:dyDescent="0.25">
      <c r="B6669"/>
      <c r="M6669"/>
    </row>
    <row r="6670" spans="2:13" ht="15" x14ac:dyDescent="0.25">
      <c r="B6670"/>
      <c r="M6670"/>
    </row>
    <row r="6671" spans="2:13" ht="15" x14ac:dyDescent="0.25">
      <c r="B6671"/>
      <c r="M6671"/>
    </row>
    <row r="6672" spans="2:13" ht="15" x14ac:dyDescent="0.25">
      <c r="B6672"/>
      <c r="M6672"/>
    </row>
    <row r="6673" spans="2:13" ht="15" x14ac:dyDescent="0.25">
      <c r="B6673"/>
      <c r="M6673"/>
    </row>
    <row r="6674" spans="2:13" ht="15" x14ac:dyDescent="0.25">
      <c r="B6674"/>
      <c r="M6674"/>
    </row>
    <row r="6675" spans="2:13" ht="15" x14ac:dyDescent="0.25">
      <c r="B6675"/>
      <c r="M6675"/>
    </row>
    <row r="6676" spans="2:13" ht="15" x14ac:dyDescent="0.25">
      <c r="B6676"/>
      <c r="M6676"/>
    </row>
    <row r="6677" spans="2:13" ht="15" x14ac:dyDescent="0.25">
      <c r="B6677"/>
      <c r="M6677"/>
    </row>
    <row r="6678" spans="2:13" ht="15" x14ac:dyDescent="0.25">
      <c r="B6678"/>
      <c r="M6678"/>
    </row>
    <row r="6679" spans="2:13" ht="15" x14ac:dyDescent="0.25">
      <c r="B6679"/>
      <c r="M6679"/>
    </row>
    <row r="6680" spans="2:13" ht="15" x14ac:dyDescent="0.25">
      <c r="B6680"/>
      <c r="M6680"/>
    </row>
    <row r="6681" spans="2:13" ht="15" x14ac:dyDescent="0.25">
      <c r="B6681"/>
      <c r="M6681"/>
    </row>
    <row r="6682" spans="2:13" ht="15" x14ac:dyDescent="0.25">
      <c r="B6682"/>
      <c r="M6682"/>
    </row>
    <row r="6683" spans="2:13" ht="15" x14ac:dyDescent="0.25">
      <c r="B6683"/>
      <c r="M6683"/>
    </row>
    <row r="6684" spans="2:13" ht="15" x14ac:dyDescent="0.25">
      <c r="B6684"/>
      <c r="M6684"/>
    </row>
    <row r="6685" spans="2:13" ht="15" x14ac:dyDescent="0.25">
      <c r="B6685"/>
      <c r="M6685"/>
    </row>
    <row r="6686" spans="2:13" ht="15" x14ac:dyDescent="0.25">
      <c r="B6686"/>
      <c r="M6686"/>
    </row>
    <row r="6687" spans="2:13" ht="15" x14ac:dyDescent="0.25">
      <c r="B6687"/>
      <c r="M6687"/>
    </row>
    <row r="6688" spans="2:13" ht="15" x14ac:dyDescent="0.25">
      <c r="B6688"/>
      <c r="M6688"/>
    </row>
    <row r="6689" spans="2:13" ht="15" x14ac:dyDescent="0.25">
      <c r="B6689"/>
      <c r="M6689"/>
    </row>
    <row r="6690" spans="2:13" ht="15" x14ac:dyDescent="0.25">
      <c r="B6690"/>
      <c r="M6690"/>
    </row>
    <row r="6691" spans="2:13" ht="15" x14ac:dyDescent="0.25">
      <c r="B6691"/>
      <c r="M6691"/>
    </row>
    <row r="6692" spans="2:13" ht="15" x14ac:dyDescent="0.25">
      <c r="B6692"/>
      <c r="M6692"/>
    </row>
    <row r="6693" spans="2:13" ht="15" x14ac:dyDescent="0.25">
      <c r="B6693"/>
      <c r="M6693"/>
    </row>
    <row r="6694" spans="2:13" ht="15" x14ac:dyDescent="0.25">
      <c r="B6694"/>
      <c r="M6694"/>
    </row>
    <row r="6695" spans="2:13" ht="15" x14ac:dyDescent="0.25">
      <c r="B6695"/>
      <c r="M6695"/>
    </row>
    <row r="6696" spans="2:13" ht="15" x14ac:dyDescent="0.25">
      <c r="B6696"/>
      <c r="M6696"/>
    </row>
    <row r="6697" spans="2:13" ht="15" x14ac:dyDescent="0.25">
      <c r="B6697"/>
      <c r="M6697"/>
    </row>
    <row r="6698" spans="2:13" ht="15" x14ac:dyDescent="0.25">
      <c r="B6698"/>
      <c r="M6698"/>
    </row>
    <row r="6699" spans="2:13" ht="15" x14ac:dyDescent="0.25">
      <c r="B6699"/>
      <c r="M6699"/>
    </row>
    <row r="6700" spans="2:13" ht="15" x14ac:dyDescent="0.25">
      <c r="B6700"/>
      <c r="M6700"/>
    </row>
    <row r="6701" spans="2:13" ht="15" x14ac:dyDescent="0.25">
      <c r="B6701"/>
      <c r="M6701"/>
    </row>
    <row r="6702" spans="2:13" ht="15" x14ac:dyDescent="0.25">
      <c r="B6702"/>
      <c r="M6702"/>
    </row>
    <row r="6703" spans="2:13" ht="15" x14ac:dyDescent="0.25">
      <c r="B6703"/>
      <c r="M6703"/>
    </row>
    <row r="6704" spans="2:13" ht="15" x14ac:dyDescent="0.25">
      <c r="B6704"/>
      <c r="M6704"/>
    </row>
    <row r="6705" spans="2:13" ht="15" x14ac:dyDescent="0.25">
      <c r="B6705"/>
      <c r="M6705"/>
    </row>
    <row r="6706" spans="2:13" ht="15" x14ac:dyDescent="0.25">
      <c r="B6706"/>
      <c r="M6706"/>
    </row>
    <row r="6707" spans="2:13" ht="15" x14ac:dyDescent="0.25">
      <c r="B6707"/>
      <c r="M6707"/>
    </row>
    <row r="6708" spans="2:13" ht="15" x14ac:dyDescent="0.25">
      <c r="B6708"/>
      <c r="M6708"/>
    </row>
    <row r="6709" spans="2:13" ht="15" x14ac:dyDescent="0.25">
      <c r="B6709"/>
      <c r="M6709"/>
    </row>
    <row r="6710" spans="2:13" ht="15" x14ac:dyDescent="0.25">
      <c r="B6710"/>
      <c r="M6710"/>
    </row>
    <row r="6711" spans="2:13" ht="15" x14ac:dyDescent="0.25">
      <c r="B6711"/>
      <c r="M6711"/>
    </row>
    <row r="6712" spans="2:13" ht="15" x14ac:dyDescent="0.25">
      <c r="B6712"/>
      <c r="M6712"/>
    </row>
    <row r="6713" spans="2:13" ht="15" x14ac:dyDescent="0.25">
      <c r="B6713"/>
      <c r="M6713"/>
    </row>
    <row r="6714" spans="2:13" ht="15" x14ac:dyDescent="0.25">
      <c r="B6714"/>
      <c r="M6714"/>
    </row>
    <row r="6715" spans="2:13" ht="15" x14ac:dyDescent="0.25">
      <c r="B6715"/>
      <c r="M6715"/>
    </row>
    <row r="6716" spans="2:13" ht="15" x14ac:dyDescent="0.25">
      <c r="B6716"/>
      <c r="M6716"/>
    </row>
    <row r="6717" spans="2:13" ht="15" x14ac:dyDescent="0.25">
      <c r="B6717"/>
      <c r="M6717"/>
    </row>
    <row r="6718" spans="2:13" ht="15" x14ac:dyDescent="0.25">
      <c r="B6718"/>
      <c r="M6718"/>
    </row>
    <row r="6719" spans="2:13" ht="15" x14ac:dyDescent="0.25">
      <c r="B6719"/>
      <c r="M6719"/>
    </row>
    <row r="6720" spans="2:13" ht="15" x14ac:dyDescent="0.25">
      <c r="B6720"/>
      <c r="M6720"/>
    </row>
    <row r="6721" spans="2:13" ht="15" x14ac:dyDescent="0.25">
      <c r="B6721"/>
      <c r="M6721"/>
    </row>
    <row r="6722" spans="2:13" ht="15" x14ac:dyDescent="0.25">
      <c r="B6722"/>
      <c r="M6722"/>
    </row>
    <row r="6723" spans="2:13" ht="15" x14ac:dyDescent="0.25">
      <c r="B6723"/>
      <c r="M6723"/>
    </row>
    <row r="6724" spans="2:13" ht="15" x14ac:dyDescent="0.25">
      <c r="B6724"/>
      <c r="M6724"/>
    </row>
    <row r="6725" spans="2:13" ht="15" x14ac:dyDescent="0.25">
      <c r="B6725"/>
      <c r="M6725"/>
    </row>
    <row r="6726" spans="2:13" ht="15" x14ac:dyDescent="0.25">
      <c r="B6726"/>
      <c r="M6726"/>
    </row>
    <row r="6727" spans="2:13" ht="15" x14ac:dyDescent="0.25">
      <c r="B6727"/>
      <c r="M6727"/>
    </row>
    <row r="6728" spans="2:13" ht="15" x14ac:dyDescent="0.25">
      <c r="B6728"/>
      <c r="M6728"/>
    </row>
    <row r="6729" spans="2:13" ht="15" x14ac:dyDescent="0.25">
      <c r="B6729"/>
      <c r="M6729"/>
    </row>
    <row r="6730" spans="2:13" ht="15" x14ac:dyDescent="0.25">
      <c r="B6730"/>
      <c r="M6730"/>
    </row>
    <row r="6731" spans="2:13" ht="15" x14ac:dyDescent="0.25">
      <c r="B6731"/>
      <c r="M6731"/>
    </row>
    <row r="6732" spans="2:13" ht="15" x14ac:dyDescent="0.25">
      <c r="B6732"/>
      <c r="M6732"/>
    </row>
    <row r="6733" spans="2:13" ht="15" x14ac:dyDescent="0.25">
      <c r="B6733"/>
      <c r="M6733"/>
    </row>
    <row r="6734" spans="2:13" ht="15" x14ac:dyDescent="0.25">
      <c r="B6734"/>
      <c r="M6734"/>
    </row>
    <row r="6735" spans="2:13" ht="15" x14ac:dyDescent="0.25">
      <c r="B6735"/>
      <c r="M6735"/>
    </row>
    <row r="6736" spans="2:13" ht="15" x14ac:dyDescent="0.25">
      <c r="B6736"/>
      <c r="M6736"/>
    </row>
    <row r="6737" spans="2:13" ht="15" x14ac:dyDescent="0.25">
      <c r="B6737"/>
      <c r="M6737"/>
    </row>
    <row r="6738" spans="2:13" ht="15" x14ac:dyDescent="0.25">
      <c r="B6738"/>
      <c r="M6738"/>
    </row>
    <row r="6739" spans="2:13" ht="15" x14ac:dyDescent="0.25">
      <c r="B6739"/>
      <c r="M6739"/>
    </row>
    <row r="6740" spans="2:13" ht="15" x14ac:dyDescent="0.25">
      <c r="B6740"/>
      <c r="M6740"/>
    </row>
    <row r="6741" spans="2:13" ht="15" x14ac:dyDescent="0.25">
      <c r="B6741"/>
      <c r="M6741"/>
    </row>
    <row r="6742" spans="2:13" ht="15" x14ac:dyDescent="0.25">
      <c r="B6742"/>
      <c r="M6742"/>
    </row>
    <row r="6743" spans="2:13" ht="15" x14ac:dyDescent="0.25">
      <c r="B6743"/>
      <c r="M6743"/>
    </row>
    <row r="6744" spans="2:13" ht="15" x14ac:dyDescent="0.25">
      <c r="B6744"/>
      <c r="M6744"/>
    </row>
    <row r="6745" spans="2:13" ht="15" x14ac:dyDescent="0.25">
      <c r="B6745"/>
      <c r="M6745"/>
    </row>
    <row r="6746" spans="2:13" ht="15" x14ac:dyDescent="0.25">
      <c r="B6746"/>
      <c r="M6746"/>
    </row>
    <row r="6747" spans="2:13" ht="15" x14ac:dyDescent="0.25">
      <c r="B6747"/>
      <c r="M6747"/>
    </row>
    <row r="6748" spans="2:13" ht="15" x14ac:dyDescent="0.25">
      <c r="B6748"/>
      <c r="M6748"/>
    </row>
    <row r="6749" spans="2:13" ht="15" x14ac:dyDescent="0.25">
      <c r="B6749"/>
      <c r="M6749"/>
    </row>
    <row r="6750" spans="2:13" ht="15" x14ac:dyDescent="0.25">
      <c r="B6750"/>
      <c r="M6750"/>
    </row>
    <row r="6751" spans="2:13" ht="15" x14ac:dyDescent="0.25">
      <c r="B6751"/>
      <c r="M6751"/>
    </row>
    <row r="6752" spans="2:13" ht="15" x14ac:dyDescent="0.25">
      <c r="B6752"/>
      <c r="M6752"/>
    </row>
    <row r="6753" spans="2:13" ht="15" x14ac:dyDescent="0.25">
      <c r="B6753"/>
      <c r="M6753"/>
    </row>
    <row r="6754" spans="2:13" ht="15" x14ac:dyDescent="0.25">
      <c r="B6754"/>
      <c r="M6754"/>
    </row>
    <row r="6755" spans="2:13" ht="15" x14ac:dyDescent="0.25">
      <c r="B6755"/>
      <c r="M6755"/>
    </row>
    <row r="6756" spans="2:13" ht="15" x14ac:dyDescent="0.25">
      <c r="B6756"/>
      <c r="M6756"/>
    </row>
    <row r="6757" spans="2:13" ht="15" x14ac:dyDescent="0.25">
      <c r="B6757"/>
      <c r="M6757"/>
    </row>
    <row r="6758" spans="2:13" ht="15" x14ac:dyDescent="0.25">
      <c r="B6758"/>
      <c r="M6758"/>
    </row>
    <row r="6759" spans="2:13" ht="15" x14ac:dyDescent="0.25">
      <c r="B6759"/>
      <c r="M6759"/>
    </row>
    <row r="6760" spans="2:13" ht="15" x14ac:dyDescent="0.25">
      <c r="B6760"/>
      <c r="M6760"/>
    </row>
    <row r="6761" spans="2:13" ht="15" x14ac:dyDescent="0.25">
      <c r="B6761"/>
      <c r="M6761"/>
    </row>
    <row r="6762" spans="2:13" ht="15" x14ac:dyDescent="0.25">
      <c r="B6762"/>
      <c r="M6762"/>
    </row>
    <row r="6763" spans="2:13" ht="15" x14ac:dyDescent="0.25">
      <c r="B6763"/>
      <c r="M6763"/>
    </row>
    <row r="6764" spans="2:13" ht="15" x14ac:dyDescent="0.25">
      <c r="B6764"/>
      <c r="M6764"/>
    </row>
    <row r="6765" spans="2:13" ht="15" x14ac:dyDescent="0.25">
      <c r="B6765"/>
      <c r="M6765"/>
    </row>
    <row r="6766" spans="2:13" ht="15" x14ac:dyDescent="0.25">
      <c r="B6766"/>
      <c r="M6766"/>
    </row>
    <row r="6767" spans="2:13" ht="15" x14ac:dyDescent="0.25">
      <c r="B6767"/>
      <c r="M6767"/>
    </row>
    <row r="6768" spans="2:13" ht="15" x14ac:dyDescent="0.25">
      <c r="B6768"/>
      <c r="M6768"/>
    </row>
    <row r="6769" spans="2:13" ht="15" x14ac:dyDescent="0.25">
      <c r="B6769"/>
      <c r="M6769"/>
    </row>
    <row r="6770" spans="2:13" ht="15" x14ac:dyDescent="0.25">
      <c r="B6770"/>
      <c r="M6770"/>
    </row>
    <row r="6771" spans="2:13" ht="15" x14ac:dyDescent="0.25">
      <c r="B6771"/>
      <c r="M6771"/>
    </row>
    <row r="6772" spans="2:13" ht="15" x14ac:dyDescent="0.25">
      <c r="B6772"/>
      <c r="M6772"/>
    </row>
    <row r="6773" spans="2:13" ht="15" x14ac:dyDescent="0.25">
      <c r="B6773"/>
      <c r="M6773"/>
    </row>
    <row r="6774" spans="2:13" ht="15" x14ac:dyDescent="0.25">
      <c r="B6774"/>
      <c r="M6774"/>
    </row>
    <row r="6775" spans="2:13" ht="15" x14ac:dyDescent="0.25">
      <c r="B6775"/>
      <c r="M6775"/>
    </row>
    <row r="6776" spans="2:13" ht="15" x14ac:dyDescent="0.25">
      <c r="B6776"/>
      <c r="M6776"/>
    </row>
    <row r="6777" spans="2:13" ht="15" x14ac:dyDescent="0.25">
      <c r="B6777"/>
      <c r="M6777"/>
    </row>
    <row r="6778" spans="2:13" ht="15" x14ac:dyDescent="0.25">
      <c r="B6778"/>
      <c r="M6778"/>
    </row>
    <row r="6779" spans="2:13" ht="15" x14ac:dyDescent="0.25">
      <c r="B6779"/>
      <c r="M6779"/>
    </row>
    <row r="6780" spans="2:13" ht="15" x14ac:dyDescent="0.25">
      <c r="B6780"/>
      <c r="M6780"/>
    </row>
    <row r="6781" spans="2:13" ht="15" x14ac:dyDescent="0.25">
      <c r="B6781"/>
      <c r="M6781"/>
    </row>
    <row r="6782" spans="2:13" ht="15" x14ac:dyDescent="0.25">
      <c r="B6782"/>
      <c r="M6782"/>
    </row>
    <row r="6783" spans="2:13" ht="15" x14ac:dyDescent="0.25">
      <c r="B6783"/>
      <c r="M6783"/>
    </row>
    <row r="6784" spans="2:13" ht="15" x14ac:dyDescent="0.25">
      <c r="B6784"/>
      <c r="M6784"/>
    </row>
    <row r="6785" spans="2:13" ht="15" x14ac:dyDescent="0.25">
      <c r="B6785"/>
      <c r="M6785"/>
    </row>
    <row r="6786" spans="2:13" ht="15" x14ac:dyDescent="0.25">
      <c r="B6786"/>
      <c r="M6786"/>
    </row>
    <row r="6787" spans="2:13" ht="15" x14ac:dyDescent="0.25">
      <c r="B6787"/>
      <c r="M6787"/>
    </row>
    <row r="6788" spans="2:13" ht="15" x14ac:dyDescent="0.25">
      <c r="B6788"/>
      <c r="M6788"/>
    </row>
    <row r="6789" spans="2:13" ht="15" x14ac:dyDescent="0.25">
      <c r="B6789"/>
      <c r="M6789"/>
    </row>
    <row r="6790" spans="2:13" ht="15" x14ac:dyDescent="0.25">
      <c r="B6790"/>
      <c r="M6790"/>
    </row>
    <row r="6791" spans="2:13" ht="15" x14ac:dyDescent="0.25">
      <c r="B6791"/>
      <c r="M6791"/>
    </row>
    <row r="6792" spans="2:13" ht="15" x14ac:dyDescent="0.25">
      <c r="B6792"/>
      <c r="M6792"/>
    </row>
    <row r="6793" spans="2:13" ht="15" x14ac:dyDescent="0.25">
      <c r="B6793"/>
      <c r="M6793"/>
    </row>
    <row r="6794" spans="2:13" ht="15" x14ac:dyDescent="0.25">
      <c r="B6794"/>
      <c r="M6794"/>
    </row>
    <row r="6795" spans="2:13" ht="15" x14ac:dyDescent="0.25">
      <c r="B6795"/>
      <c r="M6795"/>
    </row>
    <row r="6796" spans="2:13" ht="15" x14ac:dyDescent="0.25">
      <c r="B6796"/>
      <c r="M6796"/>
    </row>
    <row r="6797" spans="2:13" ht="15" x14ac:dyDescent="0.25">
      <c r="B6797"/>
      <c r="M6797"/>
    </row>
    <row r="6798" spans="2:13" ht="15" x14ac:dyDescent="0.25">
      <c r="B6798"/>
      <c r="M6798"/>
    </row>
    <row r="6799" spans="2:13" ht="15" x14ac:dyDescent="0.25">
      <c r="B6799"/>
      <c r="M6799"/>
    </row>
    <row r="6800" spans="2:13" ht="15" x14ac:dyDescent="0.25">
      <c r="B6800"/>
      <c r="M6800"/>
    </row>
    <row r="6801" spans="2:13" ht="15" x14ac:dyDescent="0.25">
      <c r="B6801"/>
      <c r="M6801"/>
    </row>
    <row r="6802" spans="2:13" ht="15" x14ac:dyDescent="0.25">
      <c r="B6802"/>
      <c r="M6802"/>
    </row>
    <row r="6803" spans="2:13" ht="15" x14ac:dyDescent="0.25">
      <c r="B6803"/>
      <c r="M6803"/>
    </row>
    <row r="6804" spans="2:13" ht="15" x14ac:dyDescent="0.25">
      <c r="B6804"/>
      <c r="M6804"/>
    </row>
    <row r="6805" spans="2:13" ht="15" x14ac:dyDescent="0.25">
      <c r="B6805"/>
      <c r="M6805"/>
    </row>
    <row r="6806" spans="2:13" ht="15" x14ac:dyDescent="0.25">
      <c r="B6806"/>
      <c r="M6806"/>
    </row>
    <row r="6807" spans="2:13" ht="15" x14ac:dyDescent="0.25">
      <c r="B6807"/>
      <c r="M6807"/>
    </row>
    <row r="6808" spans="2:13" ht="15" x14ac:dyDescent="0.25">
      <c r="B6808"/>
      <c r="M6808"/>
    </row>
    <row r="6809" spans="2:13" ht="15" x14ac:dyDescent="0.25">
      <c r="B6809"/>
      <c r="M6809"/>
    </row>
    <row r="6810" spans="2:13" ht="15" x14ac:dyDescent="0.25">
      <c r="B6810"/>
      <c r="M6810"/>
    </row>
    <row r="6811" spans="2:13" ht="15" x14ac:dyDescent="0.25">
      <c r="B6811"/>
      <c r="M6811"/>
    </row>
    <row r="6812" spans="2:13" ht="15" x14ac:dyDescent="0.25">
      <c r="B6812"/>
      <c r="M6812"/>
    </row>
    <row r="6813" spans="2:13" ht="15" x14ac:dyDescent="0.25">
      <c r="B6813"/>
      <c r="M6813"/>
    </row>
    <row r="6814" spans="2:13" ht="15" x14ac:dyDescent="0.25">
      <c r="B6814"/>
      <c r="M6814"/>
    </row>
    <row r="6815" spans="2:13" ht="15" x14ac:dyDescent="0.25">
      <c r="B6815"/>
      <c r="M6815"/>
    </row>
    <row r="6816" spans="2:13" ht="15" x14ac:dyDescent="0.25">
      <c r="B6816"/>
      <c r="M6816"/>
    </row>
    <row r="6817" spans="2:13" ht="15" x14ac:dyDescent="0.25">
      <c r="B6817"/>
      <c r="M6817"/>
    </row>
    <row r="6818" spans="2:13" ht="15" x14ac:dyDescent="0.25">
      <c r="B6818"/>
      <c r="M6818"/>
    </row>
    <row r="6819" spans="2:13" ht="15" x14ac:dyDescent="0.25">
      <c r="B6819"/>
      <c r="M6819"/>
    </row>
    <row r="6820" spans="2:13" ht="15" x14ac:dyDescent="0.25">
      <c r="B6820"/>
      <c r="M6820"/>
    </row>
    <row r="6821" spans="2:13" ht="15" x14ac:dyDescent="0.25">
      <c r="B6821"/>
      <c r="M6821"/>
    </row>
    <row r="6822" spans="2:13" ht="15" x14ac:dyDescent="0.25">
      <c r="B6822"/>
      <c r="M6822"/>
    </row>
    <row r="6823" spans="2:13" ht="15" x14ac:dyDescent="0.25">
      <c r="B6823"/>
      <c r="M6823"/>
    </row>
    <row r="6824" spans="2:13" ht="15" x14ac:dyDescent="0.25">
      <c r="B6824"/>
      <c r="M6824"/>
    </row>
    <row r="6825" spans="2:13" ht="15" x14ac:dyDescent="0.25">
      <c r="B6825"/>
      <c r="M6825"/>
    </row>
    <row r="6826" spans="2:13" ht="15" x14ac:dyDescent="0.25">
      <c r="B6826"/>
      <c r="M6826"/>
    </row>
    <row r="6827" spans="2:13" ht="15" x14ac:dyDescent="0.25">
      <c r="B6827"/>
      <c r="M6827"/>
    </row>
    <row r="6828" spans="2:13" ht="15" x14ac:dyDescent="0.25">
      <c r="B6828"/>
      <c r="M6828"/>
    </row>
    <row r="6829" spans="2:13" ht="15" x14ac:dyDescent="0.25">
      <c r="B6829"/>
      <c r="M6829"/>
    </row>
    <row r="6830" spans="2:13" ht="15" x14ac:dyDescent="0.25">
      <c r="B6830"/>
      <c r="M6830"/>
    </row>
    <row r="6831" spans="2:13" ht="15" x14ac:dyDescent="0.25">
      <c r="B6831"/>
      <c r="M6831"/>
    </row>
    <row r="6832" spans="2:13" ht="15" x14ac:dyDescent="0.25">
      <c r="B6832"/>
      <c r="M6832"/>
    </row>
    <row r="6833" spans="2:13" ht="15" x14ac:dyDescent="0.25">
      <c r="B6833"/>
      <c r="M6833"/>
    </row>
    <row r="6834" spans="2:13" ht="15" x14ac:dyDescent="0.25">
      <c r="B6834"/>
      <c r="M6834"/>
    </row>
    <row r="6835" spans="2:13" ht="15" x14ac:dyDescent="0.25">
      <c r="B6835"/>
      <c r="M6835"/>
    </row>
    <row r="6836" spans="2:13" ht="15" x14ac:dyDescent="0.25">
      <c r="B6836"/>
      <c r="M6836"/>
    </row>
    <row r="6837" spans="2:13" ht="15" x14ac:dyDescent="0.25">
      <c r="B6837"/>
      <c r="M6837"/>
    </row>
    <row r="6838" spans="2:13" ht="15" x14ac:dyDescent="0.25">
      <c r="B6838"/>
      <c r="M6838"/>
    </row>
    <row r="6839" spans="2:13" ht="15" x14ac:dyDescent="0.25">
      <c r="B6839"/>
      <c r="M6839"/>
    </row>
    <row r="6840" spans="2:13" ht="15" x14ac:dyDescent="0.25">
      <c r="B6840"/>
      <c r="M6840"/>
    </row>
    <row r="6841" spans="2:13" ht="15" x14ac:dyDescent="0.25">
      <c r="B6841"/>
      <c r="M6841"/>
    </row>
    <row r="6842" spans="2:13" ht="15" x14ac:dyDescent="0.25">
      <c r="B6842"/>
      <c r="M6842"/>
    </row>
    <row r="6843" spans="2:13" ht="15" x14ac:dyDescent="0.25">
      <c r="B6843"/>
      <c r="M6843"/>
    </row>
    <row r="6844" spans="2:13" ht="15" x14ac:dyDescent="0.25">
      <c r="B6844"/>
      <c r="M6844"/>
    </row>
    <row r="6845" spans="2:13" ht="15" x14ac:dyDescent="0.25">
      <c r="B6845"/>
      <c r="M6845"/>
    </row>
    <row r="6846" spans="2:13" ht="15" x14ac:dyDescent="0.25">
      <c r="B6846"/>
      <c r="M6846"/>
    </row>
    <row r="6847" spans="2:13" ht="15" x14ac:dyDescent="0.25">
      <c r="B6847"/>
      <c r="M6847"/>
    </row>
    <row r="6848" spans="2:13" ht="15" x14ac:dyDescent="0.25">
      <c r="B6848"/>
      <c r="M6848"/>
    </row>
    <row r="6849" spans="2:13" ht="15" x14ac:dyDescent="0.25">
      <c r="B6849"/>
      <c r="M6849"/>
    </row>
    <row r="6850" spans="2:13" ht="15" x14ac:dyDescent="0.25">
      <c r="B6850"/>
      <c r="M6850"/>
    </row>
    <row r="6851" spans="2:13" ht="15" x14ac:dyDescent="0.25">
      <c r="B6851"/>
      <c r="M6851"/>
    </row>
    <row r="6852" spans="2:13" ht="15" x14ac:dyDescent="0.25">
      <c r="B6852"/>
      <c r="M6852"/>
    </row>
    <row r="6853" spans="2:13" ht="15" x14ac:dyDescent="0.25">
      <c r="B6853"/>
      <c r="M6853"/>
    </row>
    <row r="6854" spans="2:13" ht="15" x14ac:dyDescent="0.25">
      <c r="B6854"/>
      <c r="M6854"/>
    </row>
    <row r="6855" spans="2:13" ht="15" x14ac:dyDescent="0.25">
      <c r="B6855"/>
      <c r="M6855"/>
    </row>
    <row r="6856" spans="2:13" ht="15" x14ac:dyDescent="0.25">
      <c r="B6856"/>
      <c r="M6856"/>
    </row>
    <row r="6857" spans="2:13" ht="15" x14ac:dyDescent="0.25">
      <c r="B6857"/>
      <c r="M6857"/>
    </row>
    <row r="6858" spans="2:13" ht="15" x14ac:dyDescent="0.25">
      <c r="B6858"/>
      <c r="M6858"/>
    </row>
    <row r="6859" spans="2:13" ht="15" x14ac:dyDescent="0.25">
      <c r="B6859"/>
      <c r="M6859"/>
    </row>
    <row r="6860" spans="2:13" ht="15" x14ac:dyDescent="0.25">
      <c r="B6860"/>
      <c r="M6860"/>
    </row>
    <row r="6861" spans="2:13" ht="15" x14ac:dyDescent="0.25">
      <c r="B6861"/>
      <c r="M6861"/>
    </row>
    <row r="6862" spans="2:13" ht="15" x14ac:dyDescent="0.25">
      <c r="B6862"/>
      <c r="M6862"/>
    </row>
    <row r="6863" spans="2:13" ht="15" x14ac:dyDescent="0.25">
      <c r="B6863"/>
      <c r="M6863"/>
    </row>
    <row r="6864" spans="2:13" ht="15" x14ac:dyDescent="0.25">
      <c r="B6864"/>
      <c r="M6864"/>
    </row>
    <row r="6865" spans="2:13" ht="15" x14ac:dyDescent="0.25">
      <c r="B6865"/>
      <c r="M6865"/>
    </row>
    <row r="6866" spans="2:13" ht="15" x14ac:dyDescent="0.25">
      <c r="B6866"/>
      <c r="M6866"/>
    </row>
    <row r="6867" spans="2:13" ht="15" x14ac:dyDescent="0.25">
      <c r="B6867"/>
      <c r="M6867"/>
    </row>
    <row r="6868" spans="2:13" ht="15" x14ac:dyDescent="0.25">
      <c r="B6868"/>
      <c r="M6868"/>
    </row>
    <row r="6869" spans="2:13" ht="15" x14ac:dyDescent="0.25">
      <c r="B6869"/>
      <c r="M6869"/>
    </row>
    <row r="6870" spans="2:13" ht="15" x14ac:dyDescent="0.25">
      <c r="B6870"/>
      <c r="M6870"/>
    </row>
    <row r="6871" spans="2:13" ht="15" x14ac:dyDescent="0.25">
      <c r="B6871"/>
      <c r="M6871"/>
    </row>
    <row r="6872" spans="2:13" ht="15" x14ac:dyDescent="0.25">
      <c r="B6872"/>
      <c r="M6872"/>
    </row>
    <row r="6873" spans="2:13" ht="15" x14ac:dyDescent="0.25">
      <c r="B6873"/>
      <c r="M6873"/>
    </row>
    <row r="6874" spans="2:13" ht="15" x14ac:dyDescent="0.25">
      <c r="B6874"/>
      <c r="M6874"/>
    </row>
    <row r="6875" spans="2:13" ht="15" x14ac:dyDescent="0.25">
      <c r="B6875"/>
      <c r="M6875"/>
    </row>
    <row r="6876" spans="2:13" ht="15" x14ac:dyDescent="0.25">
      <c r="B6876"/>
      <c r="M6876"/>
    </row>
    <row r="6877" spans="2:13" ht="15" x14ac:dyDescent="0.25">
      <c r="B6877"/>
      <c r="M6877"/>
    </row>
    <row r="6878" spans="2:13" ht="15" x14ac:dyDescent="0.25">
      <c r="B6878"/>
      <c r="M6878"/>
    </row>
    <row r="6879" spans="2:13" ht="15" x14ac:dyDescent="0.25">
      <c r="B6879"/>
      <c r="M6879"/>
    </row>
    <row r="6880" spans="2:13" ht="15" x14ac:dyDescent="0.25">
      <c r="B6880"/>
      <c r="M6880"/>
    </row>
    <row r="6881" spans="2:13" ht="15" x14ac:dyDescent="0.25">
      <c r="B6881"/>
      <c r="M6881"/>
    </row>
    <row r="6882" spans="2:13" ht="15" x14ac:dyDescent="0.25">
      <c r="B6882"/>
      <c r="M6882"/>
    </row>
    <row r="6883" spans="2:13" ht="15" x14ac:dyDescent="0.25">
      <c r="B6883"/>
      <c r="M6883"/>
    </row>
    <row r="6884" spans="2:13" ht="15" x14ac:dyDescent="0.25">
      <c r="B6884"/>
      <c r="M6884"/>
    </row>
    <row r="6885" spans="2:13" ht="15" x14ac:dyDescent="0.25">
      <c r="B6885"/>
      <c r="M6885"/>
    </row>
    <row r="6886" spans="2:13" ht="15" x14ac:dyDescent="0.25">
      <c r="B6886"/>
      <c r="M6886"/>
    </row>
    <row r="6887" spans="2:13" ht="15" x14ac:dyDescent="0.25">
      <c r="B6887"/>
      <c r="M6887"/>
    </row>
    <row r="6888" spans="2:13" ht="15" x14ac:dyDescent="0.25">
      <c r="B6888"/>
      <c r="M6888"/>
    </row>
    <row r="6889" spans="2:13" ht="15" x14ac:dyDescent="0.25">
      <c r="B6889"/>
      <c r="M6889"/>
    </row>
    <row r="6890" spans="2:13" ht="15" x14ac:dyDescent="0.25">
      <c r="B6890"/>
      <c r="M6890"/>
    </row>
    <row r="6891" spans="2:13" ht="15" x14ac:dyDescent="0.25">
      <c r="B6891"/>
      <c r="M6891"/>
    </row>
    <row r="6892" spans="2:13" ht="15" x14ac:dyDescent="0.25">
      <c r="B6892"/>
      <c r="M6892"/>
    </row>
    <row r="6893" spans="2:13" ht="15" x14ac:dyDescent="0.25">
      <c r="B6893"/>
      <c r="M6893"/>
    </row>
    <row r="6894" spans="2:13" ht="15" x14ac:dyDescent="0.25">
      <c r="B6894"/>
      <c r="M6894"/>
    </row>
    <row r="6895" spans="2:13" ht="15" x14ac:dyDescent="0.25">
      <c r="B6895"/>
      <c r="M6895"/>
    </row>
    <row r="6896" spans="2:13" ht="15" x14ac:dyDescent="0.25">
      <c r="B6896"/>
      <c r="M6896"/>
    </row>
    <row r="6897" spans="2:13" ht="15" x14ac:dyDescent="0.25">
      <c r="B6897"/>
      <c r="M6897"/>
    </row>
    <row r="6898" spans="2:13" ht="15" x14ac:dyDescent="0.25">
      <c r="B6898"/>
      <c r="M6898"/>
    </row>
    <row r="6899" spans="2:13" ht="15" x14ac:dyDescent="0.25">
      <c r="B6899"/>
      <c r="M6899"/>
    </row>
    <row r="6900" spans="2:13" ht="15" x14ac:dyDescent="0.25">
      <c r="B6900"/>
      <c r="M6900"/>
    </row>
    <row r="6901" spans="2:13" ht="15" x14ac:dyDescent="0.25">
      <c r="B6901"/>
      <c r="M6901"/>
    </row>
    <row r="6902" spans="2:13" ht="15" x14ac:dyDescent="0.25">
      <c r="B6902"/>
      <c r="M6902"/>
    </row>
    <row r="6903" spans="2:13" ht="15" x14ac:dyDescent="0.25">
      <c r="B6903"/>
      <c r="M6903"/>
    </row>
    <row r="6904" spans="2:13" ht="15" x14ac:dyDescent="0.25">
      <c r="B6904"/>
      <c r="M6904"/>
    </row>
    <row r="6905" spans="2:13" ht="15" x14ac:dyDescent="0.25">
      <c r="B6905"/>
      <c r="M6905"/>
    </row>
    <row r="6906" spans="2:13" ht="15" x14ac:dyDescent="0.25">
      <c r="B6906"/>
      <c r="M6906"/>
    </row>
    <row r="6907" spans="2:13" ht="15" x14ac:dyDescent="0.25">
      <c r="B6907"/>
      <c r="M6907"/>
    </row>
    <row r="6908" spans="2:13" ht="15" x14ac:dyDescent="0.25">
      <c r="B6908"/>
      <c r="M6908"/>
    </row>
    <row r="6909" spans="2:13" ht="15" x14ac:dyDescent="0.25">
      <c r="B6909"/>
      <c r="M6909"/>
    </row>
    <row r="6910" spans="2:13" ht="15" x14ac:dyDescent="0.25">
      <c r="B6910"/>
      <c r="M6910"/>
    </row>
    <row r="6911" spans="2:13" ht="15" x14ac:dyDescent="0.25">
      <c r="B6911"/>
      <c r="M6911"/>
    </row>
    <row r="6912" spans="2:13" ht="15" x14ac:dyDescent="0.25">
      <c r="B6912"/>
      <c r="M6912"/>
    </row>
    <row r="6913" spans="2:13" ht="15" x14ac:dyDescent="0.25">
      <c r="B6913"/>
      <c r="M6913"/>
    </row>
    <row r="6914" spans="2:13" ht="15" x14ac:dyDescent="0.25">
      <c r="B6914"/>
      <c r="M6914"/>
    </row>
    <row r="6915" spans="2:13" ht="15" x14ac:dyDescent="0.25">
      <c r="B6915"/>
      <c r="M6915"/>
    </row>
    <row r="6916" spans="2:13" ht="15" x14ac:dyDescent="0.25">
      <c r="B6916"/>
      <c r="M6916"/>
    </row>
    <row r="6917" spans="2:13" ht="15" x14ac:dyDescent="0.25">
      <c r="B6917"/>
      <c r="M6917"/>
    </row>
    <row r="6918" spans="2:13" ht="15" x14ac:dyDescent="0.25">
      <c r="B6918"/>
      <c r="M6918"/>
    </row>
    <row r="6919" spans="2:13" ht="15" x14ac:dyDescent="0.25">
      <c r="B6919"/>
      <c r="M6919"/>
    </row>
    <row r="6920" spans="2:13" ht="15" x14ac:dyDescent="0.25">
      <c r="B6920"/>
      <c r="M6920"/>
    </row>
    <row r="6921" spans="2:13" ht="15" x14ac:dyDescent="0.25">
      <c r="B6921"/>
      <c r="M6921"/>
    </row>
    <row r="6922" spans="2:13" ht="15" x14ac:dyDescent="0.25">
      <c r="B6922"/>
      <c r="M6922"/>
    </row>
    <row r="6923" spans="2:13" ht="15" x14ac:dyDescent="0.25">
      <c r="B6923"/>
      <c r="M6923"/>
    </row>
    <row r="6924" spans="2:13" ht="15" x14ac:dyDescent="0.25">
      <c r="B6924"/>
      <c r="M6924"/>
    </row>
    <row r="6925" spans="2:13" ht="15" x14ac:dyDescent="0.25">
      <c r="B6925"/>
      <c r="M6925"/>
    </row>
    <row r="6926" spans="2:13" ht="15" x14ac:dyDescent="0.25">
      <c r="B6926"/>
      <c r="M6926"/>
    </row>
    <row r="6927" spans="2:13" ht="15" x14ac:dyDescent="0.25">
      <c r="B6927"/>
      <c r="M6927"/>
    </row>
    <row r="6928" spans="2:13" ht="15" x14ac:dyDescent="0.25">
      <c r="B6928"/>
      <c r="M6928"/>
    </row>
    <row r="6929" spans="2:13" ht="15" x14ac:dyDescent="0.25">
      <c r="B6929"/>
      <c r="M6929"/>
    </row>
    <row r="6930" spans="2:13" ht="15" x14ac:dyDescent="0.25">
      <c r="B6930"/>
      <c r="M6930"/>
    </row>
    <row r="6931" spans="2:13" ht="15" x14ac:dyDescent="0.25">
      <c r="B6931"/>
      <c r="M6931"/>
    </row>
    <row r="6932" spans="2:13" ht="15" x14ac:dyDescent="0.25">
      <c r="B6932"/>
      <c r="M6932"/>
    </row>
    <row r="6933" spans="2:13" ht="15" x14ac:dyDescent="0.25">
      <c r="B6933"/>
      <c r="M6933"/>
    </row>
    <row r="6934" spans="2:13" ht="15" x14ac:dyDescent="0.25">
      <c r="B6934"/>
      <c r="M6934"/>
    </row>
    <row r="6935" spans="2:13" ht="15" x14ac:dyDescent="0.25">
      <c r="B6935"/>
      <c r="M6935"/>
    </row>
    <row r="6936" spans="2:13" ht="15" x14ac:dyDescent="0.25">
      <c r="B6936"/>
      <c r="M6936"/>
    </row>
    <row r="6937" spans="2:13" ht="15" x14ac:dyDescent="0.25">
      <c r="B6937"/>
      <c r="M6937"/>
    </row>
    <row r="6938" spans="2:13" ht="15" x14ac:dyDescent="0.25">
      <c r="B6938"/>
      <c r="M6938"/>
    </row>
    <row r="6939" spans="2:13" ht="15" x14ac:dyDescent="0.25">
      <c r="B6939"/>
      <c r="M6939"/>
    </row>
    <row r="6940" spans="2:13" ht="15" x14ac:dyDescent="0.25">
      <c r="B6940"/>
      <c r="M6940"/>
    </row>
    <row r="6941" spans="2:13" ht="15" x14ac:dyDescent="0.25">
      <c r="B6941"/>
      <c r="M6941"/>
    </row>
    <row r="6942" spans="2:13" ht="15" x14ac:dyDescent="0.25">
      <c r="B6942"/>
      <c r="M6942"/>
    </row>
    <row r="6943" spans="2:13" ht="15" x14ac:dyDescent="0.25">
      <c r="B6943"/>
      <c r="M6943"/>
    </row>
    <row r="6944" spans="2:13" ht="15" x14ac:dyDescent="0.25">
      <c r="B6944"/>
      <c r="M6944"/>
    </row>
    <row r="6945" spans="2:13" ht="15" x14ac:dyDescent="0.25">
      <c r="B6945"/>
      <c r="M6945"/>
    </row>
    <row r="6946" spans="2:13" ht="15" x14ac:dyDescent="0.25">
      <c r="B6946"/>
      <c r="M6946"/>
    </row>
    <row r="6947" spans="2:13" ht="15" x14ac:dyDescent="0.25">
      <c r="B6947"/>
      <c r="M6947"/>
    </row>
    <row r="6948" spans="2:13" ht="15" x14ac:dyDescent="0.25">
      <c r="B6948"/>
      <c r="M6948"/>
    </row>
    <row r="6949" spans="2:13" ht="15" x14ac:dyDescent="0.25">
      <c r="B6949"/>
      <c r="M6949"/>
    </row>
    <row r="6950" spans="2:13" ht="15" x14ac:dyDescent="0.25">
      <c r="B6950"/>
      <c r="M6950"/>
    </row>
    <row r="6951" spans="2:13" ht="15" x14ac:dyDescent="0.25">
      <c r="B6951"/>
      <c r="M6951"/>
    </row>
    <row r="6952" spans="2:13" ht="15" x14ac:dyDescent="0.25">
      <c r="B6952"/>
      <c r="M6952"/>
    </row>
    <row r="6953" spans="2:13" ht="15" x14ac:dyDescent="0.25">
      <c r="B6953"/>
      <c r="M6953"/>
    </row>
    <row r="6954" spans="2:13" ht="15" x14ac:dyDescent="0.25">
      <c r="B6954"/>
      <c r="M6954"/>
    </row>
    <row r="6955" spans="2:13" ht="15" x14ac:dyDescent="0.25">
      <c r="B6955"/>
      <c r="M6955"/>
    </row>
    <row r="6956" spans="2:13" ht="15" x14ac:dyDescent="0.25">
      <c r="B6956"/>
      <c r="M6956"/>
    </row>
    <row r="6957" spans="2:13" ht="15" x14ac:dyDescent="0.25">
      <c r="B6957"/>
      <c r="M6957"/>
    </row>
    <row r="6958" spans="2:13" ht="15" x14ac:dyDescent="0.25">
      <c r="B6958"/>
      <c r="M6958"/>
    </row>
    <row r="6959" spans="2:13" ht="15" x14ac:dyDescent="0.25">
      <c r="B6959"/>
      <c r="M6959"/>
    </row>
    <row r="6960" spans="2:13" ht="15" x14ac:dyDescent="0.25">
      <c r="B6960"/>
      <c r="M6960"/>
    </row>
    <row r="6961" spans="2:13" ht="15" x14ac:dyDescent="0.25">
      <c r="B6961"/>
      <c r="M6961"/>
    </row>
    <row r="6962" spans="2:13" ht="15" x14ac:dyDescent="0.25">
      <c r="B6962"/>
      <c r="M6962"/>
    </row>
    <row r="6963" spans="2:13" ht="15" x14ac:dyDescent="0.25">
      <c r="B6963"/>
      <c r="M6963"/>
    </row>
    <row r="6964" spans="2:13" ht="15" x14ac:dyDescent="0.25">
      <c r="B6964"/>
      <c r="M6964"/>
    </row>
    <row r="6965" spans="2:13" ht="15" x14ac:dyDescent="0.25">
      <c r="B6965"/>
      <c r="M6965"/>
    </row>
    <row r="6966" spans="2:13" ht="15" x14ac:dyDescent="0.25">
      <c r="B6966"/>
      <c r="M6966"/>
    </row>
    <row r="6967" spans="2:13" ht="15" x14ac:dyDescent="0.25">
      <c r="B6967"/>
      <c r="M6967"/>
    </row>
    <row r="6968" spans="2:13" ht="15" x14ac:dyDescent="0.25">
      <c r="B6968"/>
      <c r="M6968"/>
    </row>
    <row r="6969" spans="2:13" ht="15" x14ac:dyDescent="0.25">
      <c r="B6969"/>
      <c r="M6969"/>
    </row>
    <row r="6970" spans="2:13" ht="15" x14ac:dyDescent="0.25">
      <c r="B6970"/>
      <c r="M6970"/>
    </row>
    <row r="6971" spans="2:13" ht="15" x14ac:dyDescent="0.25">
      <c r="B6971"/>
      <c r="M6971"/>
    </row>
    <row r="6972" spans="2:13" ht="15" x14ac:dyDescent="0.25">
      <c r="B6972"/>
      <c r="M6972"/>
    </row>
    <row r="6973" spans="2:13" ht="15" x14ac:dyDescent="0.25">
      <c r="B6973"/>
      <c r="M6973"/>
    </row>
    <row r="6974" spans="2:13" ht="15" x14ac:dyDescent="0.25">
      <c r="B6974"/>
      <c r="M6974"/>
    </row>
    <row r="6975" spans="2:13" ht="15" x14ac:dyDescent="0.25">
      <c r="B6975"/>
      <c r="M6975"/>
    </row>
    <row r="6976" spans="2:13" ht="15" x14ac:dyDescent="0.25">
      <c r="B6976"/>
      <c r="M6976"/>
    </row>
    <row r="6977" spans="2:13" ht="15" x14ac:dyDescent="0.25">
      <c r="B6977"/>
      <c r="M6977"/>
    </row>
    <row r="6978" spans="2:13" ht="15" x14ac:dyDescent="0.25">
      <c r="B6978"/>
      <c r="M6978"/>
    </row>
    <row r="6979" spans="2:13" ht="15" x14ac:dyDescent="0.25">
      <c r="B6979"/>
      <c r="M6979"/>
    </row>
    <row r="6980" spans="2:13" ht="15" x14ac:dyDescent="0.25">
      <c r="B6980"/>
      <c r="M6980"/>
    </row>
    <row r="6981" spans="2:13" ht="15" x14ac:dyDescent="0.25">
      <c r="B6981"/>
      <c r="M6981"/>
    </row>
    <row r="6982" spans="2:13" ht="15" x14ac:dyDescent="0.25">
      <c r="B6982"/>
      <c r="M6982"/>
    </row>
    <row r="6983" spans="2:13" ht="15" x14ac:dyDescent="0.25">
      <c r="B6983"/>
      <c r="M6983"/>
    </row>
    <row r="6984" spans="2:13" ht="15" x14ac:dyDescent="0.25">
      <c r="B6984"/>
      <c r="M6984"/>
    </row>
    <row r="6985" spans="2:13" ht="15" x14ac:dyDescent="0.25">
      <c r="B6985"/>
      <c r="M6985"/>
    </row>
    <row r="6986" spans="2:13" ht="15" x14ac:dyDescent="0.25">
      <c r="B6986"/>
      <c r="M6986"/>
    </row>
    <row r="6987" spans="2:13" ht="15" x14ac:dyDescent="0.25">
      <c r="B6987"/>
      <c r="M6987"/>
    </row>
    <row r="6988" spans="2:13" ht="15" x14ac:dyDescent="0.25">
      <c r="B6988"/>
      <c r="M6988"/>
    </row>
    <row r="6989" spans="2:13" ht="15" x14ac:dyDescent="0.25">
      <c r="B6989"/>
      <c r="M6989"/>
    </row>
    <row r="6990" spans="2:13" ht="15" x14ac:dyDescent="0.25">
      <c r="B6990"/>
      <c r="M6990"/>
    </row>
    <row r="6991" spans="2:13" ht="15" x14ac:dyDescent="0.25">
      <c r="B6991"/>
      <c r="M6991"/>
    </row>
    <row r="6992" spans="2:13" ht="15" x14ac:dyDescent="0.25">
      <c r="B6992"/>
      <c r="M6992"/>
    </row>
    <row r="6993" spans="2:13" ht="15" x14ac:dyDescent="0.25">
      <c r="B6993"/>
      <c r="M6993"/>
    </row>
    <row r="6994" spans="2:13" ht="15" x14ac:dyDescent="0.25">
      <c r="B6994"/>
      <c r="M6994"/>
    </row>
    <row r="6995" spans="2:13" ht="15" x14ac:dyDescent="0.25">
      <c r="B6995"/>
      <c r="M6995"/>
    </row>
    <row r="6996" spans="2:13" ht="15" x14ac:dyDescent="0.25">
      <c r="B6996"/>
      <c r="M6996"/>
    </row>
    <row r="6997" spans="2:13" ht="15" x14ac:dyDescent="0.25">
      <c r="B6997"/>
      <c r="M6997"/>
    </row>
    <row r="6998" spans="2:13" ht="15" x14ac:dyDescent="0.25">
      <c r="B6998"/>
      <c r="M6998"/>
    </row>
    <row r="6999" spans="2:13" ht="15" x14ac:dyDescent="0.25">
      <c r="B6999"/>
      <c r="M6999"/>
    </row>
    <row r="7000" spans="2:13" ht="15" x14ac:dyDescent="0.25">
      <c r="B7000"/>
      <c r="M7000"/>
    </row>
    <row r="7001" spans="2:13" ht="15" x14ac:dyDescent="0.25">
      <c r="B7001"/>
      <c r="M7001"/>
    </row>
    <row r="7002" spans="2:13" ht="15" x14ac:dyDescent="0.25">
      <c r="B7002"/>
      <c r="M7002"/>
    </row>
    <row r="7003" spans="2:13" ht="15" x14ac:dyDescent="0.25">
      <c r="B7003"/>
      <c r="M7003"/>
    </row>
    <row r="7004" spans="2:13" ht="15" x14ac:dyDescent="0.25">
      <c r="B7004"/>
      <c r="M7004"/>
    </row>
    <row r="7005" spans="2:13" ht="15" x14ac:dyDescent="0.25">
      <c r="B7005"/>
      <c r="M7005"/>
    </row>
    <row r="7006" spans="2:13" ht="15" x14ac:dyDescent="0.25">
      <c r="B7006"/>
      <c r="M7006"/>
    </row>
    <row r="7007" spans="2:13" ht="15" x14ac:dyDescent="0.25">
      <c r="B7007"/>
      <c r="M7007"/>
    </row>
    <row r="7008" spans="2:13" ht="15" x14ac:dyDescent="0.25">
      <c r="B7008"/>
      <c r="M7008"/>
    </row>
    <row r="7009" spans="2:13" ht="15" x14ac:dyDescent="0.25">
      <c r="B7009"/>
      <c r="M7009"/>
    </row>
    <row r="7010" spans="2:13" ht="15" x14ac:dyDescent="0.25">
      <c r="B7010"/>
      <c r="M7010"/>
    </row>
    <row r="7011" spans="2:13" ht="15" x14ac:dyDescent="0.25">
      <c r="B7011"/>
      <c r="M7011"/>
    </row>
    <row r="7012" spans="2:13" ht="15" x14ac:dyDescent="0.25">
      <c r="B7012"/>
      <c r="M7012"/>
    </row>
    <row r="7013" spans="2:13" ht="15" x14ac:dyDescent="0.25">
      <c r="B7013"/>
      <c r="M7013"/>
    </row>
    <row r="7014" spans="2:13" ht="15" x14ac:dyDescent="0.25">
      <c r="B7014"/>
      <c r="M7014"/>
    </row>
    <row r="7015" spans="2:13" ht="15" x14ac:dyDescent="0.25">
      <c r="B7015"/>
      <c r="M7015"/>
    </row>
    <row r="7016" spans="2:13" ht="15" x14ac:dyDescent="0.25">
      <c r="B7016"/>
      <c r="M7016"/>
    </row>
    <row r="7017" spans="2:13" ht="15" x14ac:dyDescent="0.25">
      <c r="B7017"/>
      <c r="M7017"/>
    </row>
    <row r="7018" spans="2:13" ht="15" x14ac:dyDescent="0.25">
      <c r="B7018"/>
      <c r="M7018"/>
    </row>
    <row r="7019" spans="2:13" ht="15" x14ac:dyDescent="0.25">
      <c r="B7019"/>
      <c r="M7019"/>
    </row>
    <row r="7020" spans="2:13" ht="15" x14ac:dyDescent="0.25">
      <c r="B7020"/>
      <c r="M7020"/>
    </row>
    <row r="7021" spans="2:13" ht="15" x14ac:dyDescent="0.25">
      <c r="B7021"/>
      <c r="M7021"/>
    </row>
    <row r="7022" spans="2:13" ht="15" x14ac:dyDescent="0.25">
      <c r="B7022"/>
      <c r="M7022"/>
    </row>
    <row r="7023" spans="2:13" ht="15" x14ac:dyDescent="0.25">
      <c r="B7023"/>
      <c r="M7023"/>
    </row>
    <row r="7024" spans="2:13" ht="15" x14ac:dyDescent="0.25">
      <c r="B7024"/>
      <c r="M7024"/>
    </row>
    <row r="7025" spans="2:13" ht="15" x14ac:dyDescent="0.25">
      <c r="B7025"/>
      <c r="M7025"/>
    </row>
    <row r="7026" spans="2:13" ht="15" x14ac:dyDescent="0.25">
      <c r="B7026"/>
      <c r="M7026"/>
    </row>
    <row r="7027" spans="2:13" ht="15" x14ac:dyDescent="0.25">
      <c r="B7027"/>
      <c r="M7027"/>
    </row>
    <row r="7028" spans="2:13" ht="15" x14ac:dyDescent="0.25">
      <c r="B7028"/>
      <c r="M7028"/>
    </row>
    <row r="7029" spans="2:13" ht="15" x14ac:dyDescent="0.25">
      <c r="B7029"/>
      <c r="M7029"/>
    </row>
    <row r="7030" spans="2:13" ht="15" x14ac:dyDescent="0.25">
      <c r="B7030"/>
      <c r="M7030"/>
    </row>
    <row r="7031" spans="2:13" ht="15" x14ac:dyDescent="0.25">
      <c r="B7031"/>
      <c r="M7031"/>
    </row>
    <row r="7032" spans="2:13" ht="15" x14ac:dyDescent="0.25">
      <c r="B7032"/>
      <c r="M7032"/>
    </row>
    <row r="7033" spans="2:13" ht="15" x14ac:dyDescent="0.25">
      <c r="B7033"/>
      <c r="M7033"/>
    </row>
    <row r="7034" spans="2:13" ht="15" x14ac:dyDescent="0.25">
      <c r="B7034"/>
      <c r="M7034"/>
    </row>
    <row r="7035" spans="2:13" ht="15" x14ac:dyDescent="0.25">
      <c r="B7035"/>
      <c r="M7035"/>
    </row>
    <row r="7036" spans="2:13" ht="15" x14ac:dyDescent="0.25">
      <c r="B7036"/>
      <c r="M7036"/>
    </row>
    <row r="7037" spans="2:13" ht="15" x14ac:dyDescent="0.25">
      <c r="B7037"/>
      <c r="M7037"/>
    </row>
    <row r="7038" spans="2:13" ht="15" x14ac:dyDescent="0.25">
      <c r="B7038"/>
      <c r="M7038"/>
    </row>
    <row r="7039" spans="2:13" ht="15" x14ac:dyDescent="0.25">
      <c r="B7039"/>
      <c r="M7039"/>
    </row>
    <row r="7040" spans="2:13" ht="15" x14ac:dyDescent="0.25">
      <c r="B7040"/>
      <c r="M7040"/>
    </row>
    <row r="7041" spans="2:13" ht="15" x14ac:dyDescent="0.25">
      <c r="B7041"/>
      <c r="M7041"/>
    </row>
    <row r="7042" spans="2:13" ht="15" x14ac:dyDescent="0.25">
      <c r="B7042"/>
      <c r="M7042"/>
    </row>
    <row r="7043" spans="2:13" ht="15" x14ac:dyDescent="0.25">
      <c r="B7043"/>
      <c r="M7043"/>
    </row>
    <row r="7044" spans="2:13" ht="15" x14ac:dyDescent="0.25">
      <c r="B7044"/>
      <c r="M7044"/>
    </row>
    <row r="7045" spans="2:13" ht="15" x14ac:dyDescent="0.25">
      <c r="B7045"/>
      <c r="M7045"/>
    </row>
    <row r="7046" spans="2:13" ht="15" x14ac:dyDescent="0.25">
      <c r="B7046"/>
      <c r="M7046"/>
    </row>
    <row r="7047" spans="2:13" ht="15" x14ac:dyDescent="0.25">
      <c r="B7047"/>
      <c r="M7047"/>
    </row>
    <row r="7048" spans="2:13" ht="15" x14ac:dyDescent="0.25">
      <c r="B7048"/>
      <c r="M7048"/>
    </row>
    <row r="7049" spans="2:13" ht="15" x14ac:dyDescent="0.25">
      <c r="B7049"/>
      <c r="M7049"/>
    </row>
    <row r="7050" spans="2:13" ht="15" x14ac:dyDescent="0.25">
      <c r="B7050"/>
      <c r="M7050"/>
    </row>
    <row r="7051" spans="2:13" ht="15" x14ac:dyDescent="0.25">
      <c r="B7051"/>
      <c r="M7051"/>
    </row>
    <row r="7052" spans="2:13" ht="15" x14ac:dyDescent="0.25">
      <c r="B7052"/>
      <c r="M7052"/>
    </row>
    <row r="7053" spans="2:13" ht="15" x14ac:dyDescent="0.25">
      <c r="B7053"/>
      <c r="M7053"/>
    </row>
    <row r="7054" spans="2:13" ht="15" x14ac:dyDescent="0.25">
      <c r="B7054"/>
      <c r="M7054"/>
    </row>
    <row r="7055" spans="2:13" ht="15" x14ac:dyDescent="0.25">
      <c r="B7055"/>
      <c r="M7055"/>
    </row>
    <row r="7056" spans="2:13" ht="15" x14ac:dyDescent="0.25">
      <c r="B7056"/>
      <c r="M7056"/>
    </row>
    <row r="7057" spans="2:13" ht="15" x14ac:dyDescent="0.25">
      <c r="B7057"/>
      <c r="M7057"/>
    </row>
    <row r="7058" spans="2:13" ht="15" x14ac:dyDescent="0.25">
      <c r="B7058"/>
      <c r="M7058"/>
    </row>
    <row r="7059" spans="2:13" ht="15" x14ac:dyDescent="0.25">
      <c r="B7059"/>
      <c r="M7059"/>
    </row>
    <row r="7060" spans="2:13" ht="15" x14ac:dyDescent="0.25">
      <c r="B7060"/>
      <c r="M7060"/>
    </row>
    <row r="7061" spans="2:13" ht="15" x14ac:dyDescent="0.25">
      <c r="B7061"/>
      <c r="M7061"/>
    </row>
    <row r="7062" spans="2:13" ht="15" x14ac:dyDescent="0.25">
      <c r="B7062"/>
      <c r="M7062"/>
    </row>
    <row r="7063" spans="2:13" ht="15" x14ac:dyDescent="0.25">
      <c r="B7063"/>
      <c r="M7063"/>
    </row>
    <row r="7064" spans="2:13" ht="15" x14ac:dyDescent="0.25">
      <c r="B7064"/>
      <c r="M7064"/>
    </row>
    <row r="7065" spans="2:13" ht="15" x14ac:dyDescent="0.25">
      <c r="B7065"/>
      <c r="M7065"/>
    </row>
    <row r="7066" spans="2:13" ht="15" x14ac:dyDescent="0.25">
      <c r="B7066"/>
      <c r="M7066"/>
    </row>
    <row r="7067" spans="2:13" ht="15" x14ac:dyDescent="0.25">
      <c r="B7067"/>
      <c r="M7067"/>
    </row>
    <row r="7068" spans="2:13" ht="15" x14ac:dyDescent="0.25">
      <c r="B7068"/>
      <c r="M7068"/>
    </row>
    <row r="7069" spans="2:13" ht="15" x14ac:dyDescent="0.25">
      <c r="B7069"/>
      <c r="M7069"/>
    </row>
    <row r="7070" spans="2:13" ht="15" x14ac:dyDescent="0.25">
      <c r="B7070"/>
      <c r="M7070"/>
    </row>
    <row r="7071" spans="2:13" ht="15" x14ac:dyDescent="0.25">
      <c r="B7071"/>
      <c r="M7071"/>
    </row>
    <row r="7072" spans="2:13" ht="15" x14ac:dyDescent="0.25">
      <c r="B7072"/>
      <c r="M7072"/>
    </row>
    <row r="7073" spans="2:13" ht="15" x14ac:dyDescent="0.25">
      <c r="B7073"/>
      <c r="M7073"/>
    </row>
    <row r="7074" spans="2:13" ht="15" x14ac:dyDescent="0.25">
      <c r="B7074"/>
      <c r="M7074"/>
    </row>
    <row r="7075" spans="2:13" ht="15" x14ac:dyDescent="0.25">
      <c r="B7075"/>
      <c r="M7075"/>
    </row>
    <row r="7076" spans="2:13" ht="15" x14ac:dyDescent="0.25">
      <c r="B7076"/>
      <c r="M7076"/>
    </row>
    <row r="7077" spans="2:13" ht="15" x14ac:dyDescent="0.25">
      <c r="B7077"/>
      <c r="M7077"/>
    </row>
    <row r="7078" spans="2:13" ht="15" x14ac:dyDescent="0.25">
      <c r="B7078"/>
      <c r="M7078"/>
    </row>
    <row r="7079" spans="2:13" ht="15" x14ac:dyDescent="0.25">
      <c r="B7079"/>
      <c r="M7079"/>
    </row>
    <row r="7080" spans="2:13" ht="15" x14ac:dyDescent="0.25">
      <c r="B7080"/>
      <c r="M7080"/>
    </row>
    <row r="7081" spans="2:13" ht="15" x14ac:dyDescent="0.25">
      <c r="B7081"/>
      <c r="M7081"/>
    </row>
    <row r="7082" spans="2:13" ht="15" x14ac:dyDescent="0.25">
      <c r="B7082"/>
      <c r="M7082"/>
    </row>
    <row r="7083" spans="2:13" ht="15" x14ac:dyDescent="0.25">
      <c r="B7083"/>
      <c r="M7083"/>
    </row>
    <row r="7084" spans="2:13" ht="15" x14ac:dyDescent="0.25">
      <c r="B7084"/>
      <c r="M7084"/>
    </row>
    <row r="7085" spans="2:13" ht="15" x14ac:dyDescent="0.25">
      <c r="B7085"/>
      <c r="M7085"/>
    </row>
    <row r="7086" spans="2:13" ht="15" x14ac:dyDescent="0.25">
      <c r="B7086"/>
      <c r="M7086"/>
    </row>
    <row r="7087" spans="2:13" ht="15" x14ac:dyDescent="0.25">
      <c r="B7087"/>
      <c r="M7087"/>
    </row>
    <row r="7088" spans="2:13" ht="15" x14ac:dyDescent="0.25">
      <c r="B7088"/>
      <c r="M7088"/>
    </row>
    <row r="7089" spans="2:13" ht="15" x14ac:dyDescent="0.25">
      <c r="B7089"/>
      <c r="M7089"/>
    </row>
    <row r="7090" spans="2:13" ht="15" x14ac:dyDescent="0.25">
      <c r="B7090"/>
      <c r="M7090"/>
    </row>
    <row r="7091" spans="2:13" ht="15" x14ac:dyDescent="0.25">
      <c r="B7091"/>
      <c r="M7091"/>
    </row>
    <row r="7092" spans="2:13" ht="15" x14ac:dyDescent="0.25">
      <c r="B7092"/>
      <c r="M7092"/>
    </row>
    <row r="7093" spans="2:13" ht="15" x14ac:dyDescent="0.25">
      <c r="B7093"/>
      <c r="M7093"/>
    </row>
    <row r="7094" spans="2:13" ht="15" x14ac:dyDescent="0.25">
      <c r="B7094"/>
      <c r="M7094"/>
    </row>
    <row r="7095" spans="2:13" ht="15" x14ac:dyDescent="0.25">
      <c r="B7095"/>
      <c r="M7095"/>
    </row>
    <row r="7096" spans="2:13" ht="15" x14ac:dyDescent="0.25">
      <c r="B7096"/>
      <c r="M7096"/>
    </row>
    <row r="7097" spans="2:13" ht="15" x14ac:dyDescent="0.25">
      <c r="B7097"/>
      <c r="M7097"/>
    </row>
    <row r="7098" spans="2:13" ht="15" x14ac:dyDescent="0.25">
      <c r="B7098"/>
      <c r="M7098"/>
    </row>
    <row r="7099" spans="2:13" ht="15" x14ac:dyDescent="0.25">
      <c r="B7099"/>
      <c r="M7099"/>
    </row>
    <row r="7100" spans="2:13" ht="15" x14ac:dyDescent="0.25">
      <c r="B7100"/>
      <c r="M7100"/>
    </row>
    <row r="7101" spans="2:13" ht="15" x14ac:dyDescent="0.25">
      <c r="B7101"/>
      <c r="M7101"/>
    </row>
    <row r="7102" spans="2:13" ht="15" x14ac:dyDescent="0.25">
      <c r="B7102"/>
      <c r="M7102"/>
    </row>
    <row r="7103" spans="2:13" ht="15" x14ac:dyDescent="0.25">
      <c r="B7103"/>
      <c r="M7103"/>
    </row>
    <row r="7104" spans="2:13" ht="15" x14ac:dyDescent="0.25">
      <c r="B7104"/>
      <c r="M7104"/>
    </row>
    <row r="7105" spans="2:13" ht="15" x14ac:dyDescent="0.25">
      <c r="B7105"/>
      <c r="M7105"/>
    </row>
    <row r="7106" spans="2:13" ht="15" x14ac:dyDescent="0.25">
      <c r="B7106"/>
      <c r="M7106"/>
    </row>
    <row r="7107" spans="2:13" ht="15" x14ac:dyDescent="0.25">
      <c r="B7107"/>
      <c r="M7107"/>
    </row>
    <row r="7108" spans="2:13" ht="15" x14ac:dyDescent="0.25">
      <c r="B7108"/>
      <c r="M7108"/>
    </row>
    <row r="7109" spans="2:13" ht="15" x14ac:dyDescent="0.25">
      <c r="B7109"/>
      <c r="M7109"/>
    </row>
    <row r="7110" spans="2:13" ht="15" x14ac:dyDescent="0.25">
      <c r="B7110"/>
      <c r="M7110"/>
    </row>
    <row r="7111" spans="2:13" ht="15" x14ac:dyDescent="0.25">
      <c r="B7111"/>
      <c r="M7111"/>
    </row>
    <row r="7112" spans="2:13" ht="15" x14ac:dyDescent="0.25">
      <c r="B7112"/>
      <c r="M7112"/>
    </row>
    <row r="7113" spans="2:13" ht="15" x14ac:dyDescent="0.25">
      <c r="B7113"/>
      <c r="M7113"/>
    </row>
    <row r="7114" spans="2:13" ht="15" x14ac:dyDescent="0.25">
      <c r="B7114"/>
      <c r="M7114"/>
    </row>
    <row r="7115" spans="2:13" ht="15" x14ac:dyDescent="0.25">
      <c r="B7115"/>
      <c r="M7115"/>
    </row>
    <row r="7116" spans="2:13" ht="15" x14ac:dyDescent="0.25">
      <c r="B7116"/>
      <c r="M7116"/>
    </row>
    <row r="7117" spans="2:13" ht="15" x14ac:dyDescent="0.25">
      <c r="B7117"/>
      <c r="M7117"/>
    </row>
    <row r="7118" spans="2:13" ht="15" x14ac:dyDescent="0.25">
      <c r="B7118"/>
      <c r="M7118"/>
    </row>
    <row r="7119" spans="2:13" ht="15" x14ac:dyDescent="0.25">
      <c r="B7119"/>
      <c r="M7119"/>
    </row>
    <row r="7120" spans="2:13" ht="15" x14ac:dyDescent="0.25">
      <c r="B7120"/>
      <c r="M7120"/>
    </row>
    <row r="7121" spans="2:13" ht="15" x14ac:dyDescent="0.25">
      <c r="B7121"/>
      <c r="M7121"/>
    </row>
    <row r="7122" spans="2:13" ht="15" x14ac:dyDescent="0.25">
      <c r="B7122"/>
      <c r="M7122"/>
    </row>
    <row r="7123" spans="2:13" ht="15" x14ac:dyDescent="0.25">
      <c r="B7123"/>
      <c r="M7123"/>
    </row>
    <row r="7124" spans="2:13" ht="15" x14ac:dyDescent="0.25">
      <c r="B7124"/>
      <c r="M7124"/>
    </row>
    <row r="7125" spans="2:13" ht="15" x14ac:dyDescent="0.25">
      <c r="B7125"/>
      <c r="M7125"/>
    </row>
    <row r="7126" spans="2:13" ht="15" x14ac:dyDescent="0.25">
      <c r="B7126"/>
      <c r="M7126"/>
    </row>
    <row r="7127" spans="2:13" ht="15" x14ac:dyDescent="0.25">
      <c r="B7127"/>
      <c r="M7127"/>
    </row>
    <row r="7128" spans="2:13" ht="15" x14ac:dyDescent="0.25">
      <c r="B7128"/>
      <c r="M7128"/>
    </row>
    <row r="7129" spans="2:13" ht="15" x14ac:dyDescent="0.25">
      <c r="B7129"/>
      <c r="M7129"/>
    </row>
    <row r="7130" spans="2:13" ht="15" x14ac:dyDescent="0.25">
      <c r="B7130"/>
      <c r="M7130"/>
    </row>
    <row r="7131" spans="2:13" ht="15" x14ac:dyDescent="0.25">
      <c r="B7131"/>
      <c r="M7131"/>
    </row>
    <row r="7132" spans="2:13" ht="15" x14ac:dyDescent="0.25">
      <c r="B7132"/>
      <c r="M7132"/>
    </row>
    <row r="7133" spans="2:13" ht="15" x14ac:dyDescent="0.25">
      <c r="B7133"/>
      <c r="M7133"/>
    </row>
    <row r="7134" spans="2:13" ht="15" x14ac:dyDescent="0.25">
      <c r="B7134"/>
      <c r="M7134"/>
    </row>
    <row r="7135" spans="2:13" ht="15" x14ac:dyDescent="0.25">
      <c r="B7135"/>
      <c r="M7135"/>
    </row>
    <row r="7136" spans="2:13" ht="15" x14ac:dyDescent="0.25">
      <c r="B7136"/>
      <c r="M7136"/>
    </row>
    <row r="7137" spans="2:13" ht="15" x14ac:dyDescent="0.25">
      <c r="B7137"/>
      <c r="M7137"/>
    </row>
    <row r="7138" spans="2:13" ht="15" x14ac:dyDescent="0.25">
      <c r="B7138"/>
      <c r="M7138"/>
    </row>
    <row r="7139" spans="2:13" ht="15" x14ac:dyDescent="0.25">
      <c r="B7139"/>
      <c r="M7139"/>
    </row>
    <row r="7140" spans="2:13" ht="15" x14ac:dyDescent="0.25">
      <c r="B7140"/>
      <c r="M7140"/>
    </row>
    <row r="7141" spans="2:13" ht="15" x14ac:dyDescent="0.25">
      <c r="B7141"/>
      <c r="M7141"/>
    </row>
    <row r="7142" spans="2:13" ht="15" x14ac:dyDescent="0.25">
      <c r="B7142"/>
      <c r="M7142"/>
    </row>
    <row r="7143" spans="2:13" ht="15" x14ac:dyDescent="0.25">
      <c r="B7143"/>
      <c r="M7143"/>
    </row>
    <row r="7144" spans="2:13" ht="15" x14ac:dyDescent="0.25">
      <c r="B7144"/>
      <c r="M7144"/>
    </row>
    <row r="7145" spans="2:13" ht="15" x14ac:dyDescent="0.25">
      <c r="B7145"/>
      <c r="M7145"/>
    </row>
    <row r="7146" spans="2:13" ht="15" x14ac:dyDescent="0.25">
      <c r="B7146"/>
      <c r="M7146"/>
    </row>
    <row r="7147" spans="2:13" ht="15" x14ac:dyDescent="0.25">
      <c r="B7147"/>
      <c r="M7147"/>
    </row>
    <row r="7148" spans="2:13" ht="15" x14ac:dyDescent="0.25">
      <c r="B7148"/>
      <c r="M7148"/>
    </row>
    <row r="7149" spans="2:13" ht="15" x14ac:dyDescent="0.25">
      <c r="B7149"/>
      <c r="M7149"/>
    </row>
    <row r="7150" spans="2:13" ht="15" x14ac:dyDescent="0.25">
      <c r="B7150"/>
      <c r="M7150"/>
    </row>
    <row r="7151" spans="2:13" ht="15" x14ac:dyDescent="0.25">
      <c r="B7151"/>
      <c r="M7151"/>
    </row>
    <row r="7152" spans="2:13" ht="15" x14ac:dyDescent="0.25">
      <c r="B7152"/>
      <c r="M7152"/>
    </row>
    <row r="7153" spans="2:13" ht="15" x14ac:dyDescent="0.25">
      <c r="B7153"/>
      <c r="M7153"/>
    </row>
    <row r="7154" spans="2:13" ht="15" x14ac:dyDescent="0.25">
      <c r="B7154"/>
      <c r="M7154"/>
    </row>
    <row r="7155" spans="2:13" ht="15" x14ac:dyDescent="0.25">
      <c r="B7155"/>
      <c r="M7155"/>
    </row>
    <row r="7156" spans="2:13" ht="15" x14ac:dyDescent="0.25">
      <c r="B7156"/>
      <c r="M7156"/>
    </row>
    <row r="7157" spans="2:13" ht="15" x14ac:dyDescent="0.25">
      <c r="B7157"/>
      <c r="M7157"/>
    </row>
    <row r="7158" spans="2:13" ht="15" x14ac:dyDescent="0.25">
      <c r="B7158"/>
      <c r="M7158"/>
    </row>
    <row r="7159" spans="2:13" ht="15" x14ac:dyDescent="0.25">
      <c r="B7159"/>
      <c r="M7159"/>
    </row>
    <row r="7160" spans="2:13" ht="15" x14ac:dyDescent="0.25">
      <c r="B7160"/>
      <c r="M7160"/>
    </row>
    <row r="7161" spans="2:13" ht="15" x14ac:dyDescent="0.25">
      <c r="B7161"/>
      <c r="M7161"/>
    </row>
    <row r="7162" spans="2:13" ht="15" x14ac:dyDescent="0.25">
      <c r="B7162"/>
      <c r="M7162"/>
    </row>
    <row r="7163" spans="2:13" ht="15" x14ac:dyDescent="0.25">
      <c r="B7163"/>
      <c r="M7163"/>
    </row>
    <row r="7164" spans="2:13" ht="15" x14ac:dyDescent="0.25">
      <c r="B7164"/>
      <c r="M7164"/>
    </row>
    <row r="7165" spans="2:13" ht="15" x14ac:dyDescent="0.25">
      <c r="B7165"/>
      <c r="M7165"/>
    </row>
    <row r="7166" spans="2:13" ht="15" x14ac:dyDescent="0.25">
      <c r="B7166"/>
      <c r="M7166"/>
    </row>
    <row r="7167" spans="2:13" ht="15" x14ac:dyDescent="0.25">
      <c r="B7167"/>
      <c r="M7167"/>
    </row>
    <row r="7168" spans="2:13" ht="15" x14ac:dyDescent="0.25">
      <c r="B7168"/>
      <c r="M7168"/>
    </row>
    <row r="7169" spans="2:13" ht="15" x14ac:dyDescent="0.25">
      <c r="B7169"/>
      <c r="M7169"/>
    </row>
    <row r="7170" spans="2:13" ht="15" x14ac:dyDescent="0.25">
      <c r="B7170"/>
      <c r="M7170"/>
    </row>
    <row r="7171" spans="2:13" ht="15" x14ac:dyDescent="0.25">
      <c r="B7171"/>
      <c r="M7171"/>
    </row>
    <row r="7172" spans="2:13" ht="15" x14ac:dyDescent="0.25">
      <c r="B7172"/>
      <c r="M7172"/>
    </row>
    <row r="7173" spans="2:13" ht="15" x14ac:dyDescent="0.25">
      <c r="B7173"/>
      <c r="M7173"/>
    </row>
    <row r="7174" spans="2:13" ht="15" x14ac:dyDescent="0.25">
      <c r="B7174"/>
      <c r="M7174"/>
    </row>
    <row r="7175" spans="2:13" ht="15" x14ac:dyDescent="0.25">
      <c r="B7175"/>
      <c r="M7175"/>
    </row>
    <row r="7176" spans="2:13" ht="15" x14ac:dyDescent="0.25">
      <c r="B7176"/>
      <c r="M7176"/>
    </row>
    <row r="7177" spans="2:13" ht="15" x14ac:dyDescent="0.25">
      <c r="B7177"/>
      <c r="M7177"/>
    </row>
    <row r="7178" spans="2:13" ht="15" x14ac:dyDescent="0.25">
      <c r="B7178"/>
      <c r="M7178"/>
    </row>
    <row r="7179" spans="2:13" ht="15" x14ac:dyDescent="0.25">
      <c r="B7179"/>
      <c r="M7179"/>
    </row>
    <row r="7180" spans="2:13" ht="15" x14ac:dyDescent="0.25">
      <c r="B7180"/>
      <c r="M7180"/>
    </row>
    <row r="7181" spans="2:13" ht="15" x14ac:dyDescent="0.25">
      <c r="B7181"/>
      <c r="M7181"/>
    </row>
    <row r="7182" spans="2:13" ht="15" x14ac:dyDescent="0.25">
      <c r="B7182"/>
      <c r="M7182"/>
    </row>
    <row r="7183" spans="2:13" ht="15" x14ac:dyDescent="0.25">
      <c r="B7183"/>
      <c r="M7183"/>
    </row>
    <row r="7184" spans="2:13" ht="15" x14ac:dyDescent="0.25">
      <c r="B7184"/>
      <c r="M7184"/>
    </row>
    <row r="7185" spans="2:13" ht="15" x14ac:dyDescent="0.25">
      <c r="B7185"/>
      <c r="M7185"/>
    </row>
    <row r="7186" spans="2:13" ht="15" x14ac:dyDescent="0.25">
      <c r="B7186"/>
      <c r="M7186"/>
    </row>
    <row r="7187" spans="2:13" ht="15" x14ac:dyDescent="0.25">
      <c r="B7187"/>
      <c r="M7187"/>
    </row>
    <row r="7188" spans="2:13" ht="15" x14ac:dyDescent="0.25">
      <c r="B7188"/>
      <c r="M7188"/>
    </row>
    <row r="7189" spans="2:13" ht="15" x14ac:dyDescent="0.25">
      <c r="B7189"/>
      <c r="M7189"/>
    </row>
    <row r="7190" spans="2:13" ht="15" x14ac:dyDescent="0.25">
      <c r="B7190"/>
      <c r="M7190"/>
    </row>
    <row r="7191" spans="2:13" ht="15" x14ac:dyDescent="0.25">
      <c r="B7191"/>
      <c r="M7191"/>
    </row>
    <row r="7192" spans="2:13" ht="15" x14ac:dyDescent="0.25">
      <c r="B7192"/>
      <c r="M7192"/>
    </row>
    <row r="7193" spans="2:13" ht="15" x14ac:dyDescent="0.25">
      <c r="B7193"/>
      <c r="M7193"/>
    </row>
    <row r="7194" spans="2:13" ht="15" x14ac:dyDescent="0.25">
      <c r="B7194"/>
      <c r="M7194"/>
    </row>
    <row r="7195" spans="2:13" ht="15" x14ac:dyDescent="0.25">
      <c r="B7195"/>
      <c r="M7195"/>
    </row>
    <row r="7196" spans="2:13" ht="15" x14ac:dyDescent="0.25">
      <c r="B7196"/>
      <c r="M7196"/>
    </row>
    <row r="7197" spans="2:13" ht="15" x14ac:dyDescent="0.25">
      <c r="B7197"/>
      <c r="M7197"/>
    </row>
    <row r="7198" spans="2:13" ht="15" x14ac:dyDescent="0.25">
      <c r="B7198"/>
      <c r="M7198"/>
    </row>
    <row r="7199" spans="2:13" ht="15" x14ac:dyDescent="0.25">
      <c r="B7199"/>
      <c r="M7199"/>
    </row>
    <row r="7200" spans="2:13" ht="15" x14ac:dyDescent="0.25">
      <c r="B7200"/>
      <c r="M7200"/>
    </row>
    <row r="7201" spans="2:13" ht="15" x14ac:dyDescent="0.25">
      <c r="B7201"/>
      <c r="M7201"/>
    </row>
    <row r="7202" spans="2:13" ht="15" x14ac:dyDescent="0.25">
      <c r="B7202"/>
      <c r="M7202"/>
    </row>
    <row r="7203" spans="2:13" ht="15" x14ac:dyDescent="0.25">
      <c r="B7203"/>
      <c r="M7203"/>
    </row>
    <row r="7204" spans="2:13" ht="15" x14ac:dyDescent="0.25">
      <c r="B7204"/>
      <c r="M7204"/>
    </row>
    <row r="7205" spans="2:13" ht="15" x14ac:dyDescent="0.25">
      <c r="B7205"/>
      <c r="M7205"/>
    </row>
    <row r="7206" spans="2:13" ht="15" x14ac:dyDescent="0.25">
      <c r="B7206"/>
      <c r="M7206"/>
    </row>
    <row r="7207" spans="2:13" ht="15" x14ac:dyDescent="0.25">
      <c r="B7207"/>
      <c r="M7207"/>
    </row>
    <row r="7208" spans="2:13" ht="15" x14ac:dyDescent="0.25">
      <c r="B7208"/>
      <c r="M7208"/>
    </row>
    <row r="7209" spans="2:13" ht="15" x14ac:dyDescent="0.25">
      <c r="B7209"/>
      <c r="M7209"/>
    </row>
    <row r="7210" spans="2:13" ht="15" x14ac:dyDescent="0.25">
      <c r="B7210"/>
      <c r="M7210"/>
    </row>
    <row r="7211" spans="2:13" ht="15" x14ac:dyDescent="0.25">
      <c r="B7211"/>
      <c r="M7211"/>
    </row>
    <row r="7212" spans="2:13" ht="15" x14ac:dyDescent="0.25">
      <c r="B7212"/>
      <c r="M7212"/>
    </row>
    <row r="7213" spans="2:13" ht="15" x14ac:dyDescent="0.25">
      <c r="B7213"/>
      <c r="M7213"/>
    </row>
    <row r="7214" spans="2:13" ht="15" x14ac:dyDescent="0.25">
      <c r="B7214"/>
      <c r="M7214"/>
    </row>
    <row r="7215" spans="2:13" ht="15" x14ac:dyDescent="0.25">
      <c r="B7215"/>
      <c r="M7215"/>
    </row>
    <row r="7216" spans="2:13" ht="15" x14ac:dyDescent="0.25">
      <c r="B7216"/>
      <c r="M7216"/>
    </row>
    <row r="7217" spans="2:13" ht="15" x14ac:dyDescent="0.25">
      <c r="B7217"/>
      <c r="M7217"/>
    </row>
    <row r="7218" spans="2:13" ht="15" x14ac:dyDescent="0.25">
      <c r="B7218"/>
      <c r="M7218"/>
    </row>
    <row r="7219" spans="2:13" ht="15" x14ac:dyDescent="0.25">
      <c r="B7219"/>
      <c r="M7219"/>
    </row>
    <row r="7220" spans="2:13" ht="15" x14ac:dyDescent="0.25">
      <c r="B7220"/>
      <c r="M7220"/>
    </row>
    <row r="7221" spans="2:13" ht="15" x14ac:dyDescent="0.25">
      <c r="B7221"/>
      <c r="M7221"/>
    </row>
    <row r="7222" spans="2:13" ht="15" x14ac:dyDescent="0.25">
      <c r="B7222"/>
      <c r="M7222"/>
    </row>
    <row r="7223" spans="2:13" ht="15" x14ac:dyDescent="0.25">
      <c r="B7223"/>
      <c r="M7223"/>
    </row>
    <row r="7224" spans="2:13" ht="15" x14ac:dyDescent="0.25">
      <c r="B7224"/>
      <c r="M7224"/>
    </row>
    <row r="7225" spans="2:13" ht="15" x14ac:dyDescent="0.25">
      <c r="B7225"/>
      <c r="M7225"/>
    </row>
    <row r="7226" spans="2:13" ht="15" x14ac:dyDescent="0.25">
      <c r="B7226"/>
      <c r="M7226"/>
    </row>
    <row r="7227" spans="2:13" ht="15" x14ac:dyDescent="0.25">
      <c r="B7227"/>
      <c r="M7227"/>
    </row>
    <row r="7228" spans="2:13" ht="15" x14ac:dyDescent="0.25">
      <c r="B7228"/>
      <c r="M7228"/>
    </row>
    <row r="7229" spans="2:13" ht="15" x14ac:dyDescent="0.25">
      <c r="B7229"/>
      <c r="M7229"/>
    </row>
    <row r="7230" spans="2:13" ht="15" x14ac:dyDescent="0.25">
      <c r="B7230"/>
      <c r="M7230"/>
    </row>
    <row r="7231" spans="2:13" ht="15" x14ac:dyDescent="0.25">
      <c r="B7231"/>
      <c r="M7231"/>
    </row>
    <row r="7232" spans="2:13" ht="15" x14ac:dyDescent="0.25">
      <c r="B7232"/>
      <c r="M7232"/>
    </row>
    <row r="7233" spans="2:13" ht="15" x14ac:dyDescent="0.25">
      <c r="B7233"/>
      <c r="M7233"/>
    </row>
    <row r="7234" spans="2:13" ht="15" x14ac:dyDescent="0.25">
      <c r="B7234"/>
      <c r="M7234"/>
    </row>
    <row r="7235" spans="2:13" ht="15" x14ac:dyDescent="0.25">
      <c r="B7235"/>
      <c r="M7235"/>
    </row>
    <row r="7236" spans="2:13" ht="15" x14ac:dyDescent="0.25">
      <c r="B7236"/>
      <c r="M7236"/>
    </row>
    <row r="7237" spans="2:13" ht="15" x14ac:dyDescent="0.25">
      <c r="B7237"/>
      <c r="M7237"/>
    </row>
    <row r="7238" spans="2:13" ht="15" x14ac:dyDescent="0.25">
      <c r="B7238"/>
      <c r="M7238"/>
    </row>
    <row r="7239" spans="2:13" ht="15" x14ac:dyDescent="0.25">
      <c r="B7239"/>
      <c r="M7239"/>
    </row>
    <row r="7240" spans="2:13" ht="15" x14ac:dyDescent="0.25">
      <c r="B7240"/>
      <c r="M7240"/>
    </row>
    <row r="7241" spans="2:13" ht="15" x14ac:dyDescent="0.25">
      <c r="B7241"/>
      <c r="M7241"/>
    </row>
    <row r="7242" spans="2:13" ht="15" x14ac:dyDescent="0.25">
      <c r="B7242"/>
      <c r="M7242"/>
    </row>
    <row r="7243" spans="2:13" ht="15" x14ac:dyDescent="0.25">
      <c r="B7243"/>
      <c r="M7243"/>
    </row>
    <row r="7244" spans="2:13" ht="15" x14ac:dyDescent="0.25">
      <c r="B7244"/>
      <c r="M7244"/>
    </row>
    <row r="7245" spans="2:13" ht="15" x14ac:dyDescent="0.25">
      <c r="B7245"/>
      <c r="M7245"/>
    </row>
    <row r="7246" spans="2:13" ht="15" x14ac:dyDescent="0.25">
      <c r="B7246"/>
      <c r="M7246"/>
    </row>
    <row r="7247" spans="2:13" ht="15" x14ac:dyDescent="0.25">
      <c r="B7247"/>
      <c r="M7247"/>
    </row>
    <row r="7248" spans="2:13" ht="15" x14ac:dyDescent="0.25">
      <c r="B7248"/>
      <c r="M7248"/>
    </row>
    <row r="7249" spans="2:13" ht="15" x14ac:dyDescent="0.25">
      <c r="B7249"/>
      <c r="M7249"/>
    </row>
    <row r="7250" spans="2:13" ht="15" x14ac:dyDescent="0.25">
      <c r="B7250"/>
      <c r="M7250"/>
    </row>
    <row r="7251" spans="2:13" ht="15" x14ac:dyDescent="0.25">
      <c r="B7251"/>
      <c r="M7251"/>
    </row>
    <row r="7252" spans="2:13" ht="15" x14ac:dyDescent="0.25">
      <c r="B7252"/>
      <c r="M7252"/>
    </row>
    <row r="7253" spans="2:13" ht="15" x14ac:dyDescent="0.25">
      <c r="B7253"/>
      <c r="M7253"/>
    </row>
    <row r="7254" spans="2:13" ht="15" x14ac:dyDescent="0.25">
      <c r="B7254"/>
      <c r="M7254"/>
    </row>
    <row r="7255" spans="2:13" ht="15" x14ac:dyDescent="0.25">
      <c r="B7255"/>
      <c r="M7255"/>
    </row>
    <row r="7256" spans="2:13" ht="15" x14ac:dyDescent="0.25">
      <c r="B7256"/>
      <c r="M7256"/>
    </row>
    <row r="7257" spans="2:13" ht="15" x14ac:dyDescent="0.25">
      <c r="B7257"/>
      <c r="M7257"/>
    </row>
    <row r="7258" spans="2:13" ht="15" x14ac:dyDescent="0.25">
      <c r="B7258"/>
      <c r="M7258"/>
    </row>
    <row r="7259" spans="2:13" ht="15" x14ac:dyDescent="0.25">
      <c r="B7259"/>
      <c r="M7259"/>
    </row>
    <row r="7260" spans="2:13" ht="15" x14ac:dyDescent="0.25">
      <c r="B7260"/>
      <c r="M7260"/>
    </row>
    <row r="7261" spans="2:13" ht="15" x14ac:dyDescent="0.25">
      <c r="B7261"/>
      <c r="M7261"/>
    </row>
    <row r="7262" spans="2:13" ht="15" x14ac:dyDescent="0.25">
      <c r="B7262"/>
      <c r="M7262"/>
    </row>
    <row r="7263" spans="2:13" ht="15" x14ac:dyDescent="0.25">
      <c r="B7263"/>
      <c r="M7263"/>
    </row>
    <row r="7264" spans="2:13" ht="15" x14ac:dyDescent="0.25">
      <c r="B7264"/>
      <c r="M7264"/>
    </row>
    <row r="7265" spans="2:13" ht="15" x14ac:dyDescent="0.25">
      <c r="B7265"/>
      <c r="M7265"/>
    </row>
    <row r="7266" spans="2:13" ht="15" x14ac:dyDescent="0.25">
      <c r="B7266"/>
      <c r="M7266"/>
    </row>
    <row r="7267" spans="2:13" ht="15" x14ac:dyDescent="0.25">
      <c r="B7267"/>
      <c r="M7267"/>
    </row>
    <row r="7268" spans="2:13" ht="15" x14ac:dyDescent="0.25">
      <c r="B7268"/>
      <c r="M7268"/>
    </row>
    <row r="7269" spans="2:13" ht="15" x14ac:dyDescent="0.25">
      <c r="B7269"/>
      <c r="M7269"/>
    </row>
    <row r="7270" spans="2:13" ht="15" x14ac:dyDescent="0.25">
      <c r="B7270"/>
      <c r="M7270"/>
    </row>
    <row r="7271" spans="2:13" ht="15" x14ac:dyDescent="0.25">
      <c r="B7271"/>
      <c r="M7271"/>
    </row>
    <row r="7272" spans="2:13" ht="15" x14ac:dyDescent="0.25">
      <c r="B7272"/>
      <c r="M7272"/>
    </row>
    <row r="7273" spans="2:13" ht="15" x14ac:dyDescent="0.25">
      <c r="B7273"/>
      <c r="M7273"/>
    </row>
    <row r="7274" spans="2:13" ht="15" x14ac:dyDescent="0.25">
      <c r="B7274"/>
      <c r="M7274"/>
    </row>
    <row r="7275" spans="2:13" ht="15" x14ac:dyDescent="0.25">
      <c r="B7275"/>
      <c r="M7275"/>
    </row>
    <row r="7276" spans="2:13" ht="15" x14ac:dyDescent="0.25">
      <c r="B7276"/>
      <c r="M7276"/>
    </row>
    <row r="7277" spans="2:13" ht="15" x14ac:dyDescent="0.25">
      <c r="B7277"/>
      <c r="M7277"/>
    </row>
    <row r="7278" spans="2:13" ht="15" x14ac:dyDescent="0.25">
      <c r="B7278"/>
      <c r="M7278"/>
    </row>
    <row r="7279" spans="2:13" ht="15" x14ac:dyDescent="0.25">
      <c r="B7279"/>
      <c r="M7279"/>
    </row>
    <row r="7280" spans="2:13" ht="15" x14ac:dyDescent="0.25">
      <c r="B7280"/>
      <c r="M7280"/>
    </row>
    <row r="7281" spans="2:13" ht="15" x14ac:dyDescent="0.25">
      <c r="B7281"/>
      <c r="M7281"/>
    </row>
    <row r="7282" spans="2:13" ht="15" x14ac:dyDescent="0.25">
      <c r="B7282"/>
      <c r="M7282"/>
    </row>
    <row r="7283" spans="2:13" ht="15" x14ac:dyDescent="0.25">
      <c r="B7283"/>
      <c r="M7283"/>
    </row>
    <row r="7284" spans="2:13" ht="15" x14ac:dyDescent="0.25">
      <c r="B7284"/>
      <c r="M7284"/>
    </row>
    <row r="7285" spans="2:13" ht="15" x14ac:dyDescent="0.25">
      <c r="B7285"/>
      <c r="M7285"/>
    </row>
    <row r="7286" spans="2:13" ht="15" x14ac:dyDescent="0.25">
      <c r="B7286"/>
      <c r="M7286"/>
    </row>
    <row r="7287" spans="2:13" ht="15" x14ac:dyDescent="0.25">
      <c r="B7287"/>
      <c r="M7287"/>
    </row>
    <row r="7288" spans="2:13" ht="15" x14ac:dyDescent="0.25">
      <c r="B7288"/>
      <c r="M7288"/>
    </row>
    <row r="7289" spans="2:13" ht="15" x14ac:dyDescent="0.25">
      <c r="B7289"/>
      <c r="M7289"/>
    </row>
    <row r="7290" spans="2:13" ht="15" x14ac:dyDescent="0.25">
      <c r="B7290"/>
      <c r="M7290"/>
    </row>
    <row r="7291" spans="2:13" ht="15" x14ac:dyDescent="0.25">
      <c r="B7291"/>
      <c r="M7291"/>
    </row>
    <row r="7292" spans="2:13" ht="15" x14ac:dyDescent="0.25">
      <c r="B7292"/>
      <c r="M7292"/>
    </row>
    <row r="7293" spans="2:13" ht="15" x14ac:dyDescent="0.25">
      <c r="B7293"/>
      <c r="M7293"/>
    </row>
    <row r="7294" spans="2:13" ht="15" x14ac:dyDescent="0.25">
      <c r="B7294"/>
      <c r="M7294"/>
    </row>
    <row r="7295" spans="2:13" ht="15" x14ac:dyDescent="0.25">
      <c r="B7295"/>
      <c r="M7295"/>
    </row>
    <row r="7296" spans="2:13" ht="15" x14ac:dyDescent="0.25">
      <c r="B7296"/>
      <c r="M7296"/>
    </row>
    <row r="7297" spans="2:13" ht="15" x14ac:dyDescent="0.25">
      <c r="B7297"/>
      <c r="M7297"/>
    </row>
    <row r="7298" spans="2:13" ht="15" x14ac:dyDescent="0.25">
      <c r="B7298"/>
      <c r="M7298"/>
    </row>
    <row r="7299" spans="2:13" ht="15" x14ac:dyDescent="0.25">
      <c r="B7299"/>
      <c r="M7299"/>
    </row>
    <row r="7300" spans="2:13" ht="15" x14ac:dyDescent="0.25">
      <c r="B7300"/>
      <c r="M7300"/>
    </row>
    <row r="7301" spans="2:13" ht="15" x14ac:dyDescent="0.25">
      <c r="B7301"/>
      <c r="M7301"/>
    </row>
    <row r="7302" spans="2:13" ht="15" x14ac:dyDescent="0.25">
      <c r="B7302"/>
      <c r="M7302"/>
    </row>
    <row r="7303" spans="2:13" ht="15" x14ac:dyDescent="0.25">
      <c r="B7303"/>
      <c r="M7303"/>
    </row>
    <row r="7304" spans="2:13" ht="15" x14ac:dyDescent="0.25">
      <c r="B7304"/>
      <c r="M7304"/>
    </row>
    <row r="7305" spans="2:13" ht="15" x14ac:dyDescent="0.25">
      <c r="B7305"/>
      <c r="M7305"/>
    </row>
    <row r="7306" spans="2:13" ht="15" x14ac:dyDescent="0.25">
      <c r="B7306"/>
      <c r="M7306"/>
    </row>
    <row r="7307" spans="2:13" ht="15" x14ac:dyDescent="0.25">
      <c r="B7307"/>
      <c r="M7307"/>
    </row>
    <row r="7308" spans="2:13" ht="15" x14ac:dyDescent="0.25">
      <c r="B7308"/>
      <c r="M7308"/>
    </row>
    <row r="7309" spans="2:13" ht="15" x14ac:dyDescent="0.25">
      <c r="B7309"/>
      <c r="M7309"/>
    </row>
    <row r="7310" spans="2:13" ht="15" x14ac:dyDescent="0.25">
      <c r="B7310"/>
      <c r="M7310"/>
    </row>
    <row r="7311" spans="2:13" ht="15" x14ac:dyDescent="0.25">
      <c r="B7311"/>
      <c r="M7311"/>
    </row>
    <row r="7312" spans="2:13" ht="15" x14ac:dyDescent="0.25">
      <c r="B7312"/>
      <c r="M7312"/>
    </row>
    <row r="7313" spans="2:13" ht="15" x14ac:dyDescent="0.25">
      <c r="B7313"/>
      <c r="M7313"/>
    </row>
    <row r="7314" spans="2:13" ht="15" x14ac:dyDescent="0.25">
      <c r="B7314"/>
      <c r="M7314"/>
    </row>
    <row r="7315" spans="2:13" ht="15" x14ac:dyDescent="0.25">
      <c r="B7315"/>
      <c r="M7315"/>
    </row>
    <row r="7316" spans="2:13" ht="15" x14ac:dyDescent="0.25">
      <c r="B7316"/>
      <c r="M7316"/>
    </row>
    <row r="7317" spans="2:13" ht="15" x14ac:dyDescent="0.25">
      <c r="B7317"/>
      <c r="M7317"/>
    </row>
    <row r="7318" spans="2:13" ht="15" x14ac:dyDescent="0.25">
      <c r="B7318"/>
      <c r="M7318"/>
    </row>
    <row r="7319" spans="2:13" ht="15" x14ac:dyDescent="0.25">
      <c r="B7319"/>
      <c r="M7319"/>
    </row>
    <row r="7320" spans="2:13" ht="15" x14ac:dyDescent="0.25">
      <c r="B7320"/>
      <c r="M7320"/>
    </row>
    <row r="7321" spans="2:13" ht="15" x14ac:dyDescent="0.25">
      <c r="B7321"/>
      <c r="M7321"/>
    </row>
    <row r="7322" spans="2:13" ht="15" x14ac:dyDescent="0.25">
      <c r="B7322"/>
      <c r="M7322"/>
    </row>
    <row r="7323" spans="2:13" ht="15" x14ac:dyDescent="0.25">
      <c r="B7323"/>
      <c r="M7323"/>
    </row>
    <row r="7324" spans="2:13" ht="15" x14ac:dyDescent="0.25">
      <c r="B7324"/>
      <c r="M7324"/>
    </row>
    <row r="7325" spans="2:13" ht="15" x14ac:dyDescent="0.25">
      <c r="B7325"/>
      <c r="M7325"/>
    </row>
    <row r="7326" spans="2:13" ht="15" x14ac:dyDescent="0.25">
      <c r="B7326"/>
      <c r="M7326"/>
    </row>
    <row r="7327" spans="2:13" ht="15" x14ac:dyDescent="0.25">
      <c r="B7327"/>
      <c r="M7327"/>
    </row>
    <row r="7328" spans="2:13" ht="15" x14ac:dyDescent="0.25">
      <c r="B7328"/>
      <c r="M7328"/>
    </row>
    <row r="7329" spans="2:13" ht="15" x14ac:dyDescent="0.25">
      <c r="B7329"/>
      <c r="M7329"/>
    </row>
    <row r="7330" spans="2:13" ht="15" x14ac:dyDescent="0.25">
      <c r="B7330"/>
      <c r="M7330"/>
    </row>
    <row r="7331" spans="2:13" ht="15" x14ac:dyDescent="0.25">
      <c r="B7331"/>
      <c r="M7331"/>
    </row>
    <row r="7332" spans="2:13" ht="15" x14ac:dyDescent="0.25">
      <c r="B7332"/>
      <c r="M7332"/>
    </row>
    <row r="7333" spans="2:13" ht="15" x14ac:dyDescent="0.25">
      <c r="B7333"/>
      <c r="M7333"/>
    </row>
    <row r="7334" spans="2:13" ht="15" x14ac:dyDescent="0.25">
      <c r="B7334"/>
      <c r="M7334"/>
    </row>
    <row r="7335" spans="2:13" ht="15" x14ac:dyDescent="0.25">
      <c r="B7335"/>
      <c r="M7335"/>
    </row>
    <row r="7336" spans="2:13" ht="15" x14ac:dyDescent="0.25">
      <c r="B7336"/>
      <c r="M7336"/>
    </row>
    <row r="7337" spans="2:13" ht="15" x14ac:dyDescent="0.25">
      <c r="B7337"/>
      <c r="M7337"/>
    </row>
    <row r="7338" spans="2:13" ht="15" x14ac:dyDescent="0.25">
      <c r="B7338"/>
      <c r="M7338"/>
    </row>
    <row r="7339" spans="2:13" ht="15" x14ac:dyDescent="0.25">
      <c r="B7339"/>
      <c r="M7339"/>
    </row>
    <row r="7340" spans="2:13" ht="15" x14ac:dyDescent="0.25">
      <c r="B7340"/>
      <c r="M7340"/>
    </row>
    <row r="7341" spans="2:13" ht="15" x14ac:dyDescent="0.25">
      <c r="B7341"/>
      <c r="M7341"/>
    </row>
    <row r="7342" spans="2:13" ht="15" x14ac:dyDescent="0.25">
      <c r="B7342"/>
      <c r="M7342"/>
    </row>
    <row r="7343" spans="2:13" ht="15" x14ac:dyDescent="0.25">
      <c r="B7343"/>
      <c r="M7343"/>
    </row>
    <row r="7344" spans="2:13" ht="15" x14ac:dyDescent="0.25">
      <c r="B7344"/>
      <c r="M7344"/>
    </row>
    <row r="7345" spans="2:13" ht="15" x14ac:dyDescent="0.25">
      <c r="B7345"/>
      <c r="M7345"/>
    </row>
    <row r="7346" spans="2:13" ht="15" x14ac:dyDescent="0.25">
      <c r="B7346"/>
      <c r="M7346"/>
    </row>
    <row r="7347" spans="2:13" ht="15" x14ac:dyDescent="0.25">
      <c r="B7347"/>
      <c r="M7347"/>
    </row>
    <row r="7348" spans="2:13" ht="15" x14ac:dyDescent="0.25">
      <c r="B7348"/>
      <c r="M7348"/>
    </row>
    <row r="7349" spans="2:13" ht="15" x14ac:dyDescent="0.25">
      <c r="B7349"/>
      <c r="M7349"/>
    </row>
    <row r="7350" spans="2:13" ht="15" x14ac:dyDescent="0.25">
      <c r="B7350"/>
      <c r="M7350"/>
    </row>
    <row r="7351" spans="2:13" ht="15" x14ac:dyDescent="0.25">
      <c r="B7351"/>
      <c r="M7351"/>
    </row>
    <row r="7352" spans="2:13" ht="15" x14ac:dyDescent="0.25">
      <c r="B7352"/>
      <c r="M7352"/>
    </row>
    <row r="7353" spans="2:13" ht="15" x14ac:dyDescent="0.25">
      <c r="B7353"/>
      <c r="M7353"/>
    </row>
    <row r="7354" spans="2:13" ht="15" x14ac:dyDescent="0.25">
      <c r="B7354"/>
      <c r="M7354"/>
    </row>
    <row r="7355" spans="2:13" ht="15" x14ac:dyDescent="0.25">
      <c r="B7355"/>
      <c r="M7355"/>
    </row>
    <row r="7356" spans="2:13" ht="15" x14ac:dyDescent="0.25">
      <c r="B7356"/>
      <c r="M7356"/>
    </row>
    <row r="7357" spans="2:13" ht="15" x14ac:dyDescent="0.25">
      <c r="B7357"/>
      <c r="M7357"/>
    </row>
    <row r="7358" spans="2:13" ht="15" x14ac:dyDescent="0.25">
      <c r="B7358"/>
      <c r="M7358"/>
    </row>
    <row r="7359" spans="2:13" ht="15" x14ac:dyDescent="0.25">
      <c r="B7359"/>
      <c r="M7359"/>
    </row>
    <row r="7360" spans="2:13" ht="15" x14ac:dyDescent="0.25">
      <c r="B7360"/>
      <c r="M7360"/>
    </row>
    <row r="7361" spans="2:13" ht="15" x14ac:dyDescent="0.25">
      <c r="B7361"/>
      <c r="M7361"/>
    </row>
    <row r="7362" spans="2:13" ht="15" x14ac:dyDescent="0.25">
      <c r="B7362"/>
      <c r="M7362"/>
    </row>
    <row r="7363" spans="2:13" ht="15" x14ac:dyDescent="0.25">
      <c r="B7363"/>
      <c r="M7363"/>
    </row>
    <row r="7364" spans="2:13" ht="15" x14ac:dyDescent="0.25">
      <c r="B7364"/>
      <c r="M7364"/>
    </row>
    <row r="7365" spans="2:13" ht="15" x14ac:dyDescent="0.25">
      <c r="B7365"/>
      <c r="M7365"/>
    </row>
    <row r="7366" spans="2:13" ht="15" x14ac:dyDescent="0.25">
      <c r="B7366"/>
      <c r="M7366"/>
    </row>
    <row r="7367" spans="2:13" ht="15" x14ac:dyDescent="0.25">
      <c r="B7367"/>
      <c r="M7367"/>
    </row>
    <row r="7368" spans="2:13" ht="15" x14ac:dyDescent="0.25">
      <c r="B7368"/>
      <c r="M7368"/>
    </row>
    <row r="7369" spans="2:13" ht="15" x14ac:dyDescent="0.25">
      <c r="B7369"/>
      <c r="M7369"/>
    </row>
    <row r="7370" spans="2:13" ht="15" x14ac:dyDescent="0.25">
      <c r="B7370"/>
      <c r="M7370"/>
    </row>
    <row r="7371" spans="2:13" ht="15" x14ac:dyDescent="0.25">
      <c r="B7371"/>
      <c r="M7371"/>
    </row>
    <row r="7372" spans="2:13" ht="15" x14ac:dyDescent="0.25">
      <c r="B7372"/>
      <c r="M7372"/>
    </row>
    <row r="7373" spans="2:13" ht="15" x14ac:dyDescent="0.25">
      <c r="B7373"/>
      <c r="M7373"/>
    </row>
    <row r="7374" spans="2:13" ht="15" x14ac:dyDescent="0.25">
      <c r="B7374"/>
      <c r="M7374"/>
    </row>
    <row r="7375" spans="2:13" ht="15" x14ac:dyDescent="0.25">
      <c r="B7375"/>
      <c r="M7375"/>
    </row>
    <row r="7376" spans="2:13" ht="15" x14ac:dyDescent="0.25">
      <c r="B7376"/>
      <c r="M7376"/>
    </row>
    <row r="7377" spans="2:13" ht="15" x14ac:dyDescent="0.25">
      <c r="B7377"/>
      <c r="M7377"/>
    </row>
    <row r="7378" spans="2:13" ht="15" x14ac:dyDescent="0.25">
      <c r="B7378"/>
      <c r="M7378"/>
    </row>
    <row r="7379" spans="2:13" ht="15" x14ac:dyDescent="0.25">
      <c r="B7379"/>
      <c r="M7379"/>
    </row>
    <row r="7380" spans="2:13" ht="15" x14ac:dyDescent="0.25">
      <c r="B7380"/>
      <c r="M7380"/>
    </row>
    <row r="7381" spans="2:13" ht="15" x14ac:dyDescent="0.25">
      <c r="B7381"/>
      <c r="M7381"/>
    </row>
    <row r="7382" spans="2:13" ht="15" x14ac:dyDescent="0.25">
      <c r="B7382"/>
      <c r="M7382"/>
    </row>
    <row r="7383" spans="2:13" ht="15" x14ac:dyDescent="0.25">
      <c r="B7383"/>
      <c r="M7383"/>
    </row>
    <row r="7384" spans="2:13" ht="15" x14ac:dyDescent="0.25">
      <c r="B7384"/>
      <c r="M7384"/>
    </row>
    <row r="7385" spans="2:13" ht="15" x14ac:dyDescent="0.25">
      <c r="B7385"/>
      <c r="M7385"/>
    </row>
    <row r="7386" spans="2:13" ht="15" x14ac:dyDescent="0.25">
      <c r="B7386"/>
      <c r="M7386"/>
    </row>
    <row r="7387" spans="2:13" ht="15" x14ac:dyDescent="0.25">
      <c r="B7387"/>
      <c r="M7387"/>
    </row>
    <row r="7388" spans="2:13" ht="15" x14ac:dyDescent="0.25">
      <c r="B7388"/>
      <c r="M7388"/>
    </row>
    <row r="7389" spans="2:13" ht="15" x14ac:dyDescent="0.25">
      <c r="B7389"/>
      <c r="M7389"/>
    </row>
    <row r="7390" spans="2:13" ht="15" x14ac:dyDescent="0.25">
      <c r="B7390"/>
      <c r="M7390"/>
    </row>
    <row r="7391" spans="2:13" ht="15" x14ac:dyDescent="0.25">
      <c r="B7391"/>
      <c r="M7391"/>
    </row>
    <row r="7392" spans="2:13" ht="15" x14ac:dyDescent="0.25">
      <c r="B7392"/>
      <c r="M7392"/>
    </row>
    <row r="7393" spans="2:13" ht="15" x14ac:dyDescent="0.25">
      <c r="B7393"/>
      <c r="M7393"/>
    </row>
    <row r="7394" spans="2:13" ht="15" x14ac:dyDescent="0.25">
      <c r="B7394"/>
      <c r="M7394"/>
    </row>
    <row r="7395" spans="2:13" ht="15" x14ac:dyDescent="0.25">
      <c r="B7395"/>
      <c r="M7395"/>
    </row>
    <row r="7396" spans="2:13" ht="15" x14ac:dyDescent="0.25">
      <c r="B7396"/>
      <c r="M7396"/>
    </row>
    <row r="7397" spans="2:13" ht="15" x14ac:dyDescent="0.25">
      <c r="B7397"/>
      <c r="M7397"/>
    </row>
    <row r="7398" spans="2:13" ht="15" x14ac:dyDescent="0.25">
      <c r="B7398"/>
      <c r="M7398"/>
    </row>
    <row r="7399" spans="2:13" ht="15" x14ac:dyDescent="0.25">
      <c r="B7399"/>
      <c r="M7399"/>
    </row>
    <row r="7400" spans="2:13" ht="15" x14ac:dyDescent="0.25">
      <c r="B7400"/>
      <c r="M7400"/>
    </row>
    <row r="7401" spans="2:13" ht="15" x14ac:dyDescent="0.25">
      <c r="B7401"/>
      <c r="M7401"/>
    </row>
    <row r="7402" spans="2:13" ht="15" x14ac:dyDescent="0.25">
      <c r="B7402"/>
      <c r="M7402"/>
    </row>
    <row r="7403" spans="2:13" ht="15" x14ac:dyDescent="0.25">
      <c r="B7403"/>
      <c r="M7403"/>
    </row>
    <row r="7404" spans="2:13" ht="15" x14ac:dyDescent="0.25">
      <c r="B7404"/>
      <c r="M7404"/>
    </row>
    <row r="7405" spans="2:13" ht="15" x14ac:dyDescent="0.25">
      <c r="B7405"/>
      <c r="M7405"/>
    </row>
    <row r="7406" spans="2:13" ht="15" x14ac:dyDescent="0.25">
      <c r="B7406"/>
      <c r="M7406"/>
    </row>
    <row r="7407" spans="2:13" ht="15" x14ac:dyDescent="0.25">
      <c r="B7407"/>
      <c r="M7407"/>
    </row>
    <row r="7408" spans="2:13" ht="15" x14ac:dyDescent="0.25">
      <c r="B7408"/>
      <c r="M7408"/>
    </row>
    <row r="7409" spans="2:13" ht="15" x14ac:dyDescent="0.25">
      <c r="B7409"/>
      <c r="M7409"/>
    </row>
    <row r="7410" spans="2:13" ht="15" x14ac:dyDescent="0.25">
      <c r="B7410"/>
      <c r="M7410"/>
    </row>
    <row r="7411" spans="2:13" ht="15" x14ac:dyDescent="0.25">
      <c r="B7411"/>
      <c r="M7411"/>
    </row>
    <row r="7412" spans="2:13" ht="15" x14ac:dyDescent="0.25">
      <c r="B7412"/>
      <c r="M7412"/>
    </row>
    <row r="7413" spans="2:13" ht="15" x14ac:dyDescent="0.25">
      <c r="B7413"/>
      <c r="M7413"/>
    </row>
    <row r="7414" spans="2:13" ht="15" x14ac:dyDescent="0.25">
      <c r="B7414"/>
      <c r="M7414"/>
    </row>
    <row r="7415" spans="2:13" ht="15" x14ac:dyDescent="0.25">
      <c r="B7415"/>
      <c r="M7415"/>
    </row>
    <row r="7416" spans="2:13" ht="15" x14ac:dyDescent="0.25">
      <c r="B7416"/>
      <c r="M7416"/>
    </row>
    <row r="7417" spans="2:13" ht="15" x14ac:dyDescent="0.25">
      <c r="B7417"/>
      <c r="M7417"/>
    </row>
    <row r="7418" spans="2:13" ht="15" x14ac:dyDescent="0.25">
      <c r="B7418"/>
      <c r="M7418"/>
    </row>
    <row r="7419" spans="2:13" ht="15" x14ac:dyDescent="0.25">
      <c r="B7419"/>
      <c r="M7419"/>
    </row>
    <row r="7420" spans="2:13" ht="15" x14ac:dyDescent="0.25">
      <c r="B7420"/>
      <c r="M7420"/>
    </row>
    <row r="7421" spans="2:13" ht="15" x14ac:dyDescent="0.25">
      <c r="B7421"/>
      <c r="M7421"/>
    </row>
    <row r="7422" spans="2:13" ht="15" x14ac:dyDescent="0.25">
      <c r="B7422"/>
      <c r="M7422"/>
    </row>
    <row r="7423" spans="2:13" ht="15" x14ac:dyDescent="0.25">
      <c r="B7423"/>
      <c r="M7423"/>
    </row>
    <row r="7424" spans="2:13" ht="15" x14ac:dyDescent="0.25">
      <c r="B7424"/>
      <c r="M7424"/>
    </row>
    <row r="7425" spans="2:13" ht="15" x14ac:dyDescent="0.25">
      <c r="B7425"/>
      <c r="M7425"/>
    </row>
    <row r="7426" spans="2:13" ht="15" x14ac:dyDescent="0.25">
      <c r="B7426"/>
      <c r="M7426"/>
    </row>
    <row r="7427" spans="2:13" ht="15" x14ac:dyDescent="0.25">
      <c r="B7427"/>
      <c r="M7427"/>
    </row>
    <row r="7428" spans="2:13" ht="15" x14ac:dyDescent="0.25">
      <c r="B7428"/>
      <c r="M7428"/>
    </row>
    <row r="7429" spans="2:13" ht="15" x14ac:dyDescent="0.25">
      <c r="B7429"/>
      <c r="M7429"/>
    </row>
    <row r="7430" spans="2:13" ht="15" x14ac:dyDescent="0.25">
      <c r="B7430"/>
      <c r="M7430"/>
    </row>
    <row r="7431" spans="2:13" ht="15" x14ac:dyDescent="0.25">
      <c r="B7431"/>
      <c r="M7431"/>
    </row>
    <row r="7432" spans="2:13" ht="15" x14ac:dyDescent="0.25">
      <c r="B7432"/>
      <c r="M7432"/>
    </row>
    <row r="7433" spans="2:13" ht="15" x14ac:dyDescent="0.25">
      <c r="B7433"/>
      <c r="M7433"/>
    </row>
    <row r="7434" spans="2:13" ht="15" x14ac:dyDescent="0.25">
      <c r="B7434"/>
      <c r="M7434"/>
    </row>
    <row r="7435" spans="2:13" ht="15" x14ac:dyDescent="0.25">
      <c r="B7435"/>
      <c r="M7435"/>
    </row>
    <row r="7436" spans="2:13" ht="15" x14ac:dyDescent="0.25">
      <c r="B7436"/>
      <c r="M7436"/>
    </row>
    <row r="7437" spans="2:13" ht="15" x14ac:dyDescent="0.25">
      <c r="B7437"/>
      <c r="M7437"/>
    </row>
    <row r="7438" spans="2:13" ht="15" x14ac:dyDescent="0.25">
      <c r="B7438"/>
      <c r="M7438"/>
    </row>
    <row r="7439" spans="2:13" ht="15" x14ac:dyDescent="0.25">
      <c r="B7439"/>
      <c r="M7439"/>
    </row>
    <row r="7440" spans="2:13" ht="15" x14ac:dyDescent="0.25">
      <c r="B7440"/>
      <c r="M7440"/>
    </row>
    <row r="7441" spans="2:13" ht="15" x14ac:dyDescent="0.25">
      <c r="B7441"/>
      <c r="M7441"/>
    </row>
    <row r="7442" spans="2:13" ht="15" x14ac:dyDescent="0.25">
      <c r="B7442"/>
      <c r="M7442"/>
    </row>
    <row r="7443" spans="2:13" ht="15" x14ac:dyDescent="0.25">
      <c r="B7443"/>
      <c r="M7443"/>
    </row>
    <row r="7444" spans="2:13" ht="15" x14ac:dyDescent="0.25">
      <c r="B7444"/>
      <c r="M7444"/>
    </row>
    <row r="7445" spans="2:13" ht="15" x14ac:dyDescent="0.25">
      <c r="B7445"/>
      <c r="M7445"/>
    </row>
    <row r="7446" spans="2:13" ht="15" x14ac:dyDescent="0.25">
      <c r="B7446"/>
      <c r="M7446"/>
    </row>
    <row r="7447" spans="2:13" ht="15" x14ac:dyDescent="0.25">
      <c r="B7447"/>
      <c r="M7447"/>
    </row>
    <row r="7448" spans="2:13" ht="15" x14ac:dyDescent="0.25">
      <c r="B7448"/>
      <c r="M7448"/>
    </row>
    <row r="7449" spans="2:13" ht="15" x14ac:dyDescent="0.25">
      <c r="B7449"/>
      <c r="M7449"/>
    </row>
    <row r="7450" spans="2:13" ht="15" x14ac:dyDescent="0.25">
      <c r="B7450"/>
      <c r="M7450"/>
    </row>
    <row r="7451" spans="2:13" ht="15" x14ac:dyDescent="0.25">
      <c r="B7451"/>
      <c r="M7451"/>
    </row>
    <row r="7452" spans="2:13" ht="15" x14ac:dyDescent="0.25">
      <c r="B7452"/>
      <c r="M7452"/>
    </row>
    <row r="7453" spans="2:13" ht="15" x14ac:dyDescent="0.25">
      <c r="B7453"/>
      <c r="M7453"/>
    </row>
    <row r="7454" spans="2:13" ht="15" x14ac:dyDescent="0.25">
      <c r="B7454"/>
      <c r="M7454"/>
    </row>
    <row r="7455" spans="2:13" ht="15" x14ac:dyDescent="0.25">
      <c r="B7455"/>
      <c r="M7455"/>
    </row>
    <row r="7456" spans="2:13" ht="15" x14ac:dyDescent="0.25">
      <c r="B7456"/>
      <c r="M7456"/>
    </row>
    <row r="7457" spans="2:13" ht="15" x14ac:dyDescent="0.25">
      <c r="B7457"/>
      <c r="M7457"/>
    </row>
    <row r="7458" spans="2:13" ht="15" x14ac:dyDescent="0.25">
      <c r="B7458"/>
      <c r="M7458"/>
    </row>
    <row r="7459" spans="2:13" ht="15" x14ac:dyDescent="0.25">
      <c r="B7459"/>
      <c r="M7459"/>
    </row>
    <row r="7460" spans="2:13" ht="15" x14ac:dyDescent="0.25">
      <c r="B7460"/>
      <c r="M7460"/>
    </row>
    <row r="7461" spans="2:13" ht="15" x14ac:dyDescent="0.25">
      <c r="B7461"/>
      <c r="M7461"/>
    </row>
    <row r="7462" spans="2:13" ht="15" x14ac:dyDescent="0.25">
      <c r="B7462"/>
      <c r="M7462"/>
    </row>
    <row r="7463" spans="2:13" ht="15" x14ac:dyDescent="0.25">
      <c r="B7463"/>
      <c r="M7463"/>
    </row>
    <row r="7464" spans="2:13" ht="15" x14ac:dyDescent="0.25">
      <c r="B7464"/>
      <c r="M7464"/>
    </row>
    <row r="7465" spans="2:13" ht="15" x14ac:dyDescent="0.25">
      <c r="B7465"/>
      <c r="M7465"/>
    </row>
    <row r="7466" spans="2:13" ht="15" x14ac:dyDescent="0.25">
      <c r="B7466"/>
      <c r="M7466"/>
    </row>
    <row r="7467" spans="2:13" ht="15" x14ac:dyDescent="0.25">
      <c r="B7467"/>
      <c r="M7467"/>
    </row>
    <row r="7468" spans="2:13" ht="15" x14ac:dyDescent="0.25">
      <c r="B7468"/>
      <c r="M7468"/>
    </row>
    <row r="7469" spans="2:13" ht="15" x14ac:dyDescent="0.25">
      <c r="B7469"/>
      <c r="M7469"/>
    </row>
    <row r="7470" spans="2:13" ht="15" x14ac:dyDescent="0.25">
      <c r="B7470"/>
      <c r="M7470"/>
    </row>
    <row r="7471" spans="2:13" ht="15" x14ac:dyDescent="0.25">
      <c r="B7471"/>
      <c r="M7471"/>
    </row>
    <row r="7472" spans="2:13" ht="15" x14ac:dyDescent="0.25">
      <c r="B7472"/>
      <c r="M7472"/>
    </row>
    <row r="7473" spans="2:13" ht="15" x14ac:dyDescent="0.25">
      <c r="B7473"/>
      <c r="M7473"/>
    </row>
    <row r="7474" spans="2:13" ht="15" x14ac:dyDescent="0.25">
      <c r="B7474"/>
      <c r="M7474"/>
    </row>
    <row r="7475" spans="2:13" ht="15" x14ac:dyDescent="0.25">
      <c r="B7475"/>
      <c r="M7475"/>
    </row>
    <row r="7476" spans="2:13" ht="15" x14ac:dyDescent="0.25">
      <c r="B7476"/>
      <c r="M7476"/>
    </row>
    <row r="7477" spans="2:13" ht="15" x14ac:dyDescent="0.25">
      <c r="B7477"/>
      <c r="M7477"/>
    </row>
    <row r="7478" spans="2:13" ht="15" x14ac:dyDescent="0.25">
      <c r="B7478"/>
      <c r="M7478"/>
    </row>
    <row r="7479" spans="2:13" ht="15" x14ac:dyDescent="0.25">
      <c r="B7479"/>
      <c r="M7479"/>
    </row>
    <row r="7480" spans="2:13" ht="15" x14ac:dyDescent="0.25">
      <c r="B7480"/>
      <c r="M7480"/>
    </row>
    <row r="7481" spans="2:13" ht="15" x14ac:dyDescent="0.25">
      <c r="B7481"/>
      <c r="M7481"/>
    </row>
    <row r="7482" spans="2:13" ht="15" x14ac:dyDescent="0.25">
      <c r="B7482"/>
      <c r="M7482"/>
    </row>
    <row r="7483" spans="2:13" ht="15" x14ac:dyDescent="0.25">
      <c r="B7483"/>
      <c r="M7483"/>
    </row>
    <row r="7484" spans="2:13" ht="15" x14ac:dyDescent="0.25">
      <c r="B7484"/>
      <c r="M7484"/>
    </row>
    <row r="7485" spans="2:13" ht="15" x14ac:dyDescent="0.25">
      <c r="B7485"/>
      <c r="M7485"/>
    </row>
    <row r="7486" spans="2:13" ht="15" x14ac:dyDescent="0.25">
      <c r="B7486"/>
      <c r="M7486"/>
    </row>
    <row r="7487" spans="2:13" ht="15" x14ac:dyDescent="0.25">
      <c r="B7487"/>
      <c r="M7487"/>
    </row>
    <row r="7488" spans="2:13" ht="15" x14ac:dyDescent="0.25">
      <c r="B7488"/>
      <c r="M7488"/>
    </row>
    <row r="7489" spans="2:13" ht="15" x14ac:dyDescent="0.25">
      <c r="B7489"/>
      <c r="M7489"/>
    </row>
    <row r="7490" spans="2:13" ht="15" x14ac:dyDescent="0.25">
      <c r="B7490"/>
      <c r="M7490"/>
    </row>
    <row r="7491" spans="2:13" ht="15" x14ac:dyDescent="0.25">
      <c r="B7491"/>
      <c r="M7491"/>
    </row>
    <row r="7492" spans="2:13" ht="15" x14ac:dyDescent="0.25">
      <c r="B7492"/>
      <c r="M7492"/>
    </row>
    <row r="7493" spans="2:13" ht="15" x14ac:dyDescent="0.25">
      <c r="B7493"/>
      <c r="M7493"/>
    </row>
    <row r="7494" spans="2:13" ht="15" x14ac:dyDescent="0.25">
      <c r="B7494"/>
      <c r="M7494"/>
    </row>
    <row r="7495" spans="2:13" ht="15" x14ac:dyDescent="0.25">
      <c r="B7495"/>
      <c r="M7495"/>
    </row>
    <row r="7496" spans="2:13" ht="15" x14ac:dyDescent="0.25">
      <c r="B7496"/>
      <c r="M7496"/>
    </row>
    <row r="7497" spans="2:13" ht="15" x14ac:dyDescent="0.25">
      <c r="B7497"/>
      <c r="M7497"/>
    </row>
    <row r="7498" spans="2:13" ht="15" x14ac:dyDescent="0.25">
      <c r="B7498"/>
      <c r="M7498"/>
    </row>
    <row r="7499" spans="2:13" ht="15" x14ac:dyDescent="0.25">
      <c r="B7499"/>
      <c r="M7499"/>
    </row>
    <row r="7500" spans="2:13" ht="15" x14ac:dyDescent="0.25">
      <c r="B7500"/>
      <c r="M7500"/>
    </row>
    <row r="7501" spans="2:13" ht="15" x14ac:dyDescent="0.25">
      <c r="B7501"/>
      <c r="M7501"/>
    </row>
    <row r="7502" spans="2:13" ht="15" x14ac:dyDescent="0.25">
      <c r="B7502"/>
      <c r="M7502"/>
    </row>
    <row r="7503" spans="2:13" ht="15" x14ac:dyDescent="0.25">
      <c r="B7503"/>
      <c r="M7503"/>
    </row>
    <row r="7504" spans="2:13" ht="15" x14ac:dyDescent="0.25">
      <c r="B7504"/>
      <c r="M7504"/>
    </row>
    <row r="7505" spans="2:13" ht="15" x14ac:dyDescent="0.25">
      <c r="B7505"/>
      <c r="M7505"/>
    </row>
    <row r="7506" spans="2:13" ht="15" x14ac:dyDescent="0.25">
      <c r="B7506"/>
      <c r="M7506"/>
    </row>
    <row r="7507" spans="2:13" ht="15" x14ac:dyDescent="0.25">
      <c r="B7507"/>
      <c r="M7507"/>
    </row>
    <row r="7508" spans="2:13" ht="15" x14ac:dyDescent="0.25">
      <c r="B7508"/>
      <c r="M7508"/>
    </row>
    <row r="7509" spans="2:13" ht="15" x14ac:dyDescent="0.25">
      <c r="B7509"/>
      <c r="M7509"/>
    </row>
    <row r="7510" spans="2:13" ht="15" x14ac:dyDescent="0.25">
      <c r="B7510"/>
      <c r="M7510"/>
    </row>
    <row r="7511" spans="2:13" ht="15" x14ac:dyDescent="0.25">
      <c r="B7511"/>
      <c r="M7511"/>
    </row>
    <row r="7512" spans="2:13" ht="15" x14ac:dyDescent="0.25">
      <c r="B7512"/>
      <c r="M7512"/>
    </row>
    <row r="7513" spans="2:13" ht="15" x14ac:dyDescent="0.25">
      <c r="B7513"/>
      <c r="M7513"/>
    </row>
    <row r="7514" spans="2:13" ht="15" x14ac:dyDescent="0.25">
      <c r="B7514"/>
      <c r="M7514"/>
    </row>
    <row r="7515" spans="2:13" ht="15" x14ac:dyDescent="0.25">
      <c r="B7515"/>
      <c r="M7515"/>
    </row>
    <row r="7516" spans="2:13" ht="15" x14ac:dyDescent="0.25">
      <c r="B7516"/>
      <c r="M7516"/>
    </row>
    <row r="7517" spans="2:13" ht="15" x14ac:dyDescent="0.25">
      <c r="B7517"/>
      <c r="M7517"/>
    </row>
    <row r="7518" spans="2:13" ht="15" x14ac:dyDescent="0.25">
      <c r="B7518"/>
      <c r="M7518"/>
    </row>
    <row r="7519" spans="2:13" ht="15" x14ac:dyDescent="0.25">
      <c r="B7519"/>
      <c r="M7519"/>
    </row>
    <row r="7520" spans="2:13" ht="15" x14ac:dyDescent="0.25">
      <c r="B7520"/>
      <c r="M7520"/>
    </row>
    <row r="7521" spans="2:13" ht="15" x14ac:dyDescent="0.25">
      <c r="B7521"/>
      <c r="M7521"/>
    </row>
    <row r="7522" spans="2:13" ht="15" x14ac:dyDescent="0.25">
      <c r="B7522"/>
      <c r="M7522"/>
    </row>
    <row r="7523" spans="2:13" ht="15" x14ac:dyDescent="0.25">
      <c r="B7523"/>
      <c r="M7523"/>
    </row>
    <row r="7524" spans="2:13" ht="15" x14ac:dyDescent="0.25">
      <c r="B7524"/>
      <c r="M7524"/>
    </row>
    <row r="7525" spans="2:13" ht="15" x14ac:dyDescent="0.25">
      <c r="B7525"/>
      <c r="M7525"/>
    </row>
    <row r="7526" spans="2:13" ht="15" x14ac:dyDescent="0.25">
      <c r="B7526"/>
      <c r="M7526"/>
    </row>
    <row r="7527" spans="2:13" ht="15" x14ac:dyDescent="0.25">
      <c r="B7527"/>
      <c r="M7527"/>
    </row>
    <row r="7528" spans="2:13" ht="15" x14ac:dyDescent="0.25">
      <c r="B7528"/>
      <c r="M7528"/>
    </row>
    <row r="7529" spans="2:13" ht="15" x14ac:dyDescent="0.25">
      <c r="B7529"/>
      <c r="M7529"/>
    </row>
    <row r="7530" spans="2:13" ht="15" x14ac:dyDescent="0.25">
      <c r="B7530"/>
      <c r="M7530"/>
    </row>
    <row r="7531" spans="2:13" ht="15" x14ac:dyDescent="0.25">
      <c r="B7531"/>
      <c r="M7531"/>
    </row>
    <row r="7532" spans="2:13" ht="15" x14ac:dyDescent="0.25">
      <c r="B7532"/>
      <c r="M7532"/>
    </row>
    <row r="7533" spans="2:13" ht="15" x14ac:dyDescent="0.25">
      <c r="B7533"/>
      <c r="M7533"/>
    </row>
    <row r="7534" spans="2:13" ht="15" x14ac:dyDescent="0.25">
      <c r="B7534"/>
      <c r="M7534"/>
    </row>
    <row r="7535" spans="2:13" ht="15" x14ac:dyDescent="0.25">
      <c r="B7535"/>
      <c r="M7535"/>
    </row>
    <row r="7536" spans="2:13" ht="15" x14ac:dyDescent="0.25">
      <c r="B7536"/>
      <c r="M7536"/>
    </row>
    <row r="7537" spans="2:13" ht="15" x14ac:dyDescent="0.25">
      <c r="B7537"/>
      <c r="M7537"/>
    </row>
    <row r="7538" spans="2:13" ht="15" x14ac:dyDescent="0.25">
      <c r="B7538"/>
      <c r="M7538"/>
    </row>
    <row r="7539" spans="2:13" ht="15" x14ac:dyDescent="0.25">
      <c r="B7539"/>
      <c r="M7539"/>
    </row>
    <row r="7540" spans="2:13" ht="15" x14ac:dyDescent="0.25">
      <c r="B7540"/>
      <c r="M7540"/>
    </row>
    <row r="7541" spans="2:13" ht="15" x14ac:dyDescent="0.25">
      <c r="B7541"/>
      <c r="M7541"/>
    </row>
    <row r="7542" spans="2:13" ht="15" x14ac:dyDescent="0.25">
      <c r="B7542"/>
      <c r="M7542"/>
    </row>
    <row r="7543" spans="2:13" ht="15" x14ac:dyDescent="0.25">
      <c r="B7543"/>
      <c r="M7543"/>
    </row>
    <row r="7544" spans="2:13" ht="15" x14ac:dyDescent="0.25">
      <c r="B7544"/>
      <c r="M7544"/>
    </row>
    <row r="7545" spans="2:13" ht="15" x14ac:dyDescent="0.25">
      <c r="B7545"/>
      <c r="M7545"/>
    </row>
    <row r="7546" spans="2:13" ht="15" x14ac:dyDescent="0.25">
      <c r="B7546"/>
      <c r="M7546"/>
    </row>
    <row r="7547" spans="2:13" ht="15" x14ac:dyDescent="0.25">
      <c r="B7547"/>
      <c r="M7547"/>
    </row>
    <row r="7548" spans="2:13" ht="15" x14ac:dyDescent="0.25">
      <c r="B7548"/>
      <c r="M7548"/>
    </row>
    <row r="7549" spans="2:13" ht="15" x14ac:dyDescent="0.25">
      <c r="B7549"/>
      <c r="M7549"/>
    </row>
    <row r="7550" spans="2:13" ht="15" x14ac:dyDescent="0.25">
      <c r="B7550"/>
      <c r="M7550"/>
    </row>
    <row r="7551" spans="2:13" ht="15" x14ac:dyDescent="0.25">
      <c r="B7551"/>
      <c r="M7551"/>
    </row>
    <row r="7552" spans="2:13" ht="15" x14ac:dyDescent="0.25">
      <c r="B7552"/>
      <c r="M7552"/>
    </row>
    <row r="7553" spans="2:13" ht="15" x14ac:dyDescent="0.25">
      <c r="B7553"/>
      <c r="M7553"/>
    </row>
    <row r="7554" spans="2:13" ht="15" x14ac:dyDescent="0.25">
      <c r="B7554"/>
      <c r="M7554"/>
    </row>
    <row r="7555" spans="2:13" ht="15" x14ac:dyDescent="0.25">
      <c r="B7555"/>
      <c r="M7555"/>
    </row>
    <row r="7556" spans="2:13" ht="15" x14ac:dyDescent="0.25">
      <c r="B7556"/>
      <c r="M7556"/>
    </row>
    <row r="7557" spans="2:13" ht="15" x14ac:dyDescent="0.25">
      <c r="B7557"/>
      <c r="M7557"/>
    </row>
    <row r="7558" spans="2:13" ht="15" x14ac:dyDescent="0.25">
      <c r="B7558"/>
      <c r="M7558"/>
    </row>
    <row r="7559" spans="2:13" ht="15" x14ac:dyDescent="0.25">
      <c r="B7559"/>
      <c r="M7559"/>
    </row>
    <row r="7560" spans="2:13" ht="15" x14ac:dyDescent="0.25">
      <c r="B7560"/>
      <c r="M7560"/>
    </row>
    <row r="7561" spans="2:13" ht="15" x14ac:dyDescent="0.25">
      <c r="B7561"/>
      <c r="M7561"/>
    </row>
    <row r="7562" spans="2:13" ht="15" x14ac:dyDescent="0.25">
      <c r="B7562"/>
      <c r="M7562"/>
    </row>
    <row r="7563" spans="2:13" ht="15" x14ac:dyDescent="0.25">
      <c r="B7563"/>
      <c r="M7563"/>
    </row>
    <row r="7564" spans="2:13" ht="15" x14ac:dyDescent="0.25">
      <c r="B7564"/>
      <c r="M7564"/>
    </row>
    <row r="7565" spans="2:13" ht="15" x14ac:dyDescent="0.25">
      <c r="B7565"/>
      <c r="M7565"/>
    </row>
    <row r="7566" spans="2:13" ht="15" x14ac:dyDescent="0.25">
      <c r="B7566"/>
      <c r="M7566"/>
    </row>
    <row r="7567" spans="2:13" ht="15" x14ac:dyDescent="0.25">
      <c r="B7567"/>
      <c r="M7567"/>
    </row>
    <row r="7568" spans="2:13" ht="15" x14ac:dyDescent="0.25">
      <c r="B7568"/>
      <c r="M7568"/>
    </row>
    <row r="7569" spans="2:13" ht="15" x14ac:dyDescent="0.25">
      <c r="B7569"/>
      <c r="M7569"/>
    </row>
    <row r="7570" spans="2:13" ht="15" x14ac:dyDescent="0.25">
      <c r="B7570"/>
      <c r="M7570"/>
    </row>
    <row r="7571" spans="2:13" ht="15" x14ac:dyDescent="0.25">
      <c r="B7571"/>
      <c r="M7571"/>
    </row>
    <row r="7572" spans="2:13" ht="15" x14ac:dyDescent="0.25">
      <c r="B7572"/>
      <c r="M7572"/>
    </row>
    <row r="7573" spans="2:13" ht="15" x14ac:dyDescent="0.25">
      <c r="B7573"/>
      <c r="M7573"/>
    </row>
    <row r="7574" spans="2:13" ht="15" x14ac:dyDescent="0.25">
      <c r="B7574"/>
      <c r="M7574"/>
    </row>
    <row r="7575" spans="2:13" ht="15" x14ac:dyDescent="0.25">
      <c r="B7575"/>
      <c r="M7575"/>
    </row>
    <row r="7576" spans="2:13" ht="15" x14ac:dyDescent="0.25">
      <c r="B7576"/>
      <c r="M7576"/>
    </row>
    <row r="7577" spans="2:13" ht="15" x14ac:dyDescent="0.25">
      <c r="B7577"/>
      <c r="M7577"/>
    </row>
    <row r="7578" spans="2:13" ht="15" x14ac:dyDescent="0.25">
      <c r="B7578"/>
      <c r="M7578"/>
    </row>
    <row r="7579" spans="2:13" ht="15" x14ac:dyDescent="0.25">
      <c r="B7579"/>
      <c r="M7579"/>
    </row>
    <row r="7580" spans="2:13" ht="15" x14ac:dyDescent="0.25">
      <c r="B7580"/>
      <c r="M7580"/>
    </row>
    <row r="7581" spans="2:13" ht="15" x14ac:dyDescent="0.25">
      <c r="B7581"/>
      <c r="M7581"/>
    </row>
    <row r="7582" spans="2:13" ht="15" x14ac:dyDescent="0.25">
      <c r="B7582"/>
      <c r="M7582"/>
    </row>
    <row r="7583" spans="2:13" ht="15" x14ac:dyDescent="0.25">
      <c r="B7583"/>
      <c r="M7583"/>
    </row>
    <row r="7584" spans="2:13" ht="15" x14ac:dyDescent="0.25">
      <c r="B7584"/>
      <c r="M7584"/>
    </row>
    <row r="7585" spans="2:13" ht="15" x14ac:dyDescent="0.25">
      <c r="B7585"/>
      <c r="M7585"/>
    </row>
    <row r="7586" spans="2:13" ht="15" x14ac:dyDescent="0.25">
      <c r="B7586"/>
      <c r="M7586"/>
    </row>
    <row r="7587" spans="2:13" ht="15" x14ac:dyDescent="0.25">
      <c r="B7587"/>
      <c r="M7587"/>
    </row>
    <row r="7588" spans="2:13" ht="15" x14ac:dyDescent="0.25">
      <c r="B7588"/>
      <c r="M7588"/>
    </row>
    <row r="7589" spans="2:13" ht="15" x14ac:dyDescent="0.25">
      <c r="B7589"/>
      <c r="M7589"/>
    </row>
    <row r="7590" spans="2:13" ht="15" x14ac:dyDescent="0.25">
      <c r="B7590"/>
      <c r="M7590"/>
    </row>
    <row r="7591" spans="2:13" ht="15" x14ac:dyDescent="0.25">
      <c r="B7591"/>
      <c r="M7591"/>
    </row>
    <row r="7592" spans="2:13" ht="15" x14ac:dyDescent="0.25">
      <c r="B7592"/>
      <c r="M7592"/>
    </row>
    <row r="7593" spans="2:13" ht="15" x14ac:dyDescent="0.25">
      <c r="B7593"/>
      <c r="M7593"/>
    </row>
    <row r="7594" spans="2:13" ht="15" x14ac:dyDescent="0.25">
      <c r="B7594"/>
      <c r="M7594"/>
    </row>
    <row r="7595" spans="2:13" ht="15" x14ac:dyDescent="0.25">
      <c r="B7595"/>
      <c r="M7595"/>
    </row>
    <row r="7596" spans="2:13" ht="15" x14ac:dyDescent="0.25">
      <c r="B7596"/>
      <c r="M7596"/>
    </row>
    <row r="7597" spans="2:13" ht="15" x14ac:dyDescent="0.25">
      <c r="B7597"/>
      <c r="M7597"/>
    </row>
    <row r="7598" spans="2:13" ht="15" x14ac:dyDescent="0.25">
      <c r="B7598"/>
      <c r="M7598"/>
    </row>
    <row r="7599" spans="2:13" ht="15" x14ac:dyDescent="0.25">
      <c r="B7599"/>
      <c r="M7599"/>
    </row>
    <row r="7600" spans="2:13" ht="15" x14ac:dyDescent="0.25">
      <c r="B7600"/>
      <c r="M7600"/>
    </row>
    <row r="7601" spans="2:13" ht="15" x14ac:dyDescent="0.25">
      <c r="B7601"/>
      <c r="M7601"/>
    </row>
    <row r="7602" spans="2:13" ht="15" x14ac:dyDescent="0.25">
      <c r="B7602"/>
      <c r="M7602"/>
    </row>
    <row r="7603" spans="2:13" ht="15" x14ac:dyDescent="0.25">
      <c r="B7603"/>
      <c r="M7603"/>
    </row>
    <row r="7604" spans="2:13" ht="15" x14ac:dyDescent="0.25">
      <c r="B7604"/>
      <c r="M7604"/>
    </row>
    <row r="7605" spans="2:13" ht="15" x14ac:dyDescent="0.25">
      <c r="B7605"/>
      <c r="M7605"/>
    </row>
    <row r="7606" spans="2:13" ht="15" x14ac:dyDescent="0.25">
      <c r="B7606"/>
      <c r="M7606"/>
    </row>
    <row r="7607" spans="2:13" ht="15" x14ac:dyDescent="0.25">
      <c r="B7607"/>
      <c r="M7607"/>
    </row>
    <row r="7608" spans="2:13" ht="15" x14ac:dyDescent="0.25">
      <c r="B7608"/>
      <c r="M7608"/>
    </row>
    <row r="7609" spans="2:13" ht="15" x14ac:dyDescent="0.25">
      <c r="B7609"/>
      <c r="M7609"/>
    </row>
    <row r="7610" spans="2:13" ht="15" x14ac:dyDescent="0.25">
      <c r="B7610"/>
      <c r="M7610"/>
    </row>
    <row r="7611" spans="2:13" ht="15" x14ac:dyDescent="0.25">
      <c r="B7611"/>
      <c r="M7611"/>
    </row>
    <row r="7612" spans="2:13" ht="15" x14ac:dyDescent="0.25">
      <c r="B7612"/>
      <c r="M7612"/>
    </row>
    <row r="7613" spans="2:13" ht="15" x14ac:dyDescent="0.25">
      <c r="B7613"/>
      <c r="M7613"/>
    </row>
    <row r="7614" spans="2:13" ht="15" x14ac:dyDescent="0.25">
      <c r="B7614"/>
      <c r="M7614"/>
    </row>
    <row r="7615" spans="2:13" ht="15" x14ac:dyDescent="0.25">
      <c r="B7615"/>
      <c r="M7615"/>
    </row>
    <row r="7616" spans="2:13" ht="15" x14ac:dyDescent="0.25">
      <c r="B7616"/>
      <c r="M7616"/>
    </row>
    <row r="7617" spans="2:13" ht="15" x14ac:dyDescent="0.25">
      <c r="B7617"/>
      <c r="M7617"/>
    </row>
    <row r="7618" spans="2:13" ht="15" x14ac:dyDescent="0.25">
      <c r="B7618"/>
      <c r="M7618"/>
    </row>
    <row r="7619" spans="2:13" ht="15" x14ac:dyDescent="0.25">
      <c r="B7619"/>
      <c r="M7619"/>
    </row>
    <row r="7620" spans="2:13" ht="15" x14ac:dyDescent="0.25">
      <c r="B7620"/>
      <c r="M7620"/>
    </row>
    <row r="7621" spans="2:13" ht="15" x14ac:dyDescent="0.25">
      <c r="B7621"/>
      <c r="M7621"/>
    </row>
    <row r="7622" spans="2:13" ht="15" x14ac:dyDescent="0.25">
      <c r="B7622"/>
      <c r="M7622"/>
    </row>
    <row r="7623" spans="2:13" ht="15" x14ac:dyDescent="0.25">
      <c r="B7623"/>
      <c r="M7623"/>
    </row>
    <row r="7624" spans="2:13" ht="15" x14ac:dyDescent="0.25">
      <c r="B7624"/>
      <c r="M7624"/>
    </row>
    <row r="7625" spans="2:13" ht="15" x14ac:dyDescent="0.25">
      <c r="B7625"/>
      <c r="M7625"/>
    </row>
    <row r="7626" spans="2:13" ht="15" x14ac:dyDescent="0.25">
      <c r="B7626"/>
      <c r="M7626"/>
    </row>
    <row r="7627" spans="2:13" ht="15" x14ac:dyDescent="0.25">
      <c r="B7627"/>
      <c r="M7627"/>
    </row>
    <row r="7628" spans="2:13" ht="15" x14ac:dyDescent="0.25">
      <c r="B7628"/>
      <c r="M7628"/>
    </row>
    <row r="7629" spans="2:13" ht="15" x14ac:dyDescent="0.25">
      <c r="B7629"/>
      <c r="M7629"/>
    </row>
    <row r="7630" spans="2:13" ht="15" x14ac:dyDescent="0.25">
      <c r="B7630"/>
      <c r="M7630"/>
    </row>
    <row r="7631" spans="2:13" ht="15" x14ac:dyDescent="0.25">
      <c r="B7631"/>
      <c r="M7631"/>
    </row>
    <row r="7632" spans="2:13" ht="15" x14ac:dyDescent="0.25">
      <c r="B7632"/>
      <c r="M7632"/>
    </row>
    <row r="7633" spans="2:13" ht="15" x14ac:dyDescent="0.25">
      <c r="B7633"/>
      <c r="M7633"/>
    </row>
    <row r="7634" spans="2:13" ht="15" x14ac:dyDescent="0.25">
      <c r="B7634"/>
      <c r="M7634"/>
    </row>
    <row r="7635" spans="2:13" ht="15" x14ac:dyDescent="0.25">
      <c r="B7635"/>
      <c r="M7635"/>
    </row>
    <row r="7636" spans="2:13" ht="15" x14ac:dyDescent="0.25">
      <c r="B7636"/>
      <c r="M7636"/>
    </row>
    <row r="7637" spans="2:13" ht="15" x14ac:dyDescent="0.25">
      <c r="B7637"/>
      <c r="M7637"/>
    </row>
    <row r="7638" spans="2:13" ht="15" x14ac:dyDescent="0.25">
      <c r="B7638"/>
      <c r="M7638"/>
    </row>
    <row r="7639" spans="2:13" ht="15" x14ac:dyDescent="0.25">
      <c r="B7639"/>
      <c r="M7639"/>
    </row>
    <row r="7640" spans="2:13" ht="15" x14ac:dyDescent="0.25">
      <c r="B7640"/>
      <c r="M7640"/>
    </row>
    <row r="7641" spans="2:13" ht="15" x14ac:dyDescent="0.25">
      <c r="B7641"/>
      <c r="M7641"/>
    </row>
    <row r="7642" spans="2:13" ht="15" x14ac:dyDescent="0.25">
      <c r="B7642"/>
      <c r="M7642"/>
    </row>
    <row r="7643" spans="2:13" ht="15" x14ac:dyDescent="0.25">
      <c r="B7643"/>
      <c r="M7643"/>
    </row>
    <row r="7644" spans="2:13" ht="15" x14ac:dyDescent="0.25">
      <c r="B7644"/>
      <c r="M7644"/>
    </row>
    <row r="7645" spans="2:13" ht="15" x14ac:dyDescent="0.25">
      <c r="B7645"/>
      <c r="M7645"/>
    </row>
    <row r="7646" spans="2:13" ht="15" x14ac:dyDescent="0.25">
      <c r="B7646"/>
      <c r="M7646"/>
    </row>
    <row r="7647" spans="2:13" ht="15" x14ac:dyDescent="0.25">
      <c r="B7647"/>
      <c r="M7647"/>
    </row>
    <row r="7648" spans="2:13" ht="15" x14ac:dyDescent="0.25">
      <c r="B7648"/>
      <c r="M7648"/>
    </row>
    <row r="7649" spans="2:13" ht="15" x14ac:dyDescent="0.25">
      <c r="B7649"/>
      <c r="M7649"/>
    </row>
    <row r="7650" spans="2:13" ht="15" x14ac:dyDescent="0.25">
      <c r="B7650"/>
      <c r="M7650"/>
    </row>
    <row r="7651" spans="2:13" ht="15" x14ac:dyDescent="0.25">
      <c r="B7651"/>
      <c r="M7651"/>
    </row>
    <row r="7652" spans="2:13" ht="15" x14ac:dyDescent="0.25">
      <c r="B7652"/>
      <c r="M7652"/>
    </row>
    <row r="7653" spans="2:13" ht="15" x14ac:dyDescent="0.25">
      <c r="B7653"/>
      <c r="M7653"/>
    </row>
    <row r="7654" spans="2:13" ht="15" x14ac:dyDescent="0.25">
      <c r="B7654"/>
      <c r="M7654"/>
    </row>
    <row r="7655" spans="2:13" ht="15" x14ac:dyDescent="0.25">
      <c r="B7655"/>
      <c r="M7655"/>
    </row>
    <row r="7656" spans="2:13" ht="15" x14ac:dyDescent="0.25">
      <c r="B7656"/>
      <c r="M7656"/>
    </row>
    <row r="7657" spans="2:13" ht="15" x14ac:dyDescent="0.25">
      <c r="B7657"/>
      <c r="M7657"/>
    </row>
    <row r="7658" spans="2:13" ht="15" x14ac:dyDescent="0.25">
      <c r="B7658"/>
      <c r="M7658"/>
    </row>
    <row r="7659" spans="2:13" ht="15" x14ac:dyDescent="0.25">
      <c r="B7659"/>
      <c r="M7659"/>
    </row>
    <row r="7660" spans="2:13" ht="15" x14ac:dyDescent="0.25">
      <c r="B7660"/>
      <c r="M7660"/>
    </row>
    <row r="7661" spans="2:13" ht="15" x14ac:dyDescent="0.25">
      <c r="B7661"/>
      <c r="M7661"/>
    </row>
    <row r="7662" spans="2:13" ht="15" x14ac:dyDescent="0.25">
      <c r="B7662"/>
      <c r="M7662"/>
    </row>
    <row r="7663" spans="2:13" ht="15" x14ac:dyDescent="0.25">
      <c r="B7663"/>
      <c r="M7663"/>
    </row>
    <row r="7664" spans="2:13" ht="15" x14ac:dyDescent="0.25">
      <c r="B7664"/>
      <c r="M7664"/>
    </row>
    <row r="7665" spans="2:13" ht="15" x14ac:dyDescent="0.25">
      <c r="B7665"/>
      <c r="M7665"/>
    </row>
    <row r="7666" spans="2:13" ht="15" x14ac:dyDescent="0.25">
      <c r="B7666"/>
      <c r="M7666"/>
    </row>
    <row r="7667" spans="2:13" ht="15" x14ac:dyDescent="0.25">
      <c r="B7667"/>
      <c r="M7667"/>
    </row>
    <row r="7668" spans="2:13" ht="15" x14ac:dyDescent="0.25">
      <c r="B7668"/>
      <c r="M7668"/>
    </row>
    <row r="7669" spans="2:13" ht="15" x14ac:dyDescent="0.25">
      <c r="B7669"/>
      <c r="M7669"/>
    </row>
    <row r="7670" spans="2:13" ht="15" x14ac:dyDescent="0.25">
      <c r="B7670"/>
      <c r="M7670"/>
    </row>
    <row r="7671" spans="2:13" ht="15" x14ac:dyDescent="0.25">
      <c r="B7671"/>
      <c r="M7671"/>
    </row>
    <row r="7672" spans="2:13" ht="15" x14ac:dyDescent="0.25">
      <c r="B7672"/>
      <c r="M7672"/>
    </row>
    <row r="7673" spans="2:13" ht="15" x14ac:dyDescent="0.25">
      <c r="B7673"/>
      <c r="M7673"/>
    </row>
    <row r="7674" spans="2:13" ht="15" x14ac:dyDescent="0.25">
      <c r="B7674"/>
      <c r="M7674"/>
    </row>
    <row r="7675" spans="2:13" ht="15" x14ac:dyDescent="0.25">
      <c r="B7675"/>
      <c r="M7675"/>
    </row>
    <row r="7676" spans="2:13" ht="15" x14ac:dyDescent="0.25">
      <c r="B7676"/>
      <c r="M7676"/>
    </row>
    <row r="7677" spans="2:13" ht="15" x14ac:dyDescent="0.25">
      <c r="B7677"/>
      <c r="M7677"/>
    </row>
    <row r="7678" spans="2:13" ht="15" x14ac:dyDescent="0.25">
      <c r="B7678"/>
      <c r="M7678"/>
    </row>
    <row r="7679" spans="2:13" ht="15" x14ac:dyDescent="0.25">
      <c r="B7679"/>
      <c r="M7679"/>
    </row>
    <row r="7680" spans="2:13" ht="15" x14ac:dyDescent="0.25">
      <c r="B7680"/>
      <c r="M7680"/>
    </row>
    <row r="7681" spans="2:13" ht="15" x14ac:dyDescent="0.25">
      <c r="B7681"/>
      <c r="M7681"/>
    </row>
    <row r="7682" spans="2:13" ht="15" x14ac:dyDescent="0.25">
      <c r="B7682"/>
      <c r="M7682"/>
    </row>
    <row r="7683" spans="2:13" ht="15" x14ac:dyDescent="0.25">
      <c r="B7683"/>
      <c r="M7683"/>
    </row>
    <row r="7684" spans="2:13" ht="15" x14ac:dyDescent="0.25">
      <c r="B7684"/>
      <c r="M7684"/>
    </row>
    <row r="7685" spans="2:13" ht="15" x14ac:dyDescent="0.25">
      <c r="B7685"/>
      <c r="M7685"/>
    </row>
    <row r="7686" spans="2:13" ht="15" x14ac:dyDescent="0.25">
      <c r="B7686"/>
      <c r="M7686"/>
    </row>
    <row r="7687" spans="2:13" ht="15" x14ac:dyDescent="0.25">
      <c r="B7687"/>
      <c r="M7687"/>
    </row>
    <row r="7688" spans="2:13" ht="15" x14ac:dyDescent="0.25">
      <c r="B7688"/>
      <c r="M7688"/>
    </row>
    <row r="7689" spans="2:13" ht="15" x14ac:dyDescent="0.25">
      <c r="B7689"/>
      <c r="M7689"/>
    </row>
    <row r="7690" spans="2:13" ht="15" x14ac:dyDescent="0.25">
      <c r="B7690"/>
      <c r="M7690"/>
    </row>
    <row r="7691" spans="2:13" ht="15" x14ac:dyDescent="0.25">
      <c r="B7691"/>
      <c r="M7691"/>
    </row>
    <row r="7692" spans="2:13" ht="15" x14ac:dyDescent="0.25">
      <c r="B7692"/>
      <c r="M7692"/>
    </row>
    <row r="7693" spans="2:13" ht="15" x14ac:dyDescent="0.25">
      <c r="B7693"/>
      <c r="M7693"/>
    </row>
    <row r="7694" spans="2:13" ht="15" x14ac:dyDescent="0.25">
      <c r="B7694"/>
      <c r="M7694"/>
    </row>
    <row r="7695" spans="2:13" ht="15" x14ac:dyDescent="0.25">
      <c r="B7695"/>
      <c r="M7695"/>
    </row>
    <row r="7696" spans="2:13" ht="15" x14ac:dyDescent="0.25">
      <c r="B7696"/>
      <c r="M7696"/>
    </row>
    <row r="7697" spans="2:13" ht="15" x14ac:dyDescent="0.25">
      <c r="B7697"/>
      <c r="M7697"/>
    </row>
    <row r="7698" spans="2:13" ht="15" x14ac:dyDescent="0.25">
      <c r="B7698"/>
      <c r="M7698"/>
    </row>
    <row r="7699" spans="2:13" ht="15" x14ac:dyDescent="0.25">
      <c r="B7699"/>
      <c r="M7699"/>
    </row>
    <row r="7700" spans="2:13" ht="15" x14ac:dyDescent="0.25">
      <c r="B7700"/>
      <c r="M7700"/>
    </row>
    <row r="7701" spans="2:13" ht="15" x14ac:dyDescent="0.25">
      <c r="B7701"/>
      <c r="M7701"/>
    </row>
    <row r="7702" spans="2:13" ht="15" x14ac:dyDescent="0.25">
      <c r="B7702"/>
      <c r="M7702"/>
    </row>
    <row r="7703" spans="2:13" ht="15" x14ac:dyDescent="0.25">
      <c r="B7703"/>
      <c r="M7703"/>
    </row>
    <row r="7704" spans="2:13" ht="15" x14ac:dyDescent="0.25">
      <c r="B7704"/>
      <c r="M7704"/>
    </row>
    <row r="7705" spans="2:13" ht="15" x14ac:dyDescent="0.25">
      <c r="B7705"/>
      <c r="M7705"/>
    </row>
    <row r="7706" spans="2:13" ht="15" x14ac:dyDescent="0.25">
      <c r="B7706"/>
      <c r="M7706"/>
    </row>
    <row r="7707" spans="2:13" ht="15" x14ac:dyDescent="0.25">
      <c r="B7707"/>
      <c r="M7707"/>
    </row>
    <row r="7708" spans="2:13" ht="15" x14ac:dyDescent="0.25">
      <c r="B7708"/>
      <c r="M7708"/>
    </row>
    <row r="7709" spans="2:13" ht="15" x14ac:dyDescent="0.25">
      <c r="B7709"/>
      <c r="M7709"/>
    </row>
    <row r="7710" spans="2:13" ht="15" x14ac:dyDescent="0.25">
      <c r="B7710"/>
      <c r="M7710"/>
    </row>
    <row r="7711" spans="2:13" ht="15" x14ac:dyDescent="0.25">
      <c r="B7711"/>
      <c r="M7711"/>
    </row>
    <row r="7712" spans="2:13" ht="15" x14ac:dyDescent="0.25">
      <c r="B7712"/>
      <c r="M7712"/>
    </row>
    <row r="7713" spans="2:13" ht="15" x14ac:dyDescent="0.25">
      <c r="B7713"/>
      <c r="M7713"/>
    </row>
    <row r="7714" spans="2:13" ht="15" x14ac:dyDescent="0.25">
      <c r="B7714"/>
      <c r="M7714"/>
    </row>
    <row r="7715" spans="2:13" ht="15" x14ac:dyDescent="0.25">
      <c r="B7715"/>
      <c r="M7715"/>
    </row>
    <row r="7716" spans="2:13" ht="15" x14ac:dyDescent="0.25">
      <c r="B7716"/>
      <c r="M7716"/>
    </row>
    <row r="7717" spans="2:13" ht="15" x14ac:dyDescent="0.25">
      <c r="B7717"/>
      <c r="M7717"/>
    </row>
    <row r="7718" spans="2:13" ht="15" x14ac:dyDescent="0.25">
      <c r="B7718"/>
      <c r="M7718"/>
    </row>
    <row r="7719" spans="2:13" ht="15" x14ac:dyDescent="0.25">
      <c r="B7719"/>
      <c r="M7719"/>
    </row>
    <row r="7720" spans="2:13" ht="15" x14ac:dyDescent="0.25">
      <c r="B7720"/>
      <c r="M7720"/>
    </row>
    <row r="7721" spans="2:13" ht="15" x14ac:dyDescent="0.25">
      <c r="B7721"/>
      <c r="M7721"/>
    </row>
    <row r="7722" spans="2:13" ht="15" x14ac:dyDescent="0.25">
      <c r="B7722"/>
      <c r="M7722"/>
    </row>
    <row r="7723" spans="2:13" ht="15" x14ac:dyDescent="0.25">
      <c r="B7723"/>
      <c r="M7723"/>
    </row>
    <row r="7724" spans="2:13" ht="15" x14ac:dyDescent="0.25">
      <c r="B7724"/>
      <c r="M7724"/>
    </row>
    <row r="7725" spans="2:13" ht="15" x14ac:dyDescent="0.25">
      <c r="B7725"/>
      <c r="M7725"/>
    </row>
    <row r="7726" spans="2:13" ht="15" x14ac:dyDescent="0.25">
      <c r="B7726"/>
      <c r="M7726"/>
    </row>
    <row r="7727" spans="2:13" ht="15" x14ac:dyDescent="0.25">
      <c r="B7727"/>
      <c r="M7727"/>
    </row>
    <row r="7728" spans="2:13" ht="15" x14ac:dyDescent="0.25">
      <c r="B7728"/>
      <c r="M7728"/>
    </row>
    <row r="7729" spans="2:13" ht="15" x14ac:dyDescent="0.25">
      <c r="B7729"/>
      <c r="M7729"/>
    </row>
    <row r="7730" spans="2:13" ht="15" x14ac:dyDescent="0.25">
      <c r="B7730"/>
      <c r="M7730"/>
    </row>
    <row r="7731" spans="2:13" ht="15" x14ac:dyDescent="0.25">
      <c r="B7731"/>
      <c r="M7731"/>
    </row>
    <row r="7732" spans="2:13" ht="15" x14ac:dyDescent="0.25">
      <c r="B7732"/>
      <c r="M7732"/>
    </row>
    <row r="7733" spans="2:13" ht="15" x14ac:dyDescent="0.25">
      <c r="B7733"/>
      <c r="M7733"/>
    </row>
    <row r="7734" spans="2:13" ht="15" x14ac:dyDescent="0.25">
      <c r="B7734"/>
      <c r="M7734"/>
    </row>
    <row r="7735" spans="2:13" ht="15" x14ac:dyDescent="0.25">
      <c r="B7735"/>
      <c r="M7735"/>
    </row>
    <row r="7736" spans="2:13" ht="15" x14ac:dyDescent="0.25">
      <c r="B7736"/>
      <c r="M7736"/>
    </row>
    <row r="7737" spans="2:13" ht="15" x14ac:dyDescent="0.25">
      <c r="B7737"/>
      <c r="M7737"/>
    </row>
    <row r="7738" spans="2:13" ht="15" x14ac:dyDescent="0.25">
      <c r="B7738"/>
      <c r="M7738"/>
    </row>
    <row r="7739" spans="2:13" ht="15" x14ac:dyDescent="0.25">
      <c r="B7739"/>
      <c r="M7739"/>
    </row>
    <row r="7740" spans="2:13" ht="15" x14ac:dyDescent="0.25">
      <c r="B7740"/>
      <c r="M7740"/>
    </row>
    <row r="7741" spans="2:13" ht="15" x14ac:dyDescent="0.25">
      <c r="B7741"/>
      <c r="M7741"/>
    </row>
    <row r="7742" spans="2:13" ht="15" x14ac:dyDescent="0.25">
      <c r="B7742"/>
      <c r="M7742"/>
    </row>
    <row r="7743" spans="2:13" ht="15" x14ac:dyDescent="0.25">
      <c r="B7743"/>
      <c r="M7743"/>
    </row>
    <row r="7744" spans="2:13" ht="15" x14ac:dyDescent="0.25">
      <c r="B7744"/>
      <c r="M7744"/>
    </row>
    <row r="7745" spans="2:13" ht="15" x14ac:dyDescent="0.25">
      <c r="B7745"/>
      <c r="M7745"/>
    </row>
    <row r="7746" spans="2:13" ht="15" x14ac:dyDescent="0.25">
      <c r="B7746"/>
      <c r="M7746"/>
    </row>
    <row r="7747" spans="2:13" ht="15" x14ac:dyDescent="0.25">
      <c r="B7747"/>
      <c r="M7747"/>
    </row>
    <row r="7748" spans="2:13" ht="15" x14ac:dyDescent="0.25">
      <c r="B7748"/>
      <c r="M7748"/>
    </row>
    <row r="7749" spans="2:13" ht="15" x14ac:dyDescent="0.25">
      <c r="B7749"/>
      <c r="M7749"/>
    </row>
    <row r="7750" spans="2:13" ht="15" x14ac:dyDescent="0.25">
      <c r="B7750"/>
      <c r="M7750"/>
    </row>
    <row r="7751" spans="2:13" ht="15" x14ac:dyDescent="0.25">
      <c r="B7751"/>
      <c r="M7751"/>
    </row>
    <row r="7752" spans="2:13" ht="15" x14ac:dyDescent="0.25">
      <c r="B7752"/>
      <c r="M7752"/>
    </row>
    <row r="7753" spans="2:13" ht="15" x14ac:dyDescent="0.25">
      <c r="B7753"/>
      <c r="M7753"/>
    </row>
    <row r="7754" spans="2:13" ht="15" x14ac:dyDescent="0.25">
      <c r="B7754"/>
      <c r="M7754"/>
    </row>
    <row r="7755" spans="2:13" ht="15" x14ac:dyDescent="0.25">
      <c r="B7755"/>
      <c r="M7755"/>
    </row>
    <row r="7756" spans="2:13" ht="15" x14ac:dyDescent="0.25">
      <c r="B7756"/>
      <c r="M7756"/>
    </row>
    <row r="7757" spans="2:13" ht="15" x14ac:dyDescent="0.25">
      <c r="B7757"/>
      <c r="M7757"/>
    </row>
    <row r="7758" spans="2:13" ht="15" x14ac:dyDescent="0.25">
      <c r="B7758"/>
      <c r="M7758"/>
    </row>
    <row r="7759" spans="2:13" ht="15" x14ac:dyDescent="0.25">
      <c r="B7759"/>
      <c r="M7759"/>
    </row>
    <row r="7760" spans="2:13" ht="15" x14ac:dyDescent="0.25">
      <c r="B7760"/>
      <c r="M7760"/>
    </row>
    <row r="7761" spans="2:13" ht="15" x14ac:dyDescent="0.25">
      <c r="B7761"/>
      <c r="M7761"/>
    </row>
    <row r="7762" spans="2:13" ht="15" x14ac:dyDescent="0.25">
      <c r="B7762"/>
      <c r="M7762"/>
    </row>
    <row r="7763" spans="2:13" ht="15" x14ac:dyDescent="0.25">
      <c r="B7763"/>
      <c r="M7763"/>
    </row>
    <row r="7764" spans="2:13" ht="15" x14ac:dyDescent="0.25">
      <c r="B7764"/>
      <c r="M7764"/>
    </row>
    <row r="7765" spans="2:13" ht="15" x14ac:dyDescent="0.25">
      <c r="B7765"/>
      <c r="M7765"/>
    </row>
    <row r="7766" spans="2:13" ht="15" x14ac:dyDescent="0.25">
      <c r="B7766"/>
      <c r="M7766"/>
    </row>
    <row r="7767" spans="2:13" ht="15" x14ac:dyDescent="0.25">
      <c r="B7767"/>
      <c r="M7767"/>
    </row>
    <row r="7768" spans="2:13" ht="15" x14ac:dyDescent="0.25">
      <c r="B7768"/>
      <c r="M7768"/>
    </row>
    <row r="7769" spans="2:13" ht="15" x14ac:dyDescent="0.25">
      <c r="B7769"/>
      <c r="M7769"/>
    </row>
    <row r="7770" spans="2:13" ht="15" x14ac:dyDescent="0.25">
      <c r="B7770"/>
      <c r="M7770"/>
    </row>
    <row r="7771" spans="2:13" ht="15" x14ac:dyDescent="0.25">
      <c r="B7771"/>
      <c r="M7771"/>
    </row>
    <row r="7772" spans="2:13" ht="15" x14ac:dyDescent="0.25">
      <c r="B7772"/>
      <c r="M7772"/>
    </row>
    <row r="7773" spans="2:13" ht="15" x14ac:dyDescent="0.25">
      <c r="B7773"/>
      <c r="M7773"/>
    </row>
    <row r="7774" spans="2:13" ht="15" x14ac:dyDescent="0.25">
      <c r="B7774"/>
      <c r="M7774"/>
    </row>
    <row r="7775" spans="2:13" ht="15" x14ac:dyDescent="0.25">
      <c r="B7775"/>
      <c r="M7775"/>
    </row>
    <row r="7776" spans="2:13" ht="15" x14ac:dyDescent="0.25">
      <c r="B7776"/>
      <c r="M7776"/>
    </row>
    <row r="7777" spans="2:13" ht="15" x14ac:dyDescent="0.25">
      <c r="B7777"/>
      <c r="M7777"/>
    </row>
    <row r="7778" spans="2:13" ht="15" x14ac:dyDescent="0.25">
      <c r="B7778"/>
      <c r="M7778"/>
    </row>
    <row r="7779" spans="2:13" ht="15" x14ac:dyDescent="0.25">
      <c r="B7779"/>
      <c r="M7779"/>
    </row>
    <row r="7780" spans="2:13" ht="15" x14ac:dyDescent="0.25">
      <c r="B7780"/>
      <c r="M7780"/>
    </row>
    <row r="7781" spans="2:13" ht="15" x14ac:dyDescent="0.25">
      <c r="B7781"/>
      <c r="M7781"/>
    </row>
    <row r="7782" spans="2:13" ht="15" x14ac:dyDescent="0.25">
      <c r="B7782"/>
      <c r="M7782"/>
    </row>
    <row r="7783" spans="2:13" ht="15" x14ac:dyDescent="0.25">
      <c r="B7783"/>
      <c r="M7783"/>
    </row>
    <row r="7784" spans="2:13" ht="15" x14ac:dyDescent="0.25">
      <c r="B7784"/>
      <c r="M7784"/>
    </row>
    <row r="7785" spans="2:13" ht="15" x14ac:dyDescent="0.25">
      <c r="B7785"/>
      <c r="M7785"/>
    </row>
    <row r="7786" spans="2:13" ht="15" x14ac:dyDescent="0.25">
      <c r="B7786"/>
      <c r="M7786"/>
    </row>
    <row r="7787" spans="2:13" ht="15" x14ac:dyDescent="0.25">
      <c r="B7787"/>
      <c r="M7787"/>
    </row>
    <row r="7788" spans="2:13" ht="15" x14ac:dyDescent="0.25">
      <c r="B7788"/>
      <c r="M7788"/>
    </row>
    <row r="7789" spans="2:13" ht="15" x14ac:dyDescent="0.25">
      <c r="B7789"/>
      <c r="M7789"/>
    </row>
    <row r="7790" spans="2:13" ht="15" x14ac:dyDescent="0.25">
      <c r="B7790"/>
      <c r="M7790"/>
    </row>
    <row r="7791" spans="2:13" ht="15" x14ac:dyDescent="0.25">
      <c r="B7791"/>
      <c r="M7791"/>
    </row>
    <row r="7792" spans="2:13" ht="15" x14ac:dyDescent="0.25">
      <c r="B7792"/>
      <c r="M7792"/>
    </row>
    <row r="7793" spans="2:13" ht="15" x14ac:dyDescent="0.25">
      <c r="B7793"/>
      <c r="M7793"/>
    </row>
    <row r="7794" spans="2:13" ht="15" x14ac:dyDescent="0.25">
      <c r="B7794"/>
      <c r="M7794"/>
    </row>
    <row r="7795" spans="2:13" ht="15" x14ac:dyDescent="0.25">
      <c r="B7795"/>
      <c r="M7795"/>
    </row>
    <row r="7796" spans="2:13" ht="15" x14ac:dyDescent="0.25">
      <c r="B7796"/>
      <c r="M7796"/>
    </row>
    <row r="7797" spans="2:13" ht="15" x14ac:dyDescent="0.25">
      <c r="B7797"/>
      <c r="M7797"/>
    </row>
    <row r="7798" spans="2:13" ht="15" x14ac:dyDescent="0.25">
      <c r="B7798"/>
      <c r="M7798"/>
    </row>
    <row r="7799" spans="2:13" ht="15" x14ac:dyDescent="0.25">
      <c r="B7799"/>
      <c r="M7799"/>
    </row>
    <row r="7800" spans="2:13" ht="15" x14ac:dyDescent="0.25">
      <c r="B7800"/>
      <c r="M7800"/>
    </row>
    <row r="7801" spans="2:13" ht="15" x14ac:dyDescent="0.25">
      <c r="B7801"/>
      <c r="M7801"/>
    </row>
    <row r="7802" spans="2:13" ht="15" x14ac:dyDescent="0.25">
      <c r="B7802"/>
      <c r="M7802"/>
    </row>
    <row r="7803" spans="2:13" ht="15" x14ac:dyDescent="0.25">
      <c r="B7803"/>
      <c r="M7803"/>
    </row>
    <row r="7804" spans="2:13" ht="15" x14ac:dyDescent="0.25">
      <c r="B7804"/>
      <c r="M7804"/>
    </row>
    <row r="7805" spans="2:13" ht="15" x14ac:dyDescent="0.25">
      <c r="B7805"/>
      <c r="M7805"/>
    </row>
    <row r="7806" spans="2:13" ht="15" x14ac:dyDescent="0.25">
      <c r="B7806"/>
      <c r="M7806"/>
    </row>
    <row r="7807" spans="2:13" ht="15" x14ac:dyDescent="0.25">
      <c r="B7807"/>
      <c r="M7807"/>
    </row>
    <row r="7808" spans="2:13" ht="15" x14ac:dyDescent="0.25">
      <c r="B7808"/>
      <c r="M7808"/>
    </row>
    <row r="7809" spans="2:13" ht="15" x14ac:dyDescent="0.25">
      <c r="B7809"/>
      <c r="M7809"/>
    </row>
    <row r="7810" spans="2:13" ht="15" x14ac:dyDescent="0.25">
      <c r="B7810"/>
      <c r="M7810"/>
    </row>
    <row r="7811" spans="2:13" ht="15" x14ac:dyDescent="0.25">
      <c r="B7811"/>
      <c r="M7811"/>
    </row>
    <row r="7812" spans="2:13" ht="15" x14ac:dyDescent="0.25">
      <c r="B7812"/>
      <c r="M7812"/>
    </row>
    <row r="7813" spans="2:13" ht="15" x14ac:dyDescent="0.25">
      <c r="B7813"/>
      <c r="M7813"/>
    </row>
    <row r="7814" spans="2:13" ht="15" x14ac:dyDescent="0.25">
      <c r="B7814"/>
      <c r="M7814"/>
    </row>
    <row r="7815" spans="2:13" ht="15" x14ac:dyDescent="0.25">
      <c r="B7815"/>
      <c r="M7815"/>
    </row>
    <row r="7816" spans="2:13" ht="15" x14ac:dyDescent="0.25">
      <c r="B7816"/>
      <c r="M7816"/>
    </row>
    <row r="7817" spans="2:13" ht="15" x14ac:dyDescent="0.25">
      <c r="B7817"/>
      <c r="M7817"/>
    </row>
    <row r="7818" spans="2:13" ht="15" x14ac:dyDescent="0.25">
      <c r="B7818"/>
      <c r="M7818"/>
    </row>
    <row r="7819" spans="2:13" ht="15" x14ac:dyDescent="0.25">
      <c r="B7819"/>
      <c r="M7819"/>
    </row>
    <row r="7820" spans="2:13" ht="15" x14ac:dyDescent="0.25">
      <c r="B7820"/>
      <c r="M7820"/>
    </row>
    <row r="7821" spans="2:13" ht="15" x14ac:dyDescent="0.25">
      <c r="B7821"/>
      <c r="M7821"/>
    </row>
    <row r="7822" spans="2:13" ht="15" x14ac:dyDescent="0.25">
      <c r="B7822"/>
      <c r="M7822"/>
    </row>
    <row r="7823" spans="2:13" ht="15" x14ac:dyDescent="0.25">
      <c r="B7823"/>
      <c r="M7823"/>
    </row>
    <row r="7824" spans="2:13" ht="15" x14ac:dyDescent="0.25">
      <c r="B7824"/>
      <c r="M7824"/>
    </row>
    <row r="7825" spans="2:13" ht="15" x14ac:dyDescent="0.25">
      <c r="B7825"/>
      <c r="M7825"/>
    </row>
    <row r="7826" spans="2:13" ht="15" x14ac:dyDescent="0.25">
      <c r="B7826"/>
      <c r="M7826"/>
    </row>
    <row r="7827" spans="2:13" ht="15" x14ac:dyDescent="0.25">
      <c r="B7827"/>
      <c r="M7827"/>
    </row>
    <row r="7828" spans="2:13" ht="15" x14ac:dyDescent="0.25">
      <c r="B7828"/>
      <c r="M7828"/>
    </row>
    <row r="7829" spans="2:13" ht="15" x14ac:dyDescent="0.25">
      <c r="B7829"/>
      <c r="M7829"/>
    </row>
    <row r="7830" spans="2:13" ht="15" x14ac:dyDescent="0.25">
      <c r="B7830"/>
      <c r="M7830"/>
    </row>
    <row r="7831" spans="2:13" ht="15" x14ac:dyDescent="0.25">
      <c r="B7831"/>
      <c r="M7831"/>
    </row>
    <row r="7832" spans="2:13" ht="15" x14ac:dyDescent="0.25">
      <c r="B7832"/>
      <c r="M7832"/>
    </row>
    <row r="7833" spans="2:13" ht="15" x14ac:dyDescent="0.25">
      <c r="B7833"/>
      <c r="M7833"/>
    </row>
    <row r="7834" spans="2:13" ht="15" x14ac:dyDescent="0.25">
      <c r="B7834"/>
      <c r="M7834"/>
    </row>
    <row r="7835" spans="2:13" ht="15" x14ac:dyDescent="0.25">
      <c r="B7835"/>
      <c r="M7835"/>
    </row>
    <row r="7836" spans="2:13" ht="15" x14ac:dyDescent="0.25">
      <c r="B7836"/>
      <c r="M7836"/>
    </row>
    <row r="7837" spans="2:13" ht="15" x14ac:dyDescent="0.25">
      <c r="B7837"/>
      <c r="M7837"/>
    </row>
    <row r="7838" spans="2:13" ht="15" x14ac:dyDescent="0.25">
      <c r="B7838"/>
      <c r="M7838"/>
    </row>
    <row r="7839" spans="2:13" ht="15" x14ac:dyDescent="0.25">
      <c r="B7839"/>
      <c r="M7839"/>
    </row>
    <row r="7840" spans="2:13" ht="15" x14ac:dyDescent="0.25">
      <c r="B7840"/>
      <c r="M7840"/>
    </row>
    <row r="7841" spans="2:13" ht="15" x14ac:dyDescent="0.25">
      <c r="B7841"/>
      <c r="M7841"/>
    </row>
    <row r="7842" spans="2:13" ht="15" x14ac:dyDescent="0.25">
      <c r="B7842"/>
      <c r="M7842"/>
    </row>
    <row r="7843" spans="2:13" ht="15" x14ac:dyDescent="0.25">
      <c r="B7843"/>
      <c r="M7843"/>
    </row>
    <row r="7844" spans="2:13" ht="15" x14ac:dyDescent="0.25">
      <c r="B7844"/>
      <c r="M7844"/>
    </row>
    <row r="7845" spans="2:13" ht="15" x14ac:dyDescent="0.25">
      <c r="B7845"/>
      <c r="M7845"/>
    </row>
    <row r="7846" spans="2:13" ht="15" x14ac:dyDescent="0.25">
      <c r="B7846"/>
      <c r="M7846"/>
    </row>
    <row r="7847" spans="2:13" ht="15" x14ac:dyDescent="0.25">
      <c r="B7847"/>
      <c r="M7847"/>
    </row>
    <row r="7848" spans="2:13" ht="15" x14ac:dyDescent="0.25">
      <c r="B7848"/>
      <c r="M7848"/>
    </row>
    <row r="7849" spans="2:13" ht="15" x14ac:dyDescent="0.25">
      <c r="B7849"/>
      <c r="M7849"/>
    </row>
    <row r="7850" spans="2:13" ht="15" x14ac:dyDescent="0.25">
      <c r="B7850"/>
      <c r="M7850"/>
    </row>
    <row r="7851" spans="2:13" ht="15" x14ac:dyDescent="0.25">
      <c r="B7851"/>
      <c r="M7851"/>
    </row>
    <row r="7852" spans="2:13" ht="15" x14ac:dyDescent="0.25">
      <c r="B7852"/>
      <c r="M7852"/>
    </row>
    <row r="7853" spans="2:13" ht="15" x14ac:dyDescent="0.25">
      <c r="B7853"/>
      <c r="M7853"/>
    </row>
    <row r="7854" spans="2:13" ht="15" x14ac:dyDescent="0.25">
      <c r="B7854"/>
      <c r="M7854"/>
    </row>
    <row r="7855" spans="2:13" ht="15" x14ac:dyDescent="0.25">
      <c r="B7855"/>
      <c r="M7855"/>
    </row>
    <row r="7856" spans="2:13" ht="15" x14ac:dyDescent="0.25">
      <c r="B7856"/>
      <c r="M7856"/>
    </row>
    <row r="7857" spans="2:13" ht="15" x14ac:dyDescent="0.25">
      <c r="B7857"/>
      <c r="M7857"/>
    </row>
    <row r="7858" spans="2:13" ht="15" x14ac:dyDescent="0.25">
      <c r="B7858"/>
      <c r="M7858"/>
    </row>
    <row r="7859" spans="2:13" ht="15" x14ac:dyDescent="0.25">
      <c r="B7859"/>
      <c r="M7859"/>
    </row>
    <row r="7860" spans="2:13" ht="15" x14ac:dyDescent="0.25">
      <c r="B7860"/>
      <c r="M7860"/>
    </row>
    <row r="7861" spans="2:13" ht="15" x14ac:dyDescent="0.25">
      <c r="B7861"/>
      <c r="M7861"/>
    </row>
    <row r="7862" spans="2:13" ht="15" x14ac:dyDescent="0.25">
      <c r="B7862"/>
      <c r="M7862"/>
    </row>
    <row r="7863" spans="2:13" ht="15" x14ac:dyDescent="0.25">
      <c r="B7863"/>
      <c r="M7863"/>
    </row>
    <row r="7864" spans="2:13" ht="15" x14ac:dyDescent="0.25">
      <c r="B7864"/>
      <c r="M7864"/>
    </row>
    <row r="7865" spans="2:13" ht="15" x14ac:dyDescent="0.25">
      <c r="B7865"/>
      <c r="M7865"/>
    </row>
    <row r="7866" spans="2:13" ht="15" x14ac:dyDescent="0.25">
      <c r="B7866"/>
      <c r="M7866"/>
    </row>
    <row r="7867" spans="2:13" ht="15" x14ac:dyDescent="0.25">
      <c r="B7867"/>
      <c r="M7867"/>
    </row>
    <row r="7868" spans="2:13" ht="15" x14ac:dyDescent="0.25">
      <c r="B7868"/>
      <c r="M7868"/>
    </row>
    <row r="7869" spans="2:13" ht="15" x14ac:dyDescent="0.25">
      <c r="B7869"/>
      <c r="M7869"/>
    </row>
    <row r="7870" spans="2:13" ht="15" x14ac:dyDescent="0.25">
      <c r="B7870"/>
      <c r="M7870"/>
    </row>
    <row r="7871" spans="2:13" ht="15" x14ac:dyDescent="0.25">
      <c r="B7871"/>
      <c r="M7871"/>
    </row>
    <row r="7872" spans="2:13" ht="15" x14ac:dyDescent="0.25">
      <c r="B7872"/>
      <c r="M7872"/>
    </row>
    <row r="7873" spans="2:13" ht="15" x14ac:dyDescent="0.25">
      <c r="B7873"/>
      <c r="M7873"/>
    </row>
    <row r="7874" spans="2:13" ht="15" x14ac:dyDescent="0.25">
      <c r="B7874"/>
      <c r="M7874"/>
    </row>
    <row r="7875" spans="2:13" ht="15" x14ac:dyDescent="0.25">
      <c r="B7875"/>
      <c r="M7875"/>
    </row>
    <row r="7876" spans="2:13" ht="15" x14ac:dyDescent="0.25">
      <c r="B7876"/>
      <c r="M7876"/>
    </row>
    <row r="7877" spans="2:13" ht="15" x14ac:dyDescent="0.25">
      <c r="B7877"/>
      <c r="M7877"/>
    </row>
    <row r="7878" spans="2:13" ht="15" x14ac:dyDescent="0.25">
      <c r="B7878"/>
      <c r="M7878"/>
    </row>
    <row r="7879" spans="2:13" ht="15" x14ac:dyDescent="0.25">
      <c r="B7879"/>
      <c r="M7879"/>
    </row>
    <row r="7880" spans="2:13" ht="15" x14ac:dyDescent="0.25">
      <c r="B7880"/>
      <c r="M7880"/>
    </row>
    <row r="7881" spans="2:13" ht="15" x14ac:dyDescent="0.25">
      <c r="B7881"/>
      <c r="M7881"/>
    </row>
    <row r="7882" spans="2:13" ht="15" x14ac:dyDescent="0.25">
      <c r="B7882"/>
      <c r="M7882"/>
    </row>
    <row r="7883" spans="2:13" ht="15" x14ac:dyDescent="0.25">
      <c r="B7883"/>
      <c r="M7883"/>
    </row>
    <row r="7884" spans="2:13" ht="15" x14ac:dyDescent="0.25">
      <c r="B7884"/>
      <c r="M7884"/>
    </row>
    <row r="7885" spans="2:13" ht="15" x14ac:dyDescent="0.25">
      <c r="B7885"/>
      <c r="M7885"/>
    </row>
    <row r="7886" spans="2:13" ht="15" x14ac:dyDescent="0.25">
      <c r="B7886"/>
      <c r="M7886"/>
    </row>
    <row r="7887" spans="2:13" ht="15" x14ac:dyDescent="0.25">
      <c r="B7887"/>
      <c r="M7887"/>
    </row>
    <row r="7888" spans="2:13" ht="15" x14ac:dyDescent="0.25">
      <c r="B7888"/>
      <c r="M7888"/>
    </row>
    <row r="7889" spans="2:13" ht="15" x14ac:dyDescent="0.25">
      <c r="B7889"/>
      <c r="M7889"/>
    </row>
    <row r="7890" spans="2:13" ht="15" x14ac:dyDescent="0.25">
      <c r="B7890"/>
      <c r="M7890"/>
    </row>
    <row r="7891" spans="2:13" ht="15" x14ac:dyDescent="0.25">
      <c r="B7891"/>
      <c r="M7891"/>
    </row>
    <row r="7892" spans="2:13" ht="15" x14ac:dyDescent="0.25">
      <c r="B7892"/>
      <c r="M7892"/>
    </row>
    <row r="7893" spans="2:13" ht="15" x14ac:dyDescent="0.25">
      <c r="B7893"/>
      <c r="M7893"/>
    </row>
    <row r="7894" spans="2:13" ht="15" x14ac:dyDescent="0.25">
      <c r="B7894"/>
      <c r="M7894"/>
    </row>
    <row r="7895" spans="2:13" ht="15" x14ac:dyDescent="0.25">
      <c r="B7895"/>
      <c r="M7895"/>
    </row>
    <row r="7896" spans="2:13" ht="15" x14ac:dyDescent="0.25">
      <c r="B7896"/>
      <c r="M7896"/>
    </row>
    <row r="7897" spans="2:13" ht="15" x14ac:dyDescent="0.25">
      <c r="B7897"/>
      <c r="M7897"/>
    </row>
    <row r="7898" spans="2:13" ht="15" x14ac:dyDescent="0.25">
      <c r="B7898"/>
      <c r="M7898"/>
    </row>
    <row r="7899" spans="2:13" ht="15" x14ac:dyDescent="0.25">
      <c r="B7899"/>
      <c r="M7899"/>
    </row>
    <row r="7900" spans="2:13" ht="15" x14ac:dyDescent="0.25">
      <c r="B7900"/>
      <c r="M7900"/>
    </row>
    <row r="7901" spans="2:13" ht="15" x14ac:dyDescent="0.25">
      <c r="B7901"/>
      <c r="M7901"/>
    </row>
    <row r="7902" spans="2:13" ht="15" x14ac:dyDescent="0.25">
      <c r="B7902"/>
      <c r="M7902"/>
    </row>
    <row r="7903" spans="2:13" ht="15" x14ac:dyDescent="0.25">
      <c r="B7903"/>
      <c r="M7903"/>
    </row>
    <row r="7904" spans="2:13" ht="15" x14ac:dyDescent="0.25">
      <c r="B7904"/>
      <c r="M7904"/>
    </row>
    <row r="7905" spans="2:13" ht="15" x14ac:dyDescent="0.25">
      <c r="B7905"/>
      <c r="M7905"/>
    </row>
    <row r="7906" spans="2:13" ht="15" x14ac:dyDescent="0.25">
      <c r="B7906"/>
      <c r="M7906"/>
    </row>
    <row r="7907" spans="2:13" ht="15" x14ac:dyDescent="0.25">
      <c r="B7907"/>
      <c r="M7907"/>
    </row>
    <row r="7908" spans="2:13" ht="15" x14ac:dyDescent="0.25">
      <c r="B7908"/>
      <c r="M7908"/>
    </row>
    <row r="7909" spans="2:13" ht="15" x14ac:dyDescent="0.25">
      <c r="B7909"/>
      <c r="M7909"/>
    </row>
    <row r="7910" spans="2:13" ht="15" x14ac:dyDescent="0.25">
      <c r="B7910"/>
      <c r="M7910"/>
    </row>
    <row r="7911" spans="2:13" ht="15" x14ac:dyDescent="0.25">
      <c r="B7911"/>
      <c r="M7911"/>
    </row>
    <row r="7912" spans="2:13" ht="15" x14ac:dyDescent="0.25">
      <c r="B7912"/>
      <c r="M7912"/>
    </row>
    <row r="7913" spans="2:13" ht="15" x14ac:dyDescent="0.25">
      <c r="B7913"/>
      <c r="M7913"/>
    </row>
    <row r="7914" spans="2:13" ht="15" x14ac:dyDescent="0.25">
      <c r="B7914"/>
      <c r="M7914"/>
    </row>
    <row r="7915" spans="2:13" ht="15" x14ac:dyDescent="0.25">
      <c r="B7915"/>
      <c r="M7915"/>
    </row>
    <row r="7916" spans="2:13" ht="15" x14ac:dyDescent="0.25">
      <c r="B7916"/>
      <c r="M7916"/>
    </row>
    <row r="7917" spans="2:13" ht="15" x14ac:dyDescent="0.25">
      <c r="B7917"/>
      <c r="M7917"/>
    </row>
    <row r="7918" spans="2:13" ht="15" x14ac:dyDescent="0.25">
      <c r="B7918"/>
      <c r="M7918"/>
    </row>
    <row r="7919" spans="2:13" ht="15" x14ac:dyDescent="0.25">
      <c r="B7919"/>
      <c r="M7919"/>
    </row>
    <row r="7920" spans="2:13" ht="15" x14ac:dyDescent="0.25">
      <c r="B7920"/>
      <c r="M7920"/>
    </row>
    <row r="7921" spans="2:13" ht="15" x14ac:dyDescent="0.25">
      <c r="B7921"/>
      <c r="M7921"/>
    </row>
    <row r="7922" spans="2:13" ht="15" x14ac:dyDescent="0.25">
      <c r="B7922"/>
      <c r="M7922"/>
    </row>
    <row r="7923" spans="2:13" ht="15" x14ac:dyDescent="0.25">
      <c r="B7923"/>
      <c r="M7923"/>
    </row>
    <row r="7924" spans="2:13" ht="15" x14ac:dyDescent="0.25">
      <c r="B7924"/>
      <c r="M7924"/>
    </row>
    <row r="7925" spans="2:13" ht="15" x14ac:dyDescent="0.25">
      <c r="B7925"/>
      <c r="M7925"/>
    </row>
    <row r="7926" spans="2:13" ht="15" x14ac:dyDescent="0.25">
      <c r="B7926"/>
      <c r="M7926"/>
    </row>
    <row r="7927" spans="2:13" ht="15" x14ac:dyDescent="0.25">
      <c r="B7927"/>
      <c r="M7927"/>
    </row>
    <row r="7928" spans="2:13" ht="15" x14ac:dyDescent="0.25">
      <c r="B7928"/>
      <c r="M7928"/>
    </row>
    <row r="7929" spans="2:13" ht="15" x14ac:dyDescent="0.25">
      <c r="B7929"/>
      <c r="M7929"/>
    </row>
    <row r="7930" spans="2:13" ht="15" x14ac:dyDescent="0.25">
      <c r="B7930"/>
      <c r="M7930"/>
    </row>
    <row r="7931" spans="2:13" ht="15" x14ac:dyDescent="0.25">
      <c r="B7931"/>
      <c r="M7931"/>
    </row>
    <row r="7932" spans="2:13" ht="15" x14ac:dyDescent="0.25">
      <c r="B7932"/>
      <c r="M7932"/>
    </row>
    <row r="7933" spans="2:13" ht="15" x14ac:dyDescent="0.25">
      <c r="B7933"/>
      <c r="M7933"/>
    </row>
    <row r="7934" spans="2:13" ht="15" x14ac:dyDescent="0.25">
      <c r="B7934"/>
      <c r="M7934"/>
    </row>
    <row r="7935" spans="2:13" ht="15" x14ac:dyDescent="0.25">
      <c r="B7935"/>
      <c r="M7935"/>
    </row>
    <row r="7936" spans="2:13" ht="15" x14ac:dyDescent="0.25">
      <c r="B7936"/>
      <c r="M7936"/>
    </row>
    <row r="7937" spans="2:13" ht="15" x14ac:dyDescent="0.25">
      <c r="B7937"/>
      <c r="M7937"/>
    </row>
    <row r="7938" spans="2:13" ht="15" x14ac:dyDescent="0.25">
      <c r="B7938"/>
      <c r="M7938"/>
    </row>
    <row r="7939" spans="2:13" ht="15" x14ac:dyDescent="0.25">
      <c r="B7939"/>
      <c r="M7939"/>
    </row>
    <row r="7940" spans="2:13" ht="15" x14ac:dyDescent="0.25">
      <c r="B7940"/>
      <c r="M7940"/>
    </row>
    <row r="7941" spans="2:13" ht="15" x14ac:dyDescent="0.25">
      <c r="B7941"/>
      <c r="M7941"/>
    </row>
    <row r="7942" spans="2:13" ht="15" x14ac:dyDescent="0.25">
      <c r="B7942"/>
      <c r="M7942"/>
    </row>
    <row r="7943" spans="2:13" ht="15" x14ac:dyDescent="0.25">
      <c r="B7943"/>
      <c r="M7943"/>
    </row>
    <row r="7944" spans="2:13" ht="15" x14ac:dyDescent="0.25">
      <c r="B7944"/>
      <c r="M7944"/>
    </row>
    <row r="7945" spans="2:13" ht="15" x14ac:dyDescent="0.25">
      <c r="B7945"/>
      <c r="M7945"/>
    </row>
    <row r="7946" spans="2:13" ht="15" x14ac:dyDescent="0.25">
      <c r="B7946"/>
      <c r="M7946"/>
    </row>
    <row r="7947" spans="2:13" ht="15" x14ac:dyDescent="0.25">
      <c r="B7947"/>
      <c r="M7947"/>
    </row>
    <row r="7948" spans="2:13" ht="15" x14ac:dyDescent="0.25">
      <c r="B7948"/>
      <c r="M7948"/>
    </row>
    <row r="7949" spans="2:13" ht="15" x14ac:dyDescent="0.25">
      <c r="B7949"/>
      <c r="M7949"/>
    </row>
    <row r="7950" spans="2:13" ht="15" x14ac:dyDescent="0.25">
      <c r="B7950"/>
      <c r="M7950"/>
    </row>
    <row r="7951" spans="2:13" ht="15" x14ac:dyDescent="0.25">
      <c r="B7951"/>
      <c r="M7951"/>
    </row>
    <row r="7952" spans="2:13" ht="15" x14ac:dyDescent="0.25">
      <c r="B7952"/>
      <c r="M7952"/>
    </row>
    <row r="7953" spans="2:13" ht="15" x14ac:dyDescent="0.25">
      <c r="B7953"/>
      <c r="M7953"/>
    </row>
    <row r="7954" spans="2:13" ht="15" x14ac:dyDescent="0.25">
      <c r="B7954"/>
      <c r="M7954"/>
    </row>
    <row r="7955" spans="2:13" ht="15" x14ac:dyDescent="0.25">
      <c r="B7955"/>
      <c r="M7955"/>
    </row>
    <row r="7956" spans="2:13" ht="15" x14ac:dyDescent="0.25">
      <c r="B7956"/>
      <c r="M7956"/>
    </row>
    <row r="7957" spans="2:13" ht="15" x14ac:dyDescent="0.25">
      <c r="B7957"/>
      <c r="M7957"/>
    </row>
    <row r="7958" spans="2:13" ht="15" x14ac:dyDescent="0.25">
      <c r="B7958"/>
      <c r="M7958"/>
    </row>
    <row r="7959" spans="2:13" ht="15" x14ac:dyDescent="0.25">
      <c r="B7959"/>
      <c r="M7959"/>
    </row>
    <row r="7960" spans="2:13" ht="15" x14ac:dyDescent="0.25">
      <c r="B7960"/>
      <c r="M7960"/>
    </row>
    <row r="7961" spans="2:13" ht="15" x14ac:dyDescent="0.25">
      <c r="B7961"/>
      <c r="M7961"/>
    </row>
    <row r="7962" spans="2:13" ht="15" x14ac:dyDescent="0.25">
      <c r="B7962"/>
      <c r="M7962"/>
    </row>
    <row r="7963" spans="2:13" ht="15" x14ac:dyDescent="0.25">
      <c r="B7963"/>
      <c r="M7963"/>
    </row>
    <row r="7964" spans="2:13" ht="15" x14ac:dyDescent="0.25">
      <c r="B7964"/>
      <c r="M7964"/>
    </row>
    <row r="7965" spans="2:13" ht="15" x14ac:dyDescent="0.25">
      <c r="B7965"/>
      <c r="M7965"/>
    </row>
    <row r="7966" spans="2:13" ht="15" x14ac:dyDescent="0.25">
      <c r="B7966"/>
      <c r="M7966"/>
    </row>
    <row r="7967" spans="2:13" ht="15" x14ac:dyDescent="0.25">
      <c r="B7967"/>
      <c r="M7967"/>
    </row>
    <row r="7968" spans="2:13" ht="15" x14ac:dyDescent="0.25">
      <c r="B7968"/>
      <c r="M7968"/>
    </row>
    <row r="7969" spans="2:13" ht="15" x14ac:dyDescent="0.25">
      <c r="B7969"/>
      <c r="M7969"/>
    </row>
    <row r="7970" spans="2:13" ht="15" x14ac:dyDescent="0.25">
      <c r="B7970"/>
      <c r="M7970"/>
    </row>
    <row r="7971" spans="2:13" ht="15" x14ac:dyDescent="0.25">
      <c r="B7971"/>
      <c r="M7971"/>
    </row>
    <row r="7972" spans="2:13" ht="15" x14ac:dyDescent="0.25">
      <c r="B7972"/>
      <c r="M7972"/>
    </row>
    <row r="7973" spans="2:13" ht="15" x14ac:dyDescent="0.25">
      <c r="B7973"/>
      <c r="M7973"/>
    </row>
    <row r="7974" spans="2:13" ht="15" x14ac:dyDescent="0.25">
      <c r="B7974"/>
      <c r="M7974"/>
    </row>
    <row r="7975" spans="2:13" ht="15" x14ac:dyDescent="0.25">
      <c r="B7975"/>
      <c r="M7975"/>
    </row>
    <row r="7976" spans="2:13" ht="15" x14ac:dyDescent="0.25">
      <c r="B7976"/>
      <c r="M7976"/>
    </row>
    <row r="7977" spans="2:13" ht="15" x14ac:dyDescent="0.25">
      <c r="B7977"/>
      <c r="M7977"/>
    </row>
    <row r="7978" spans="2:13" ht="15" x14ac:dyDescent="0.25">
      <c r="B7978"/>
      <c r="M7978"/>
    </row>
    <row r="7979" spans="2:13" ht="15" x14ac:dyDescent="0.25">
      <c r="B7979"/>
      <c r="M7979"/>
    </row>
    <row r="7980" spans="2:13" ht="15" x14ac:dyDescent="0.25">
      <c r="B7980"/>
      <c r="M7980"/>
    </row>
    <row r="7981" spans="2:13" ht="15" x14ac:dyDescent="0.25">
      <c r="B7981"/>
      <c r="M7981"/>
    </row>
    <row r="7982" spans="2:13" ht="15" x14ac:dyDescent="0.25">
      <c r="B7982"/>
      <c r="M7982"/>
    </row>
    <row r="7983" spans="2:13" ht="15" x14ac:dyDescent="0.25">
      <c r="B7983"/>
      <c r="M7983"/>
    </row>
    <row r="7984" spans="2:13" ht="15" x14ac:dyDescent="0.25">
      <c r="B7984"/>
      <c r="M7984"/>
    </row>
    <row r="7985" spans="2:13" ht="15" x14ac:dyDescent="0.25">
      <c r="B7985"/>
      <c r="M7985"/>
    </row>
    <row r="7986" spans="2:13" ht="15" x14ac:dyDescent="0.25">
      <c r="B7986"/>
      <c r="M7986"/>
    </row>
    <row r="7987" spans="2:13" ht="15" x14ac:dyDescent="0.25">
      <c r="B7987"/>
      <c r="M7987"/>
    </row>
    <row r="7988" spans="2:13" ht="15" x14ac:dyDescent="0.25">
      <c r="B7988"/>
      <c r="M7988"/>
    </row>
    <row r="7989" spans="2:13" ht="15" x14ac:dyDescent="0.25">
      <c r="B7989"/>
      <c r="M7989"/>
    </row>
    <row r="7990" spans="2:13" ht="15" x14ac:dyDescent="0.25">
      <c r="B7990"/>
      <c r="M7990"/>
    </row>
    <row r="7991" spans="2:13" ht="15" x14ac:dyDescent="0.25">
      <c r="B7991"/>
      <c r="M7991"/>
    </row>
    <row r="7992" spans="2:13" ht="15" x14ac:dyDescent="0.25">
      <c r="B7992"/>
      <c r="M7992"/>
    </row>
    <row r="7993" spans="2:13" ht="15" x14ac:dyDescent="0.25">
      <c r="B7993"/>
      <c r="M7993"/>
    </row>
    <row r="7994" spans="2:13" ht="15" x14ac:dyDescent="0.25">
      <c r="B7994"/>
      <c r="M7994"/>
    </row>
    <row r="7995" spans="2:13" ht="15" x14ac:dyDescent="0.25">
      <c r="B7995"/>
      <c r="M7995"/>
    </row>
    <row r="7996" spans="2:13" ht="15" x14ac:dyDescent="0.25">
      <c r="B7996"/>
      <c r="M7996"/>
    </row>
    <row r="7997" spans="2:13" ht="15" x14ac:dyDescent="0.25">
      <c r="B7997"/>
      <c r="M7997"/>
    </row>
    <row r="7998" spans="2:13" ht="15" x14ac:dyDescent="0.25">
      <c r="B7998"/>
      <c r="M7998"/>
    </row>
    <row r="7999" spans="2:13" ht="15" x14ac:dyDescent="0.25">
      <c r="B7999"/>
      <c r="M7999"/>
    </row>
    <row r="8000" spans="2:13" ht="15" x14ac:dyDescent="0.25">
      <c r="B8000"/>
      <c r="M8000"/>
    </row>
    <row r="8001" spans="2:13" ht="15" x14ac:dyDescent="0.25">
      <c r="B8001"/>
      <c r="M8001"/>
    </row>
    <row r="8002" spans="2:13" ht="15" x14ac:dyDescent="0.25">
      <c r="B8002"/>
      <c r="M8002"/>
    </row>
    <row r="8003" spans="2:13" ht="15" x14ac:dyDescent="0.25">
      <c r="B8003"/>
      <c r="M8003"/>
    </row>
    <row r="8004" spans="2:13" ht="15" x14ac:dyDescent="0.25">
      <c r="B8004"/>
      <c r="M8004"/>
    </row>
    <row r="8005" spans="2:13" ht="15" x14ac:dyDescent="0.25">
      <c r="B8005"/>
      <c r="M8005"/>
    </row>
    <row r="8006" spans="2:13" ht="15" x14ac:dyDescent="0.25">
      <c r="B8006"/>
      <c r="M8006"/>
    </row>
    <row r="8007" spans="2:13" ht="15" x14ac:dyDescent="0.25">
      <c r="B8007"/>
      <c r="M8007"/>
    </row>
    <row r="8008" spans="2:13" ht="15" x14ac:dyDescent="0.25">
      <c r="B8008"/>
      <c r="M8008"/>
    </row>
    <row r="8009" spans="2:13" ht="15" x14ac:dyDescent="0.25">
      <c r="B8009"/>
      <c r="M8009"/>
    </row>
    <row r="8010" spans="2:13" ht="15" x14ac:dyDescent="0.25">
      <c r="B8010"/>
      <c r="M8010"/>
    </row>
    <row r="8011" spans="2:13" ht="15" x14ac:dyDescent="0.25">
      <c r="B8011"/>
      <c r="M8011"/>
    </row>
    <row r="8012" spans="2:13" ht="15" x14ac:dyDescent="0.25">
      <c r="B8012"/>
      <c r="M8012"/>
    </row>
    <row r="8013" spans="2:13" ht="15" x14ac:dyDescent="0.25">
      <c r="B8013"/>
      <c r="M8013"/>
    </row>
    <row r="8014" spans="2:13" ht="15" x14ac:dyDescent="0.25">
      <c r="B8014"/>
      <c r="M8014"/>
    </row>
    <row r="8015" spans="2:13" ht="15" x14ac:dyDescent="0.25">
      <c r="B8015"/>
      <c r="M8015"/>
    </row>
    <row r="8016" spans="2:13" ht="15" x14ac:dyDescent="0.25">
      <c r="B8016"/>
      <c r="M8016"/>
    </row>
    <row r="8017" spans="2:13" ht="15" x14ac:dyDescent="0.25">
      <c r="B8017"/>
      <c r="M8017"/>
    </row>
    <row r="8018" spans="2:13" ht="15" x14ac:dyDescent="0.25">
      <c r="B8018"/>
      <c r="M8018"/>
    </row>
    <row r="8019" spans="2:13" ht="15" x14ac:dyDescent="0.25">
      <c r="B8019"/>
      <c r="M8019"/>
    </row>
    <row r="8020" spans="2:13" ht="15" x14ac:dyDescent="0.25">
      <c r="B8020"/>
      <c r="M8020"/>
    </row>
    <row r="8021" spans="2:13" ht="15" x14ac:dyDescent="0.25">
      <c r="B8021"/>
      <c r="M8021"/>
    </row>
    <row r="8022" spans="2:13" ht="15" x14ac:dyDescent="0.25">
      <c r="B8022"/>
      <c r="M8022"/>
    </row>
    <row r="8023" spans="2:13" ht="15" x14ac:dyDescent="0.25">
      <c r="B8023"/>
      <c r="M8023"/>
    </row>
    <row r="8024" spans="2:13" ht="15" x14ac:dyDescent="0.25">
      <c r="B8024"/>
      <c r="M8024"/>
    </row>
    <row r="8025" spans="2:13" ht="15" x14ac:dyDescent="0.25">
      <c r="B8025"/>
      <c r="M8025"/>
    </row>
    <row r="8026" spans="2:13" ht="15" x14ac:dyDescent="0.25">
      <c r="B8026"/>
      <c r="M8026"/>
    </row>
    <row r="8027" spans="2:13" ht="15" x14ac:dyDescent="0.25">
      <c r="B8027"/>
      <c r="M8027"/>
    </row>
    <row r="8028" spans="2:13" ht="15" x14ac:dyDescent="0.25">
      <c r="B8028"/>
      <c r="M8028"/>
    </row>
    <row r="8029" spans="2:13" ht="15" x14ac:dyDescent="0.25">
      <c r="B8029"/>
      <c r="M8029"/>
    </row>
    <row r="8030" spans="2:13" ht="15" x14ac:dyDescent="0.25">
      <c r="B8030"/>
      <c r="M8030"/>
    </row>
    <row r="8031" spans="2:13" ht="15" x14ac:dyDescent="0.25">
      <c r="B8031"/>
      <c r="M8031"/>
    </row>
    <row r="8032" spans="2:13" ht="15" x14ac:dyDescent="0.25">
      <c r="B8032"/>
      <c r="M8032"/>
    </row>
    <row r="8033" spans="2:13" ht="15" x14ac:dyDescent="0.25">
      <c r="B8033"/>
      <c r="M8033"/>
    </row>
    <row r="8034" spans="2:13" ht="15" x14ac:dyDescent="0.25">
      <c r="B8034"/>
      <c r="M8034"/>
    </row>
    <row r="8035" spans="2:13" ht="15" x14ac:dyDescent="0.25">
      <c r="B8035"/>
      <c r="M8035"/>
    </row>
    <row r="8036" spans="2:13" ht="15" x14ac:dyDescent="0.25">
      <c r="B8036"/>
      <c r="M8036"/>
    </row>
    <row r="8037" spans="2:13" ht="15" x14ac:dyDescent="0.25">
      <c r="B8037"/>
      <c r="M8037"/>
    </row>
    <row r="8038" spans="2:13" ht="15" x14ac:dyDescent="0.25">
      <c r="B8038"/>
      <c r="M8038"/>
    </row>
    <row r="8039" spans="2:13" ht="15" x14ac:dyDescent="0.25">
      <c r="B8039"/>
      <c r="M8039"/>
    </row>
    <row r="8040" spans="2:13" ht="15" x14ac:dyDescent="0.25">
      <c r="B8040"/>
      <c r="M8040"/>
    </row>
    <row r="8041" spans="2:13" ht="15" x14ac:dyDescent="0.25">
      <c r="B8041"/>
      <c r="M8041"/>
    </row>
    <row r="8042" spans="2:13" ht="15" x14ac:dyDescent="0.25">
      <c r="B8042"/>
      <c r="M8042"/>
    </row>
    <row r="8043" spans="2:13" ht="15" x14ac:dyDescent="0.25">
      <c r="B8043"/>
      <c r="M8043"/>
    </row>
    <row r="8044" spans="2:13" ht="15" x14ac:dyDescent="0.25">
      <c r="B8044"/>
      <c r="M8044"/>
    </row>
    <row r="8045" spans="2:13" ht="15" x14ac:dyDescent="0.25">
      <c r="B8045"/>
      <c r="M8045"/>
    </row>
    <row r="8046" spans="2:13" ht="15" x14ac:dyDescent="0.25">
      <c r="B8046"/>
      <c r="M8046"/>
    </row>
    <row r="8047" spans="2:13" ht="15" x14ac:dyDescent="0.25">
      <c r="B8047"/>
      <c r="M8047"/>
    </row>
    <row r="8048" spans="2:13" ht="15" x14ac:dyDescent="0.25">
      <c r="B8048"/>
      <c r="M8048"/>
    </row>
    <row r="8049" spans="2:13" ht="15" x14ac:dyDescent="0.25">
      <c r="B8049"/>
      <c r="M8049"/>
    </row>
    <row r="8050" spans="2:13" ht="15" x14ac:dyDescent="0.25">
      <c r="B8050"/>
      <c r="M8050"/>
    </row>
    <row r="8051" spans="2:13" ht="15" x14ac:dyDescent="0.25">
      <c r="B8051"/>
      <c r="M8051"/>
    </row>
    <row r="8052" spans="2:13" ht="15" x14ac:dyDescent="0.25">
      <c r="B8052"/>
      <c r="M8052"/>
    </row>
    <row r="8053" spans="2:13" ht="15" x14ac:dyDescent="0.25">
      <c r="B8053"/>
      <c r="M8053"/>
    </row>
    <row r="8054" spans="2:13" ht="15" x14ac:dyDescent="0.25">
      <c r="B8054"/>
      <c r="M8054"/>
    </row>
    <row r="8055" spans="2:13" ht="15" x14ac:dyDescent="0.25">
      <c r="B8055"/>
      <c r="M8055"/>
    </row>
    <row r="8056" spans="2:13" ht="15" x14ac:dyDescent="0.25">
      <c r="B8056"/>
      <c r="M8056"/>
    </row>
    <row r="8057" spans="2:13" ht="15" x14ac:dyDescent="0.25">
      <c r="B8057"/>
      <c r="M8057"/>
    </row>
    <row r="8058" spans="2:13" ht="15" x14ac:dyDescent="0.25">
      <c r="B8058"/>
      <c r="M8058"/>
    </row>
    <row r="8059" spans="2:13" ht="15" x14ac:dyDescent="0.25">
      <c r="B8059"/>
      <c r="M8059"/>
    </row>
    <row r="8060" spans="2:13" ht="15" x14ac:dyDescent="0.25">
      <c r="B8060"/>
      <c r="M8060"/>
    </row>
    <row r="8061" spans="2:13" ht="15" x14ac:dyDescent="0.25">
      <c r="B8061"/>
      <c r="M8061"/>
    </row>
    <row r="8062" spans="2:13" ht="15" x14ac:dyDescent="0.25">
      <c r="B8062"/>
      <c r="M8062"/>
    </row>
    <row r="8063" spans="2:13" ht="15" x14ac:dyDescent="0.25">
      <c r="B8063"/>
      <c r="M8063"/>
    </row>
    <row r="8064" spans="2:13" ht="15" x14ac:dyDescent="0.25">
      <c r="B8064"/>
      <c r="M8064"/>
    </row>
    <row r="8065" spans="2:13" ht="15" x14ac:dyDescent="0.25">
      <c r="B8065"/>
      <c r="M8065"/>
    </row>
    <row r="8066" spans="2:13" ht="15" x14ac:dyDescent="0.25">
      <c r="B8066"/>
      <c r="M8066"/>
    </row>
    <row r="8067" spans="2:13" ht="15" x14ac:dyDescent="0.25">
      <c r="B8067"/>
      <c r="M8067"/>
    </row>
    <row r="8068" spans="2:13" ht="15" x14ac:dyDescent="0.25">
      <c r="B8068"/>
      <c r="M8068"/>
    </row>
    <row r="8069" spans="2:13" ht="15" x14ac:dyDescent="0.25">
      <c r="B8069"/>
      <c r="M8069"/>
    </row>
    <row r="8070" spans="2:13" ht="15" x14ac:dyDescent="0.25">
      <c r="B8070"/>
      <c r="M8070"/>
    </row>
    <row r="8071" spans="2:13" ht="15" x14ac:dyDescent="0.25">
      <c r="B8071"/>
      <c r="M8071"/>
    </row>
    <row r="8072" spans="2:13" ht="15" x14ac:dyDescent="0.25">
      <c r="B8072"/>
      <c r="M8072"/>
    </row>
    <row r="8073" spans="2:13" ht="15" x14ac:dyDescent="0.25">
      <c r="B8073"/>
      <c r="M8073"/>
    </row>
    <row r="8074" spans="2:13" ht="15" x14ac:dyDescent="0.25">
      <c r="B8074"/>
      <c r="M8074"/>
    </row>
    <row r="8075" spans="2:13" ht="15" x14ac:dyDescent="0.25">
      <c r="B8075"/>
      <c r="M8075"/>
    </row>
    <row r="8076" spans="2:13" ht="15" x14ac:dyDescent="0.25">
      <c r="B8076"/>
      <c r="M8076"/>
    </row>
    <row r="8077" spans="2:13" ht="15" x14ac:dyDescent="0.25">
      <c r="B8077"/>
      <c r="M8077"/>
    </row>
    <row r="8078" spans="2:13" ht="15" x14ac:dyDescent="0.25">
      <c r="B8078"/>
      <c r="M8078"/>
    </row>
    <row r="8079" spans="2:13" ht="15" x14ac:dyDescent="0.25">
      <c r="B8079"/>
      <c r="M8079"/>
    </row>
    <row r="8080" spans="2:13" ht="15" x14ac:dyDescent="0.25">
      <c r="B8080"/>
      <c r="M8080"/>
    </row>
    <row r="8081" spans="2:13" ht="15" x14ac:dyDescent="0.25">
      <c r="B8081"/>
      <c r="M8081"/>
    </row>
    <row r="8082" spans="2:13" ht="15" x14ac:dyDescent="0.25">
      <c r="B8082"/>
      <c r="M8082"/>
    </row>
    <row r="8083" spans="2:13" ht="15" x14ac:dyDescent="0.25">
      <c r="B8083"/>
      <c r="M8083"/>
    </row>
    <row r="8084" spans="2:13" ht="15" x14ac:dyDescent="0.25">
      <c r="B8084"/>
      <c r="M8084"/>
    </row>
    <row r="8085" spans="2:13" ht="15" x14ac:dyDescent="0.25">
      <c r="B8085"/>
      <c r="M8085"/>
    </row>
    <row r="8086" spans="2:13" ht="15" x14ac:dyDescent="0.25">
      <c r="B8086"/>
      <c r="M8086"/>
    </row>
    <row r="8087" spans="2:13" ht="15" x14ac:dyDescent="0.25">
      <c r="B8087"/>
      <c r="M8087"/>
    </row>
    <row r="8088" spans="2:13" ht="15" x14ac:dyDescent="0.25">
      <c r="B8088"/>
      <c r="M8088"/>
    </row>
    <row r="8089" spans="2:13" ht="15" x14ac:dyDescent="0.25">
      <c r="B8089"/>
      <c r="M8089"/>
    </row>
    <row r="8090" spans="2:13" ht="15" x14ac:dyDescent="0.25">
      <c r="B8090"/>
      <c r="M8090"/>
    </row>
    <row r="8091" spans="2:13" ht="15" x14ac:dyDescent="0.25">
      <c r="B8091"/>
      <c r="M8091"/>
    </row>
    <row r="8092" spans="2:13" ht="15" x14ac:dyDescent="0.25">
      <c r="B8092"/>
      <c r="M8092"/>
    </row>
    <row r="8093" spans="2:13" ht="15" x14ac:dyDescent="0.25">
      <c r="B8093"/>
      <c r="M8093"/>
    </row>
    <row r="8094" spans="2:13" ht="15" x14ac:dyDescent="0.25">
      <c r="B8094"/>
      <c r="M8094"/>
    </row>
    <row r="8095" spans="2:13" ht="15" x14ac:dyDescent="0.25">
      <c r="B8095"/>
      <c r="M8095"/>
    </row>
    <row r="8096" spans="2:13" ht="15" x14ac:dyDescent="0.25">
      <c r="B8096"/>
      <c r="M8096"/>
    </row>
    <row r="8097" spans="2:13" ht="15" x14ac:dyDescent="0.25">
      <c r="B8097"/>
      <c r="M8097"/>
    </row>
    <row r="8098" spans="2:13" ht="15" x14ac:dyDescent="0.25">
      <c r="B8098"/>
      <c r="M8098"/>
    </row>
    <row r="8099" spans="2:13" ht="15" x14ac:dyDescent="0.25">
      <c r="B8099"/>
      <c r="M8099"/>
    </row>
    <row r="8100" spans="2:13" ht="15" x14ac:dyDescent="0.25">
      <c r="B8100"/>
      <c r="M8100"/>
    </row>
    <row r="8101" spans="2:13" ht="15" x14ac:dyDescent="0.25">
      <c r="B8101"/>
      <c r="M8101"/>
    </row>
    <row r="8102" spans="2:13" ht="15" x14ac:dyDescent="0.25">
      <c r="B8102"/>
      <c r="M8102"/>
    </row>
    <row r="8103" spans="2:13" ht="15" x14ac:dyDescent="0.25">
      <c r="B8103"/>
      <c r="M8103"/>
    </row>
    <row r="8104" spans="2:13" ht="15" x14ac:dyDescent="0.25">
      <c r="B8104"/>
      <c r="M8104"/>
    </row>
    <row r="8105" spans="2:13" ht="15" x14ac:dyDescent="0.25">
      <c r="B8105"/>
      <c r="M8105"/>
    </row>
    <row r="8106" spans="2:13" ht="15" x14ac:dyDescent="0.25">
      <c r="B8106"/>
      <c r="M8106"/>
    </row>
    <row r="8107" spans="2:13" ht="15" x14ac:dyDescent="0.25">
      <c r="B8107"/>
      <c r="M8107"/>
    </row>
    <row r="8108" spans="2:13" ht="15" x14ac:dyDescent="0.25">
      <c r="B8108"/>
      <c r="M8108"/>
    </row>
    <row r="8109" spans="2:13" ht="15" x14ac:dyDescent="0.25">
      <c r="B8109"/>
      <c r="M8109"/>
    </row>
    <row r="8110" spans="2:13" ht="15" x14ac:dyDescent="0.25">
      <c r="B8110"/>
      <c r="M8110"/>
    </row>
    <row r="8111" spans="2:13" ht="15" x14ac:dyDescent="0.25">
      <c r="B8111"/>
      <c r="M8111"/>
    </row>
    <row r="8112" spans="2:13" ht="15" x14ac:dyDescent="0.25">
      <c r="B8112"/>
      <c r="M8112"/>
    </row>
    <row r="8113" spans="2:13" ht="15" x14ac:dyDescent="0.25">
      <c r="B8113"/>
      <c r="M8113"/>
    </row>
    <row r="8114" spans="2:13" ht="15" x14ac:dyDescent="0.25">
      <c r="B8114"/>
      <c r="M8114"/>
    </row>
    <row r="8115" spans="2:13" ht="15" x14ac:dyDescent="0.25">
      <c r="B8115"/>
      <c r="M8115"/>
    </row>
    <row r="8116" spans="2:13" ht="15" x14ac:dyDescent="0.25">
      <c r="B8116"/>
      <c r="M8116"/>
    </row>
    <row r="8117" spans="2:13" ht="15" x14ac:dyDescent="0.25">
      <c r="B8117"/>
      <c r="M8117"/>
    </row>
    <row r="8118" spans="2:13" ht="15" x14ac:dyDescent="0.25">
      <c r="B8118"/>
      <c r="M8118"/>
    </row>
    <row r="8119" spans="2:13" ht="15" x14ac:dyDescent="0.25">
      <c r="B8119"/>
      <c r="M8119"/>
    </row>
    <row r="8120" spans="2:13" ht="15" x14ac:dyDescent="0.25">
      <c r="B8120"/>
      <c r="M8120"/>
    </row>
    <row r="8121" spans="2:13" ht="15" x14ac:dyDescent="0.25">
      <c r="B8121"/>
      <c r="M8121"/>
    </row>
    <row r="8122" spans="2:13" ht="15" x14ac:dyDescent="0.25">
      <c r="B8122"/>
      <c r="M8122"/>
    </row>
    <row r="8123" spans="2:13" ht="15" x14ac:dyDescent="0.25">
      <c r="B8123"/>
      <c r="M8123"/>
    </row>
    <row r="8124" spans="2:13" ht="15" x14ac:dyDescent="0.25">
      <c r="B8124"/>
      <c r="M8124"/>
    </row>
    <row r="8125" spans="2:13" ht="15" x14ac:dyDescent="0.25">
      <c r="B8125"/>
      <c r="M8125"/>
    </row>
    <row r="8126" spans="2:13" ht="15" x14ac:dyDescent="0.25">
      <c r="B8126"/>
      <c r="M8126"/>
    </row>
    <row r="8127" spans="2:13" ht="15" x14ac:dyDescent="0.25">
      <c r="B8127"/>
      <c r="M8127"/>
    </row>
    <row r="8128" spans="2:13" ht="15" x14ac:dyDescent="0.25">
      <c r="B8128"/>
      <c r="M8128"/>
    </row>
    <row r="8129" spans="2:13" ht="15" x14ac:dyDescent="0.25">
      <c r="B8129"/>
      <c r="M8129"/>
    </row>
    <row r="8130" spans="2:13" ht="15" x14ac:dyDescent="0.25">
      <c r="B8130"/>
      <c r="M8130"/>
    </row>
    <row r="8131" spans="2:13" ht="15" x14ac:dyDescent="0.25">
      <c r="B8131"/>
      <c r="M8131"/>
    </row>
    <row r="8132" spans="2:13" ht="15" x14ac:dyDescent="0.25">
      <c r="B8132"/>
      <c r="M8132"/>
    </row>
    <row r="8133" spans="2:13" ht="15" x14ac:dyDescent="0.25">
      <c r="B8133"/>
      <c r="M8133"/>
    </row>
    <row r="8134" spans="2:13" ht="15" x14ac:dyDescent="0.25">
      <c r="B8134"/>
      <c r="M8134"/>
    </row>
    <row r="8135" spans="2:13" ht="15" x14ac:dyDescent="0.25">
      <c r="B8135"/>
      <c r="M8135"/>
    </row>
    <row r="8136" spans="2:13" ht="15" x14ac:dyDescent="0.25">
      <c r="B8136"/>
      <c r="M8136"/>
    </row>
    <row r="8137" spans="2:13" ht="15" x14ac:dyDescent="0.25">
      <c r="B8137"/>
      <c r="M8137"/>
    </row>
    <row r="8138" spans="2:13" ht="15" x14ac:dyDescent="0.25">
      <c r="B8138"/>
      <c r="M8138"/>
    </row>
    <row r="8139" spans="2:13" ht="15" x14ac:dyDescent="0.25">
      <c r="B8139"/>
      <c r="M8139"/>
    </row>
    <row r="8140" spans="2:13" ht="15" x14ac:dyDescent="0.25">
      <c r="B8140"/>
      <c r="M8140"/>
    </row>
    <row r="8141" spans="2:13" ht="15" x14ac:dyDescent="0.25">
      <c r="B8141"/>
      <c r="M8141"/>
    </row>
    <row r="8142" spans="2:13" ht="15" x14ac:dyDescent="0.25">
      <c r="B8142"/>
      <c r="M8142"/>
    </row>
    <row r="8143" spans="2:13" ht="15" x14ac:dyDescent="0.25">
      <c r="B8143"/>
      <c r="M8143"/>
    </row>
    <row r="8144" spans="2:13" ht="15" x14ac:dyDescent="0.25">
      <c r="B8144"/>
      <c r="M8144"/>
    </row>
    <row r="8145" spans="2:13" ht="15" x14ac:dyDescent="0.25">
      <c r="B8145"/>
      <c r="M8145"/>
    </row>
    <row r="8146" spans="2:13" ht="15" x14ac:dyDescent="0.25">
      <c r="B8146"/>
      <c r="M8146"/>
    </row>
    <row r="8147" spans="2:13" ht="15" x14ac:dyDescent="0.25">
      <c r="B8147"/>
      <c r="M8147"/>
    </row>
    <row r="8148" spans="2:13" ht="15" x14ac:dyDescent="0.25">
      <c r="B8148"/>
      <c r="M8148"/>
    </row>
    <row r="8149" spans="2:13" ht="15" x14ac:dyDescent="0.25">
      <c r="B8149"/>
      <c r="M8149"/>
    </row>
    <row r="8150" spans="2:13" ht="15" x14ac:dyDescent="0.25">
      <c r="B8150"/>
      <c r="M8150"/>
    </row>
    <row r="8151" spans="2:13" ht="15" x14ac:dyDescent="0.25">
      <c r="B8151"/>
      <c r="M8151"/>
    </row>
    <row r="8152" spans="2:13" ht="15" x14ac:dyDescent="0.25">
      <c r="B8152"/>
      <c r="M8152"/>
    </row>
    <row r="8153" spans="2:13" ht="15" x14ac:dyDescent="0.25">
      <c r="B8153"/>
      <c r="M8153"/>
    </row>
    <row r="8154" spans="2:13" ht="15" x14ac:dyDescent="0.25">
      <c r="B8154"/>
      <c r="M8154"/>
    </row>
    <row r="8155" spans="2:13" ht="15" x14ac:dyDescent="0.25">
      <c r="B8155"/>
      <c r="M8155"/>
    </row>
    <row r="8156" spans="2:13" ht="15" x14ac:dyDescent="0.25">
      <c r="B8156"/>
      <c r="M8156"/>
    </row>
    <row r="8157" spans="2:13" ht="15" x14ac:dyDescent="0.25">
      <c r="B8157"/>
      <c r="M8157"/>
    </row>
    <row r="8158" spans="2:13" ht="15" x14ac:dyDescent="0.25">
      <c r="B8158"/>
      <c r="M8158"/>
    </row>
    <row r="8159" spans="2:13" ht="15" x14ac:dyDescent="0.25">
      <c r="B8159"/>
      <c r="M8159"/>
    </row>
    <row r="8160" spans="2:13" ht="15" x14ac:dyDescent="0.25">
      <c r="B8160"/>
      <c r="M8160"/>
    </row>
    <row r="8161" spans="2:13" ht="15" x14ac:dyDescent="0.25">
      <c r="B8161"/>
      <c r="M8161"/>
    </row>
    <row r="8162" spans="2:13" ht="15" x14ac:dyDescent="0.25">
      <c r="B8162"/>
      <c r="M8162"/>
    </row>
    <row r="8163" spans="2:13" ht="15" x14ac:dyDescent="0.25">
      <c r="B8163"/>
      <c r="M8163"/>
    </row>
    <row r="8164" spans="2:13" ht="15" x14ac:dyDescent="0.25">
      <c r="B8164"/>
      <c r="M8164"/>
    </row>
    <row r="8165" spans="2:13" ht="15" x14ac:dyDescent="0.25">
      <c r="B8165"/>
      <c r="M8165"/>
    </row>
    <row r="8166" spans="2:13" ht="15" x14ac:dyDescent="0.25">
      <c r="B8166"/>
      <c r="M8166"/>
    </row>
    <row r="8167" spans="2:13" ht="15" x14ac:dyDescent="0.25">
      <c r="B8167"/>
      <c r="M8167"/>
    </row>
    <row r="8168" spans="2:13" ht="15" x14ac:dyDescent="0.25">
      <c r="B8168"/>
      <c r="M8168"/>
    </row>
    <row r="8169" spans="2:13" ht="15" x14ac:dyDescent="0.25">
      <c r="B8169"/>
      <c r="M8169"/>
    </row>
    <row r="8170" spans="2:13" ht="15" x14ac:dyDescent="0.25">
      <c r="B8170"/>
      <c r="M8170"/>
    </row>
    <row r="8171" spans="2:13" ht="15" x14ac:dyDescent="0.25">
      <c r="B8171"/>
      <c r="M8171"/>
    </row>
    <row r="8172" spans="2:13" ht="15" x14ac:dyDescent="0.25">
      <c r="B8172"/>
      <c r="M8172"/>
    </row>
    <row r="8173" spans="2:13" ht="15" x14ac:dyDescent="0.25">
      <c r="B8173"/>
      <c r="M8173"/>
    </row>
    <row r="8174" spans="2:13" ht="15" x14ac:dyDescent="0.25">
      <c r="B8174"/>
      <c r="M8174"/>
    </row>
    <row r="8175" spans="2:13" ht="15" x14ac:dyDescent="0.25">
      <c r="B8175"/>
      <c r="M8175"/>
    </row>
    <row r="8176" spans="2:13" ht="15" x14ac:dyDescent="0.25">
      <c r="B8176"/>
      <c r="M8176"/>
    </row>
    <row r="8177" spans="2:13" ht="15" x14ac:dyDescent="0.25">
      <c r="B8177"/>
      <c r="M8177"/>
    </row>
    <row r="8178" spans="2:13" ht="15" x14ac:dyDescent="0.25">
      <c r="B8178"/>
      <c r="M8178"/>
    </row>
    <row r="8179" spans="2:13" ht="15" x14ac:dyDescent="0.25">
      <c r="B8179"/>
      <c r="M8179"/>
    </row>
    <row r="8180" spans="2:13" ht="15" x14ac:dyDescent="0.25">
      <c r="B8180"/>
      <c r="M8180"/>
    </row>
    <row r="8181" spans="2:13" ht="15" x14ac:dyDescent="0.25">
      <c r="B8181"/>
      <c r="M8181"/>
    </row>
    <row r="8182" spans="2:13" ht="15" x14ac:dyDescent="0.25">
      <c r="B8182"/>
      <c r="M8182"/>
    </row>
    <row r="8183" spans="2:13" ht="15" x14ac:dyDescent="0.25">
      <c r="B8183"/>
      <c r="M8183"/>
    </row>
    <row r="8184" spans="2:13" ht="15" x14ac:dyDescent="0.25">
      <c r="B8184"/>
      <c r="M8184"/>
    </row>
    <row r="8185" spans="2:13" ht="15" x14ac:dyDescent="0.25">
      <c r="B8185"/>
      <c r="M8185"/>
    </row>
    <row r="8186" spans="2:13" ht="15" x14ac:dyDescent="0.25">
      <c r="B8186"/>
      <c r="M8186"/>
    </row>
    <row r="8187" spans="2:13" ht="15" x14ac:dyDescent="0.25">
      <c r="B8187"/>
      <c r="M8187"/>
    </row>
    <row r="8188" spans="2:13" ht="15" x14ac:dyDescent="0.25">
      <c r="B8188"/>
      <c r="M8188"/>
    </row>
    <row r="8189" spans="2:13" ht="15" x14ac:dyDescent="0.25">
      <c r="B8189"/>
      <c r="M8189"/>
    </row>
    <row r="8190" spans="2:13" ht="15" x14ac:dyDescent="0.25">
      <c r="B8190"/>
      <c r="M8190"/>
    </row>
    <row r="8191" spans="2:13" ht="15" x14ac:dyDescent="0.25">
      <c r="B8191"/>
      <c r="M8191"/>
    </row>
    <row r="8192" spans="2:13" ht="15" x14ac:dyDescent="0.25">
      <c r="B8192"/>
      <c r="M8192"/>
    </row>
    <row r="8193" spans="2:13" ht="15" x14ac:dyDescent="0.25">
      <c r="B8193"/>
      <c r="M8193"/>
    </row>
    <row r="8194" spans="2:13" ht="15" x14ac:dyDescent="0.25">
      <c r="B8194"/>
      <c r="M8194"/>
    </row>
    <row r="8195" spans="2:13" ht="15" x14ac:dyDescent="0.25">
      <c r="B8195"/>
      <c r="M8195"/>
    </row>
    <row r="8196" spans="2:13" ht="15" x14ac:dyDescent="0.25">
      <c r="B8196"/>
      <c r="M8196"/>
    </row>
    <row r="8197" spans="2:13" ht="15" x14ac:dyDescent="0.25">
      <c r="B8197"/>
      <c r="M8197"/>
    </row>
    <row r="8198" spans="2:13" ht="15" x14ac:dyDescent="0.25">
      <c r="B8198"/>
      <c r="M8198"/>
    </row>
    <row r="8199" spans="2:13" ht="15" x14ac:dyDescent="0.25">
      <c r="B8199"/>
      <c r="M8199"/>
    </row>
    <row r="8200" spans="2:13" ht="15" x14ac:dyDescent="0.25">
      <c r="B8200"/>
      <c r="M8200"/>
    </row>
    <row r="8201" spans="2:13" ht="15" x14ac:dyDescent="0.25">
      <c r="B8201"/>
      <c r="M8201"/>
    </row>
    <row r="8202" spans="2:13" ht="15" x14ac:dyDescent="0.25">
      <c r="B8202"/>
      <c r="M8202"/>
    </row>
    <row r="8203" spans="2:13" ht="15" x14ac:dyDescent="0.25">
      <c r="B8203"/>
      <c r="M8203"/>
    </row>
    <row r="8204" spans="2:13" ht="15" x14ac:dyDescent="0.25">
      <c r="B8204"/>
      <c r="M8204"/>
    </row>
    <row r="8205" spans="2:13" ht="15" x14ac:dyDescent="0.25">
      <c r="B8205"/>
      <c r="M8205"/>
    </row>
    <row r="8206" spans="2:13" ht="15" x14ac:dyDescent="0.25">
      <c r="B8206"/>
      <c r="M8206"/>
    </row>
    <row r="8207" spans="2:13" ht="15" x14ac:dyDescent="0.25">
      <c r="B8207"/>
      <c r="M8207"/>
    </row>
    <row r="8208" spans="2:13" ht="15" x14ac:dyDescent="0.25">
      <c r="B8208"/>
      <c r="M8208"/>
    </row>
    <row r="8209" spans="2:13" ht="15" x14ac:dyDescent="0.25">
      <c r="B8209"/>
      <c r="M8209"/>
    </row>
    <row r="8210" spans="2:13" ht="15" x14ac:dyDescent="0.25">
      <c r="B8210"/>
      <c r="M8210"/>
    </row>
    <row r="8211" spans="2:13" ht="15" x14ac:dyDescent="0.25">
      <c r="B8211"/>
      <c r="M8211"/>
    </row>
    <row r="8212" spans="2:13" ht="15" x14ac:dyDescent="0.25">
      <c r="B8212"/>
      <c r="M8212"/>
    </row>
    <row r="8213" spans="2:13" ht="15" x14ac:dyDescent="0.25">
      <c r="B8213"/>
      <c r="M8213"/>
    </row>
    <row r="8214" spans="2:13" ht="15" x14ac:dyDescent="0.25">
      <c r="B8214"/>
      <c r="M8214"/>
    </row>
    <row r="8215" spans="2:13" ht="15" x14ac:dyDescent="0.25">
      <c r="B8215"/>
      <c r="M8215"/>
    </row>
    <row r="8216" spans="2:13" ht="15" x14ac:dyDescent="0.25">
      <c r="B8216"/>
      <c r="M8216"/>
    </row>
    <row r="8217" spans="2:13" ht="15" x14ac:dyDescent="0.25">
      <c r="B8217"/>
      <c r="M8217"/>
    </row>
    <row r="8218" spans="2:13" ht="15" x14ac:dyDescent="0.25">
      <c r="B8218"/>
      <c r="M8218"/>
    </row>
    <row r="8219" spans="2:13" ht="15" x14ac:dyDescent="0.25">
      <c r="B8219"/>
      <c r="M8219"/>
    </row>
    <row r="8220" spans="2:13" ht="15" x14ac:dyDescent="0.25">
      <c r="B8220"/>
      <c r="M8220"/>
    </row>
    <row r="8221" spans="2:13" ht="15" x14ac:dyDescent="0.25">
      <c r="B8221"/>
      <c r="M8221"/>
    </row>
    <row r="8222" spans="2:13" ht="15" x14ac:dyDescent="0.25">
      <c r="B8222"/>
      <c r="M8222"/>
    </row>
    <row r="8223" spans="2:13" ht="15" x14ac:dyDescent="0.25">
      <c r="B8223"/>
      <c r="M8223"/>
    </row>
    <row r="8224" spans="2:13" ht="15" x14ac:dyDescent="0.25">
      <c r="B8224"/>
      <c r="M8224"/>
    </row>
    <row r="8225" spans="2:13" ht="15" x14ac:dyDescent="0.25">
      <c r="B8225"/>
      <c r="M8225"/>
    </row>
    <row r="8226" spans="2:13" ht="15" x14ac:dyDescent="0.25">
      <c r="B8226"/>
      <c r="M8226"/>
    </row>
    <row r="8227" spans="2:13" ht="15" x14ac:dyDescent="0.25">
      <c r="B8227"/>
      <c r="M8227"/>
    </row>
    <row r="8228" spans="2:13" ht="15" x14ac:dyDescent="0.25">
      <c r="B8228"/>
      <c r="M8228"/>
    </row>
    <row r="8229" spans="2:13" ht="15" x14ac:dyDescent="0.25">
      <c r="B8229"/>
      <c r="M8229"/>
    </row>
    <row r="8230" spans="2:13" ht="15" x14ac:dyDescent="0.25">
      <c r="B8230"/>
      <c r="M8230"/>
    </row>
    <row r="8231" spans="2:13" ht="15" x14ac:dyDescent="0.25">
      <c r="B8231"/>
      <c r="M8231"/>
    </row>
    <row r="8232" spans="2:13" ht="15" x14ac:dyDescent="0.25">
      <c r="B8232"/>
      <c r="M8232"/>
    </row>
    <row r="8233" spans="2:13" ht="15" x14ac:dyDescent="0.25">
      <c r="B8233"/>
      <c r="M8233"/>
    </row>
    <row r="8234" spans="2:13" ht="15" x14ac:dyDescent="0.25">
      <c r="B8234"/>
      <c r="M8234"/>
    </row>
    <row r="8235" spans="2:13" ht="15" x14ac:dyDescent="0.25">
      <c r="B8235"/>
      <c r="M8235"/>
    </row>
    <row r="8236" spans="2:13" ht="15" x14ac:dyDescent="0.25">
      <c r="B8236"/>
      <c r="M8236"/>
    </row>
    <row r="8237" spans="2:13" ht="15" x14ac:dyDescent="0.25">
      <c r="B8237"/>
      <c r="M8237"/>
    </row>
    <row r="8238" spans="2:13" ht="15" x14ac:dyDescent="0.25">
      <c r="B8238"/>
      <c r="M8238"/>
    </row>
    <row r="8239" spans="2:13" ht="15" x14ac:dyDescent="0.25">
      <c r="B8239"/>
      <c r="M8239"/>
    </row>
    <row r="8240" spans="2:13" ht="15" x14ac:dyDescent="0.25">
      <c r="B8240"/>
      <c r="M8240"/>
    </row>
    <row r="8241" spans="2:13" ht="15" x14ac:dyDescent="0.25">
      <c r="B8241"/>
      <c r="M8241"/>
    </row>
    <row r="8242" spans="2:13" ht="15" x14ac:dyDescent="0.25">
      <c r="B8242"/>
      <c r="M8242"/>
    </row>
    <row r="8243" spans="2:13" ht="15" x14ac:dyDescent="0.25">
      <c r="B8243"/>
      <c r="M8243"/>
    </row>
    <row r="8244" spans="2:13" ht="15" x14ac:dyDescent="0.25">
      <c r="B8244"/>
      <c r="M8244"/>
    </row>
    <row r="8245" spans="2:13" ht="15" x14ac:dyDescent="0.25">
      <c r="B8245"/>
      <c r="M8245"/>
    </row>
    <row r="8246" spans="2:13" ht="15" x14ac:dyDescent="0.25">
      <c r="B8246"/>
      <c r="M8246"/>
    </row>
    <row r="8247" spans="2:13" ht="15" x14ac:dyDescent="0.25">
      <c r="B8247"/>
      <c r="M8247"/>
    </row>
    <row r="8248" spans="2:13" ht="15" x14ac:dyDescent="0.25">
      <c r="B8248"/>
      <c r="M8248"/>
    </row>
    <row r="8249" spans="2:13" ht="15" x14ac:dyDescent="0.25">
      <c r="B8249"/>
      <c r="M8249"/>
    </row>
    <row r="8250" spans="2:13" ht="15" x14ac:dyDescent="0.25">
      <c r="B8250"/>
      <c r="M8250"/>
    </row>
    <row r="8251" spans="2:13" ht="15" x14ac:dyDescent="0.25">
      <c r="B8251"/>
      <c r="M8251"/>
    </row>
    <row r="8252" spans="2:13" ht="15" x14ac:dyDescent="0.25">
      <c r="B8252"/>
      <c r="M8252"/>
    </row>
    <row r="8253" spans="2:13" ht="15" x14ac:dyDescent="0.25">
      <c r="B8253"/>
      <c r="M8253"/>
    </row>
    <row r="8254" spans="2:13" ht="15" x14ac:dyDescent="0.25">
      <c r="B8254"/>
      <c r="M8254"/>
    </row>
    <row r="8255" spans="2:13" ht="15" x14ac:dyDescent="0.25">
      <c r="B8255"/>
      <c r="M8255"/>
    </row>
    <row r="8256" spans="2:13" ht="15" x14ac:dyDescent="0.25">
      <c r="B8256"/>
      <c r="M8256"/>
    </row>
    <row r="8257" spans="2:13" ht="15" x14ac:dyDescent="0.25">
      <c r="B8257"/>
      <c r="M8257"/>
    </row>
    <row r="8258" spans="2:13" ht="15" x14ac:dyDescent="0.25">
      <c r="B8258"/>
      <c r="M8258"/>
    </row>
    <row r="8259" spans="2:13" ht="15" x14ac:dyDescent="0.25">
      <c r="B8259"/>
      <c r="M8259"/>
    </row>
    <row r="8260" spans="2:13" ht="15" x14ac:dyDescent="0.25">
      <c r="B8260"/>
      <c r="M8260"/>
    </row>
    <row r="8261" spans="2:13" ht="15" x14ac:dyDescent="0.25">
      <c r="B8261"/>
      <c r="M8261"/>
    </row>
    <row r="8262" spans="2:13" ht="15" x14ac:dyDescent="0.25">
      <c r="B8262"/>
      <c r="M8262"/>
    </row>
    <row r="8263" spans="2:13" ht="15" x14ac:dyDescent="0.25">
      <c r="B8263"/>
      <c r="M8263"/>
    </row>
    <row r="8264" spans="2:13" ht="15" x14ac:dyDescent="0.25">
      <c r="B8264"/>
      <c r="M8264"/>
    </row>
    <row r="8265" spans="2:13" ht="15" x14ac:dyDescent="0.25">
      <c r="B8265"/>
      <c r="M8265"/>
    </row>
    <row r="8266" spans="2:13" ht="15" x14ac:dyDescent="0.25">
      <c r="B8266"/>
      <c r="M8266"/>
    </row>
    <row r="8267" spans="2:13" ht="15" x14ac:dyDescent="0.25">
      <c r="B8267"/>
      <c r="M8267"/>
    </row>
    <row r="8268" spans="2:13" ht="15" x14ac:dyDescent="0.25">
      <c r="B8268"/>
      <c r="M8268"/>
    </row>
    <row r="8269" spans="2:13" ht="15" x14ac:dyDescent="0.25">
      <c r="B8269"/>
      <c r="M8269"/>
    </row>
    <row r="8270" spans="2:13" ht="15" x14ac:dyDescent="0.25">
      <c r="B8270"/>
      <c r="M8270"/>
    </row>
    <row r="8271" spans="2:13" ht="15" x14ac:dyDescent="0.25">
      <c r="B8271"/>
      <c r="M8271"/>
    </row>
    <row r="8272" spans="2:13" ht="15" x14ac:dyDescent="0.25">
      <c r="B8272"/>
      <c r="M8272"/>
    </row>
    <row r="8273" spans="2:13" ht="15" x14ac:dyDescent="0.25">
      <c r="B8273"/>
      <c r="M8273"/>
    </row>
    <row r="8274" spans="2:13" ht="15" x14ac:dyDescent="0.25">
      <c r="B8274"/>
      <c r="M8274"/>
    </row>
    <row r="8275" spans="2:13" ht="15" x14ac:dyDescent="0.25">
      <c r="B8275"/>
      <c r="M8275"/>
    </row>
    <row r="8276" spans="2:13" ht="15" x14ac:dyDescent="0.25">
      <c r="B8276"/>
      <c r="M8276"/>
    </row>
    <row r="8277" spans="2:13" ht="15" x14ac:dyDescent="0.25">
      <c r="B8277"/>
      <c r="M8277"/>
    </row>
    <row r="8278" spans="2:13" ht="15" x14ac:dyDescent="0.25">
      <c r="B8278"/>
      <c r="M8278"/>
    </row>
    <row r="8279" spans="2:13" ht="15" x14ac:dyDescent="0.25">
      <c r="B8279"/>
      <c r="M8279"/>
    </row>
    <row r="8280" spans="2:13" ht="15" x14ac:dyDescent="0.25">
      <c r="B8280"/>
      <c r="M8280"/>
    </row>
    <row r="8281" spans="2:13" ht="15" x14ac:dyDescent="0.25">
      <c r="B8281"/>
      <c r="M8281"/>
    </row>
    <row r="8282" spans="2:13" ht="15" x14ac:dyDescent="0.25">
      <c r="B8282"/>
      <c r="M8282"/>
    </row>
    <row r="8283" spans="2:13" ht="15" x14ac:dyDescent="0.25">
      <c r="B8283"/>
      <c r="M8283"/>
    </row>
    <row r="8284" spans="2:13" ht="15" x14ac:dyDescent="0.25">
      <c r="B8284"/>
      <c r="M8284"/>
    </row>
    <row r="8285" spans="2:13" ht="15" x14ac:dyDescent="0.25">
      <c r="B8285"/>
      <c r="M8285"/>
    </row>
    <row r="8286" spans="2:13" ht="15" x14ac:dyDescent="0.25">
      <c r="B8286"/>
      <c r="M8286"/>
    </row>
    <row r="8287" spans="2:13" ht="15" x14ac:dyDescent="0.25">
      <c r="B8287"/>
      <c r="M8287"/>
    </row>
    <row r="8288" spans="2:13" ht="15" x14ac:dyDescent="0.25">
      <c r="B8288"/>
      <c r="M8288"/>
    </row>
    <row r="8289" spans="2:13" ht="15" x14ac:dyDescent="0.25">
      <c r="B8289"/>
      <c r="M8289"/>
    </row>
    <row r="8290" spans="2:13" ht="15" x14ac:dyDescent="0.25">
      <c r="B8290"/>
      <c r="M8290"/>
    </row>
    <row r="8291" spans="2:13" ht="15" x14ac:dyDescent="0.25">
      <c r="B8291"/>
      <c r="M8291"/>
    </row>
    <row r="8292" spans="2:13" ht="15" x14ac:dyDescent="0.25">
      <c r="B8292"/>
      <c r="M8292"/>
    </row>
    <row r="8293" spans="2:13" ht="15" x14ac:dyDescent="0.25">
      <c r="B8293"/>
      <c r="M8293"/>
    </row>
    <row r="8294" spans="2:13" ht="15" x14ac:dyDescent="0.25">
      <c r="B8294"/>
      <c r="M8294"/>
    </row>
    <row r="8295" spans="2:13" ht="15" x14ac:dyDescent="0.25">
      <c r="B8295"/>
      <c r="M8295"/>
    </row>
    <row r="8296" spans="2:13" ht="15" x14ac:dyDescent="0.25">
      <c r="B8296"/>
      <c r="M8296"/>
    </row>
    <row r="8297" spans="2:13" ht="15" x14ac:dyDescent="0.25">
      <c r="B8297"/>
      <c r="M8297"/>
    </row>
    <row r="8298" spans="2:13" ht="15" x14ac:dyDescent="0.25">
      <c r="B8298"/>
      <c r="M8298"/>
    </row>
    <row r="8299" spans="2:13" ht="15" x14ac:dyDescent="0.25">
      <c r="B8299"/>
      <c r="M8299"/>
    </row>
    <row r="8300" spans="2:13" ht="15" x14ac:dyDescent="0.25">
      <c r="B8300"/>
      <c r="M8300"/>
    </row>
    <row r="8301" spans="2:13" ht="15" x14ac:dyDescent="0.25">
      <c r="B8301"/>
      <c r="M8301"/>
    </row>
    <row r="8302" spans="2:13" ht="15" x14ac:dyDescent="0.25">
      <c r="B8302"/>
      <c r="M8302"/>
    </row>
    <row r="8303" spans="2:13" ht="15" x14ac:dyDescent="0.25">
      <c r="B8303"/>
      <c r="M8303"/>
    </row>
    <row r="8304" spans="2:13" ht="15" x14ac:dyDescent="0.25">
      <c r="B8304"/>
      <c r="M8304"/>
    </row>
    <row r="8305" spans="2:13" ht="15" x14ac:dyDescent="0.25">
      <c r="B8305"/>
      <c r="M8305"/>
    </row>
    <row r="8306" spans="2:13" ht="15" x14ac:dyDescent="0.25">
      <c r="B8306"/>
      <c r="M8306"/>
    </row>
    <row r="8307" spans="2:13" ht="15" x14ac:dyDescent="0.25">
      <c r="B8307"/>
      <c r="M8307"/>
    </row>
    <row r="8308" spans="2:13" ht="15" x14ac:dyDescent="0.25">
      <c r="B8308"/>
      <c r="M8308"/>
    </row>
    <row r="8309" spans="2:13" ht="15" x14ac:dyDescent="0.25">
      <c r="B8309"/>
      <c r="M8309"/>
    </row>
    <row r="8310" spans="2:13" ht="15" x14ac:dyDescent="0.25">
      <c r="B8310"/>
      <c r="M8310"/>
    </row>
    <row r="8311" spans="2:13" ht="15" x14ac:dyDescent="0.25">
      <c r="B8311"/>
      <c r="M8311"/>
    </row>
    <row r="8312" spans="2:13" ht="15" x14ac:dyDescent="0.25">
      <c r="B8312"/>
      <c r="M8312"/>
    </row>
    <row r="8313" spans="2:13" ht="15" x14ac:dyDescent="0.25">
      <c r="B8313"/>
      <c r="M8313"/>
    </row>
    <row r="8314" spans="2:13" ht="15" x14ac:dyDescent="0.25">
      <c r="B8314"/>
      <c r="M8314"/>
    </row>
    <row r="8315" spans="2:13" ht="15" x14ac:dyDescent="0.25">
      <c r="B8315"/>
      <c r="M8315"/>
    </row>
    <row r="8316" spans="2:13" ht="15" x14ac:dyDescent="0.25">
      <c r="B8316"/>
      <c r="M8316"/>
    </row>
    <row r="8317" spans="2:13" ht="15" x14ac:dyDescent="0.25">
      <c r="B8317"/>
      <c r="M8317"/>
    </row>
    <row r="8318" spans="2:13" ht="15" x14ac:dyDescent="0.25">
      <c r="B8318"/>
      <c r="M8318"/>
    </row>
    <row r="8319" spans="2:13" ht="15" x14ac:dyDescent="0.25">
      <c r="B8319"/>
      <c r="M8319"/>
    </row>
    <row r="8320" spans="2:13" ht="15" x14ac:dyDescent="0.25">
      <c r="B8320"/>
      <c r="M8320"/>
    </row>
    <row r="8321" spans="2:13" ht="15" x14ac:dyDescent="0.25">
      <c r="B8321"/>
      <c r="M8321"/>
    </row>
    <row r="8322" spans="2:13" ht="15" x14ac:dyDescent="0.25">
      <c r="B8322"/>
      <c r="M8322"/>
    </row>
    <row r="8323" spans="2:13" ht="15" x14ac:dyDescent="0.25">
      <c r="B8323"/>
      <c r="M8323"/>
    </row>
    <row r="8324" spans="2:13" ht="15" x14ac:dyDescent="0.25">
      <c r="B8324"/>
      <c r="M8324"/>
    </row>
    <row r="8325" spans="2:13" ht="15" x14ac:dyDescent="0.25">
      <c r="B8325"/>
      <c r="M8325"/>
    </row>
    <row r="8326" spans="2:13" ht="15" x14ac:dyDescent="0.25">
      <c r="B8326"/>
      <c r="M8326"/>
    </row>
    <row r="8327" spans="2:13" ht="15" x14ac:dyDescent="0.25">
      <c r="B8327"/>
      <c r="M8327"/>
    </row>
    <row r="8328" spans="2:13" ht="15" x14ac:dyDescent="0.25">
      <c r="B8328"/>
      <c r="M8328"/>
    </row>
    <row r="8329" spans="2:13" ht="15" x14ac:dyDescent="0.25">
      <c r="B8329"/>
      <c r="M8329"/>
    </row>
    <row r="8330" spans="2:13" ht="15" x14ac:dyDescent="0.25">
      <c r="B8330"/>
      <c r="M8330"/>
    </row>
    <row r="8331" spans="2:13" ht="15" x14ac:dyDescent="0.25">
      <c r="B8331"/>
      <c r="M8331"/>
    </row>
    <row r="8332" spans="2:13" ht="15" x14ac:dyDescent="0.25">
      <c r="B8332"/>
      <c r="M8332"/>
    </row>
    <row r="8333" spans="2:13" ht="15" x14ac:dyDescent="0.25">
      <c r="B8333"/>
      <c r="M8333"/>
    </row>
    <row r="8334" spans="2:13" ht="15" x14ac:dyDescent="0.25">
      <c r="B8334"/>
      <c r="M8334"/>
    </row>
    <row r="8335" spans="2:13" ht="15" x14ac:dyDescent="0.25">
      <c r="B8335"/>
      <c r="M8335"/>
    </row>
    <row r="8336" spans="2:13" ht="15" x14ac:dyDescent="0.25">
      <c r="B8336"/>
      <c r="M8336"/>
    </row>
    <row r="8337" spans="2:13" ht="15" x14ac:dyDescent="0.25">
      <c r="B8337"/>
      <c r="M8337"/>
    </row>
    <row r="8338" spans="2:13" ht="15" x14ac:dyDescent="0.25">
      <c r="B8338"/>
      <c r="M8338"/>
    </row>
    <row r="8339" spans="2:13" ht="15" x14ac:dyDescent="0.25">
      <c r="B8339"/>
      <c r="M8339"/>
    </row>
    <row r="8340" spans="2:13" ht="15" x14ac:dyDescent="0.25">
      <c r="B8340"/>
      <c r="M8340"/>
    </row>
    <row r="8341" spans="2:13" ht="15" x14ac:dyDescent="0.25">
      <c r="B8341"/>
      <c r="M8341"/>
    </row>
    <row r="8342" spans="2:13" ht="15" x14ac:dyDescent="0.25">
      <c r="B8342"/>
      <c r="M8342"/>
    </row>
    <row r="8343" spans="2:13" ht="15" x14ac:dyDescent="0.25">
      <c r="B8343"/>
      <c r="M8343"/>
    </row>
    <row r="8344" spans="2:13" ht="15" x14ac:dyDescent="0.25">
      <c r="B8344"/>
      <c r="M8344"/>
    </row>
    <row r="8345" spans="2:13" ht="15" x14ac:dyDescent="0.25">
      <c r="B8345"/>
      <c r="M8345"/>
    </row>
    <row r="8346" spans="2:13" ht="15" x14ac:dyDescent="0.25">
      <c r="B8346"/>
      <c r="M8346"/>
    </row>
    <row r="8347" spans="2:13" ht="15" x14ac:dyDescent="0.25">
      <c r="B8347"/>
      <c r="M8347"/>
    </row>
    <row r="8348" spans="2:13" ht="15" x14ac:dyDescent="0.25">
      <c r="B8348"/>
      <c r="M8348"/>
    </row>
    <row r="8349" spans="2:13" ht="15" x14ac:dyDescent="0.25">
      <c r="B8349"/>
      <c r="M8349"/>
    </row>
    <row r="8350" spans="2:13" ht="15" x14ac:dyDescent="0.25">
      <c r="B8350"/>
      <c r="M8350"/>
    </row>
    <row r="8351" spans="2:13" ht="15" x14ac:dyDescent="0.25">
      <c r="B8351"/>
      <c r="M8351"/>
    </row>
    <row r="8352" spans="2:13" ht="15" x14ac:dyDescent="0.25">
      <c r="B8352"/>
      <c r="M8352"/>
    </row>
    <row r="8353" spans="2:13" ht="15" x14ac:dyDescent="0.25">
      <c r="B8353"/>
      <c r="M8353"/>
    </row>
    <row r="8354" spans="2:13" ht="15" x14ac:dyDescent="0.25">
      <c r="B8354"/>
      <c r="M8354"/>
    </row>
    <row r="8355" spans="2:13" ht="15" x14ac:dyDescent="0.25">
      <c r="B8355"/>
      <c r="M8355"/>
    </row>
    <row r="8356" spans="2:13" ht="15" x14ac:dyDescent="0.25">
      <c r="B8356"/>
      <c r="M8356"/>
    </row>
    <row r="8357" spans="2:13" ht="15" x14ac:dyDescent="0.25">
      <c r="B8357"/>
      <c r="M8357"/>
    </row>
    <row r="8358" spans="2:13" ht="15" x14ac:dyDescent="0.25">
      <c r="B8358"/>
      <c r="M8358"/>
    </row>
    <row r="8359" spans="2:13" ht="15" x14ac:dyDescent="0.25">
      <c r="B8359"/>
      <c r="M8359"/>
    </row>
    <row r="8360" spans="2:13" ht="15" x14ac:dyDescent="0.25">
      <c r="B8360"/>
      <c r="M8360"/>
    </row>
    <row r="8361" spans="2:13" ht="15" x14ac:dyDescent="0.25">
      <c r="B8361"/>
      <c r="M8361"/>
    </row>
    <row r="8362" spans="2:13" ht="15" x14ac:dyDescent="0.25">
      <c r="B8362"/>
      <c r="M8362"/>
    </row>
    <row r="8363" spans="2:13" ht="15" x14ac:dyDescent="0.25">
      <c r="B8363"/>
      <c r="M8363"/>
    </row>
    <row r="8364" spans="2:13" ht="15" x14ac:dyDescent="0.25">
      <c r="B8364"/>
      <c r="M8364"/>
    </row>
    <row r="8365" spans="2:13" ht="15" x14ac:dyDescent="0.25">
      <c r="B8365"/>
      <c r="M8365"/>
    </row>
    <row r="8366" spans="2:13" ht="15" x14ac:dyDescent="0.25">
      <c r="B8366"/>
      <c r="M8366"/>
    </row>
    <row r="8367" spans="2:13" ht="15" x14ac:dyDescent="0.25">
      <c r="B8367"/>
      <c r="M8367"/>
    </row>
    <row r="8368" spans="2:13" ht="15" x14ac:dyDescent="0.25">
      <c r="B8368"/>
      <c r="M8368"/>
    </row>
    <row r="8369" spans="2:13" ht="15" x14ac:dyDescent="0.25">
      <c r="B8369"/>
      <c r="M8369"/>
    </row>
    <row r="8370" spans="2:13" ht="15" x14ac:dyDescent="0.25">
      <c r="B8370"/>
      <c r="M8370"/>
    </row>
    <row r="8371" spans="2:13" ht="15" x14ac:dyDescent="0.25">
      <c r="B8371"/>
      <c r="M8371"/>
    </row>
    <row r="8372" spans="2:13" ht="15" x14ac:dyDescent="0.25">
      <c r="B8372"/>
      <c r="M8372"/>
    </row>
    <row r="8373" spans="2:13" ht="15" x14ac:dyDescent="0.25">
      <c r="B8373"/>
      <c r="M8373"/>
    </row>
    <row r="8374" spans="2:13" ht="15" x14ac:dyDescent="0.25">
      <c r="B8374"/>
      <c r="M8374"/>
    </row>
    <row r="8375" spans="2:13" ht="15" x14ac:dyDescent="0.25">
      <c r="B8375"/>
      <c r="M8375"/>
    </row>
    <row r="8376" spans="2:13" ht="15" x14ac:dyDescent="0.25">
      <c r="B8376"/>
      <c r="M8376"/>
    </row>
    <row r="8377" spans="2:13" ht="15" x14ac:dyDescent="0.25">
      <c r="B8377"/>
      <c r="M8377"/>
    </row>
    <row r="8378" spans="2:13" ht="15" x14ac:dyDescent="0.25">
      <c r="B8378"/>
      <c r="M8378"/>
    </row>
    <row r="8379" spans="2:13" ht="15" x14ac:dyDescent="0.25">
      <c r="B8379"/>
      <c r="M8379"/>
    </row>
    <row r="8380" spans="2:13" ht="15" x14ac:dyDescent="0.25">
      <c r="B8380"/>
      <c r="M8380"/>
    </row>
    <row r="8381" spans="2:13" ht="15" x14ac:dyDescent="0.25">
      <c r="B8381"/>
      <c r="M8381"/>
    </row>
    <row r="8382" spans="2:13" ht="15" x14ac:dyDescent="0.25">
      <c r="B8382"/>
      <c r="M8382"/>
    </row>
    <row r="8383" spans="2:13" ht="15" x14ac:dyDescent="0.25">
      <c r="B8383"/>
      <c r="M8383"/>
    </row>
    <row r="8384" spans="2:13" ht="15" x14ac:dyDescent="0.25">
      <c r="B8384"/>
      <c r="M8384"/>
    </row>
    <row r="8385" spans="2:13" ht="15" x14ac:dyDescent="0.25">
      <c r="B8385"/>
      <c r="M8385"/>
    </row>
    <row r="8386" spans="2:13" ht="15" x14ac:dyDescent="0.25">
      <c r="B8386"/>
      <c r="M8386"/>
    </row>
    <row r="8387" spans="2:13" ht="15" x14ac:dyDescent="0.25">
      <c r="B8387"/>
      <c r="M8387"/>
    </row>
    <row r="8388" spans="2:13" ht="15" x14ac:dyDescent="0.25">
      <c r="B8388"/>
      <c r="M8388"/>
    </row>
    <row r="8389" spans="2:13" ht="15" x14ac:dyDescent="0.25">
      <c r="B8389"/>
      <c r="M8389"/>
    </row>
    <row r="8390" spans="2:13" ht="15" x14ac:dyDescent="0.25">
      <c r="B8390"/>
      <c r="M8390"/>
    </row>
    <row r="8391" spans="2:13" ht="15" x14ac:dyDescent="0.25">
      <c r="B8391"/>
      <c r="M8391"/>
    </row>
    <row r="8392" spans="2:13" ht="15" x14ac:dyDescent="0.25">
      <c r="B8392"/>
      <c r="M8392"/>
    </row>
    <row r="8393" spans="2:13" ht="15" x14ac:dyDescent="0.25">
      <c r="B8393"/>
      <c r="M8393"/>
    </row>
    <row r="8394" spans="2:13" ht="15" x14ac:dyDescent="0.25">
      <c r="B8394"/>
      <c r="M8394"/>
    </row>
    <row r="8395" spans="2:13" ht="15" x14ac:dyDescent="0.25">
      <c r="B8395"/>
      <c r="M8395"/>
    </row>
    <row r="8396" spans="2:13" ht="15" x14ac:dyDescent="0.25">
      <c r="B8396"/>
      <c r="M8396"/>
    </row>
    <row r="8397" spans="2:13" ht="15" x14ac:dyDescent="0.25">
      <c r="B8397"/>
      <c r="M8397"/>
    </row>
    <row r="8398" spans="2:13" ht="15" x14ac:dyDescent="0.25">
      <c r="B8398"/>
      <c r="M8398"/>
    </row>
    <row r="8399" spans="2:13" ht="15" x14ac:dyDescent="0.25">
      <c r="B8399"/>
      <c r="M8399"/>
    </row>
    <row r="8400" spans="2:13" ht="15" x14ac:dyDescent="0.25">
      <c r="B8400"/>
      <c r="M8400"/>
    </row>
    <row r="8401" spans="2:13" ht="15" x14ac:dyDescent="0.25">
      <c r="B8401"/>
      <c r="M8401"/>
    </row>
    <row r="8402" spans="2:13" ht="15" x14ac:dyDescent="0.25">
      <c r="B8402"/>
      <c r="M8402"/>
    </row>
    <row r="8403" spans="2:13" ht="15" x14ac:dyDescent="0.25">
      <c r="B8403"/>
      <c r="M8403"/>
    </row>
    <row r="8404" spans="2:13" ht="15" x14ac:dyDescent="0.25">
      <c r="B8404"/>
      <c r="M8404"/>
    </row>
    <row r="8405" spans="2:13" ht="15" x14ac:dyDescent="0.25">
      <c r="B8405"/>
      <c r="M8405"/>
    </row>
    <row r="8406" spans="2:13" ht="15" x14ac:dyDescent="0.25">
      <c r="B8406"/>
      <c r="M8406"/>
    </row>
    <row r="8407" spans="2:13" ht="15" x14ac:dyDescent="0.25">
      <c r="B8407"/>
      <c r="M8407"/>
    </row>
    <row r="8408" spans="2:13" ht="15" x14ac:dyDescent="0.25">
      <c r="B8408"/>
      <c r="M8408"/>
    </row>
    <row r="8409" spans="2:13" ht="15" x14ac:dyDescent="0.25">
      <c r="B8409"/>
      <c r="M8409"/>
    </row>
    <row r="8410" spans="2:13" ht="15" x14ac:dyDescent="0.25">
      <c r="B8410"/>
      <c r="M8410"/>
    </row>
    <row r="8411" spans="2:13" ht="15" x14ac:dyDescent="0.25">
      <c r="B8411"/>
      <c r="M8411"/>
    </row>
    <row r="8412" spans="2:13" ht="15" x14ac:dyDescent="0.25">
      <c r="B8412"/>
      <c r="M8412"/>
    </row>
    <row r="8413" spans="2:13" ht="15" x14ac:dyDescent="0.25">
      <c r="B8413"/>
      <c r="M8413"/>
    </row>
    <row r="8414" spans="2:13" ht="15" x14ac:dyDescent="0.25">
      <c r="B8414"/>
      <c r="M8414"/>
    </row>
    <row r="8415" spans="2:13" ht="15" x14ac:dyDescent="0.25">
      <c r="B8415"/>
      <c r="M8415"/>
    </row>
    <row r="8416" spans="2:13" ht="15" x14ac:dyDescent="0.25">
      <c r="B8416"/>
      <c r="M8416"/>
    </row>
    <row r="8417" spans="2:13" ht="15" x14ac:dyDescent="0.25">
      <c r="B8417"/>
      <c r="M8417"/>
    </row>
    <row r="8418" spans="2:13" ht="15" x14ac:dyDescent="0.25">
      <c r="B8418"/>
      <c r="M8418"/>
    </row>
    <row r="8419" spans="2:13" ht="15" x14ac:dyDescent="0.25">
      <c r="B8419"/>
      <c r="M8419"/>
    </row>
    <row r="8420" spans="2:13" ht="15" x14ac:dyDescent="0.25">
      <c r="B8420"/>
      <c r="M8420"/>
    </row>
    <row r="8421" spans="2:13" ht="15" x14ac:dyDescent="0.25">
      <c r="B8421"/>
      <c r="M8421"/>
    </row>
    <row r="8422" spans="2:13" ht="15" x14ac:dyDescent="0.25">
      <c r="B8422"/>
      <c r="M8422"/>
    </row>
    <row r="8423" spans="2:13" ht="15" x14ac:dyDescent="0.25">
      <c r="B8423"/>
      <c r="M8423"/>
    </row>
    <row r="8424" spans="2:13" ht="15" x14ac:dyDescent="0.25">
      <c r="B8424"/>
      <c r="M8424"/>
    </row>
    <row r="8425" spans="2:13" ht="15" x14ac:dyDescent="0.25">
      <c r="B8425"/>
      <c r="M8425"/>
    </row>
    <row r="8426" spans="2:13" ht="15" x14ac:dyDescent="0.25">
      <c r="B8426"/>
      <c r="M8426"/>
    </row>
    <row r="8427" spans="2:13" ht="15" x14ac:dyDescent="0.25">
      <c r="B8427"/>
      <c r="M8427"/>
    </row>
    <row r="8428" spans="2:13" ht="15" x14ac:dyDescent="0.25">
      <c r="B8428"/>
      <c r="M8428"/>
    </row>
    <row r="8429" spans="2:13" ht="15" x14ac:dyDescent="0.25">
      <c r="B8429"/>
      <c r="M8429"/>
    </row>
    <row r="8430" spans="2:13" ht="15" x14ac:dyDescent="0.25">
      <c r="B8430"/>
      <c r="M8430"/>
    </row>
    <row r="8431" spans="2:13" ht="15" x14ac:dyDescent="0.25">
      <c r="B8431"/>
      <c r="M8431"/>
    </row>
    <row r="8432" spans="2:13" ht="15" x14ac:dyDescent="0.25">
      <c r="B8432"/>
      <c r="M8432"/>
    </row>
    <row r="8433" spans="2:13" ht="15" x14ac:dyDescent="0.25">
      <c r="B8433"/>
      <c r="M8433"/>
    </row>
    <row r="8434" spans="2:13" ht="15" x14ac:dyDescent="0.25">
      <c r="B8434"/>
      <c r="M8434"/>
    </row>
    <row r="8435" spans="2:13" ht="15" x14ac:dyDescent="0.25">
      <c r="B8435"/>
      <c r="M8435"/>
    </row>
    <row r="8436" spans="2:13" ht="15" x14ac:dyDescent="0.25">
      <c r="B8436"/>
      <c r="M8436"/>
    </row>
    <row r="8437" spans="2:13" ht="15" x14ac:dyDescent="0.25">
      <c r="B8437"/>
      <c r="M8437"/>
    </row>
    <row r="8438" spans="2:13" ht="15" x14ac:dyDescent="0.25">
      <c r="B8438"/>
      <c r="M8438"/>
    </row>
    <row r="8439" spans="2:13" ht="15" x14ac:dyDescent="0.25">
      <c r="B8439"/>
      <c r="M8439"/>
    </row>
    <row r="8440" spans="2:13" ht="15" x14ac:dyDescent="0.25">
      <c r="B8440"/>
      <c r="M8440"/>
    </row>
    <row r="8441" spans="2:13" ht="15" x14ac:dyDescent="0.25">
      <c r="B8441"/>
      <c r="M8441"/>
    </row>
    <row r="8442" spans="2:13" ht="15" x14ac:dyDescent="0.25">
      <c r="B8442"/>
      <c r="M8442"/>
    </row>
    <row r="8443" spans="2:13" ht="15" x14ac:dyDescent="0.25">
      <c r="B8443"/>
      <c r="M8443"/>
    </row>
    <row r="8444" spans="2:13" ht="15" x14ac:dyDescent="0.25">
      <c r="B8444"/>
      <c r="M8444"/>
    </row>
    <row r="8445" spans="2:13" ht="15" x14ac:dyDescent="0.25">
      <c r="B8445"/>
      <c r="M8445"/>
    </row>
    <row r="8446" spans="2:13" ht="15" x14ac:dyDescent="0.25">
      <c r="B8446"/>
      <c r="M8446"/>
    </row>
    <row r="8447" spans="2:13" ht="15" x14ac:dyDescent="0.25">
      <c r="B8447"/>
      <c r="M8447"/>
    </row>
    <row r="8448" spans="2:13" ht="15" x14ac:dyDescent="0.25">
      <c r="B8448"/>
      <c r="M8448"/>
    </row>
    <row r="8449" spans="2:13" ht="15" x14ac:dyDescent="0.25">
      <c r="B8449"/>
      <c r="M8449"/>
    </row>
    <row r="8450" spans="2:13" ht="15" x14ac:dyDescent="0.25">
      <c r="B8450"/>
      <c r="M8450"/>
    </row>
    <row r="8451" spans="2:13" ht="15" x14ac:dyDescent="0.25">
      <c r="B8451"/>
      <c r="M8451"/>
    </row>
    <row r="8452" spans="2:13" ht="15" x14ac:dyDescent="0.25">
      <c r="B8452"/>
      <c r="M8452"/>
    </row>
    <row r="8453" spans="2:13" ht="15" x14ac:dyDescent="0.25">
      <c r="B8453"/>
      <c r="M8453"/>
    </row>
    <row r="8454" spans="2:13" ht="15" x14ac:dyDescent="0.25">
      <c r="B8454"/>
      <c r="M8454"/>
    </row>
    <row r="8455" spans="2:13" ht="15" x14ac:dyDescent="0.25">
      <c r="B8455"/>
      <c r="M8455"/>
    </row>
    <row r="8456" spans="2:13" ht="15" x14ac:dyDescent="0.25">
      <c r="B8456"/>
      <c r="M8456"/>
    </row>
    <row r="8457" spans="2:13" ht="15" x14ac:dyDescent="0.25">
      <c r="B8457"/>
      <c r="M8457"/>
    </row>
    <row r="8458" spans="2:13" ht="15" x14ac:dyDescent="0.25">
      <c r="B8458"/>
      <c r="M8458"/>
    </row>
    <row r="8459" spans="2:13" ht="15" x14ac:dyDescent="0.25">
      <c r="B8459"/>
      <c r="M8459"/>
    </row>
    <row r="8460" spans="2:13" ht="15" x14ac:dyDescent="0.25">
      <c r="B8460"/>
      <c r="M8460"/>
    </row>
    <row r="8461" spans="2:13" ht="15" x14ac:dyDescent="0.25">
      <c r="B8461"/>
      <c r="M8461"/>
    </row>
    <row r="8462" spans="2:13" ht="15" x14ac:dyDescent="0.25">
      <c r="B8462"/>
      <c r="M8462"/>
    </row>
    <row r="8463" spans="2:13" ht="15" x14ac:dyDescent="0.25">
      <c r="B8463"/>
      <c r="M8463"/>
    </row>
    <row r="8464" spans="2:13" ht="15" x14ac:dyDescent="0.25">
      <c r="B8464"/>
      <c r="M8464"/>
    </row>
    <row r="8465" spans="2:13" ht="15" x14ac:dyDescent="0.25">
      <c r="B8465"/>
      <c r="M8465"/>
    </row>
    <row r="8466" spans="2:13" ht="15" x14ac:dyDescent="0.25">
      <c r="B8466"/>
      <c r="M8466"/>
    </row>
    <row r="8467" spans="2:13" ht="15" x14ac:dyDescent="0.25">
      <c r="B8467"/>
      <c r="M8467"/>
    </row>
    <row r="8468" spans="2:13" ht="15" x14ac:dyDescent="0.25">
      <c r="B8468"/>
      <c r="M8468"/>
    </row>
    <row r="8469" spans="2:13" ht="15" x14ac:dyDescent="0.25">
      <c r="B8469"/>
      <c r="M8469"/>
    </row>
    <row r="8470" spans="2:13" ht="15" x14ac:dyDescent="0.25">
      <c r="B8470"/>
      <c r="M8470"/>
    </row>
    <row r="8471" spans="2:13" ht="15" x14ac:dyDescent="0.25">
      <c r="B8471"/>
      <c r="M8471"/>
    </row>
    <row r="8472" spans="2:13" ht="15" x14ac:dyDescent="0.25">
      <c r="B8472"/>
      <c r="M8472"/>
    </row>
    <row r="8473" spans="2:13" ht="15" x14ac:dyDescent="0.25">
      <c r="B8473"/>
      <c r="M8473"/>
    </row>
    <row r="8474" spans="2:13" ht="15" x14ac:dyDescent="0.25">
      <c r="B8474"/>
      <c r="M8474"/>
    </row>
    <row r="8475" spans="2:13" ht="15" x14ac:dyDescent="0.25">
      <c r="B8475"/>
      <c r="M8475"/>
    </row>
    <row r="8476" spans="2:13" ht="15" x14ac:dyDescent="0.25">
      <c r="B8476"/>
      <c r="M8476"/>
    </row>
    <row r="8477" spans="2:13" ht="15" x14ac:dyDescent="0.25">
      <c r="B8477"/>
      <c r="M8477"/>
    </row>
    <row r="8478" spans="2:13" ht="15" x14ac:dyDescent="0.25">
      <c r="B8478"/>
      <c r="M8478"/>
    </row>
    <row r="8479" spans="2:13" ht="15" x14ac:dyDescent="0.25">
      <c r="B8479"/>
      <c r="M8479"/>
    </row>
    <row r="8480" spans="2:13" ht="15" x14ac:dyDescent="0.25">
      <c r="B8480"/>
      <c r="M8480"/>
    </row>
    <row r="8481" spans="2:13" ht="15" x14ac:dyDescent="0.25">
      <c r="B8481"/>
      <c r="M8481"/>
    </row>
    <row r="8482" spans="2:13" ht="15" x14ac:dyDescent="0.25">
      <c r="B8482"/>
      <c r="M8482"/>
    </row>
    <row r="8483" spans="2:13" ht="15" x14ac:dyDescent="0.25">
      <c r="B8483"/>
      <c r="M8483"/>
    </row>
    <row r="8484" spans="2:13" ht="15" x14ac:dyDescent="0.25">
      <c r="B8484"/>
      <c r="M8484"/>
    </row>
    <row r="8485" spans="2:13" ht="15" x14ac:dyDescent="0.25">
      <c r="B8485"/>
      <c r="M8485"/>
    </row>
    <row r="8486" spans="2:13" ht="15" x14ac:dyDescent="0.25">
      <c r="B8486"/>
      <c r="M8486"/>
    </row>
    <row r="8487" spans="2:13" ht="15" x14ac:dyDescent="0.25">
      <c r="B8487"/>
      <c r="M8487"/>
    </row>
    <row r="8488" spans="2:13" ht="15" x14ac:dyDescent="0.25">
      <c r="B8488"/>
      <c r="M8488"/>
    </row>
    <row r="8489" spans="2:13" ht="15" x14ac:dyDescent="0.25">
      <c r="B8489"/>
      <c r="M8489"/>
    </row>
    <row r="8490" spans="2:13" ht="15" x14ac:dyDescent="0.25">
      <c r="B8490"/>
      <c r="M8490"/>
    </row>
    <row r="8491" spans="2:13" ht="15" x14ac:dyDescent="0.25">
      <c r="B8491"/>
      <c r="M8491"/>
    </row>
    <row r="8492" spans="2:13" ht="15" x14ac:dyDescent="0.25">
      <c r="B8492"/>
      <c r="M8492"/>
    </row>
    <row r="8493" spans="2:13" ht="15" x14ac:dyDescent="0.25">
      <c r="B8493"/>
      <c r="M8493"/>
    </row>
    <row r="8494" spans="2:13" ht="15" x14ac:dyDescent="0.25">
      <c r="B8494"/>
      <c r="M8494"/>
    </row>
    <row r="8495" spans="2:13" ht="15" x14ac:dyDescent="0.25">
      <c r="B8495"/>
      <c r="M8495"/>
    </row>
    <row r="8496" spans="2:13" ht="15" x14ac:dyDescent="0.25">
      <c r="B8496"/>
      <c r="M8496"/>
    </row>
    <row r="8497" spans="2:13" ht="15" x14ac:dyDescent="0.25">
      <c r="B8497"/>
      <c r="M8497"/>
    </row>
    <row r="8498" spans="2:13" ht="15" x14ac:dyDescent="0.25">
      <c r="B8498"/>
      <c r="M8498"/>
    </row>
    <row r="8499" spans="2:13" ht="15" x14ac:dyDescent="0.25">
      <c r="B8499"/>
      <c r="M8499"/>
    </row>
    <row r="8500" spans="2:13" ht="15" x14ac:dyDescent="0.25">
      <c r="B8500"/>
      <c r="M8500"/>
    </row>
    <row r="8501" spans="2:13" ht="15" x14ac:dyDescent="0.25">
      <c r="B8501"/>
      <c r="M8501"/>
    </row>
    <row r="8502" spans="2:13" ht="15" x14ac:dyDescent="0.25">
      <c r="B8502"/>
      <c r="M8502"/>
    </row>
    <row r="8503" spans="2:13" ht="15" x14ac:dyDescent="0.25">
      <c r="B8503"/>
      <c r="M8503"/>
    </row>
    <row r="8504" spans="2:13" ht="15" x14ac:dyDescent="0.25">
      <c r="B8504"/>
      <c r="M8504"/>
    </row>
    <row r="8505" spans="2:13" ht="15" x14ac:dyDescent="0.25">
      <c r="B8505"/>
      <c r="M8505"/>
    </row>
    <row r="8506" spans="2:13" ht="15" x14ac:dyDescent="0.25">
      <c r="B8506"/>
      <c r="M8506"/>
    </row>
    <row r="8507" spans="2:13" ht="15" x14ac:dyDescent="0.25">
      <c r="B8507"/>
      <c r="M8507"/>
    </row>
    <row r="8508" spans="2:13" ht="15" x14ac:dyDescent="0.25">
      <c r="B8508"/>
      <c r="M8508"/>
    </row>
    <row r="8509" spans="2:13" ht="15" x14ac:dyDescent="0.25">
      <c r="B8509"/>
      <c r="M8509"/>
    </row>
    <row r="8510" spans="2:13" ht="15" x14ac:dyDescent="0.25">
      <c r="B8510"/>
      <c r="M8510"/>
    </row>
    <row r="8511" spans="2:13" ht="15" x14ac:dyDescent="0.25">
      <c r="B8511"/>
      <c r="M8511"/>
    </row>
    <row r="8512" spans="2:13" ht="15" x14ac:dyDescent="0.25">
      <c r="B8512"/>
      <c r="M8512"/>
    </row>
    <row r="8513" spans="2:13" ht="15" x14ac:dyDescent="0.25">
      <c r="B8513"/>
      <c r="M8513"/>
    </row>
    <row r="8514" spans="2:13" ht="15" x14ac:dyDescent="0.25">
      <c r="B8514"/>
      <c r="M8514"/>
    </row>
    <row r="8515" spans="2:13" ht="15" x14ac:dyDescent="0.25">
      <c r="B8515"/>
      <c r="M8515"/>
    </row>
    <row r="8516" spans="2:13" ht="15" x14ac:dyDescent="0.25">
      <c r="B8516"/>
      <c r="M8516"/>
    </row>
    <row r="8517" spans="2:13" ht="15" x14ac:dyDescent="0.25">
      <c r="B8517"/>
      <c r="M8517"/>
    </row>
    <row r="8518" spans="2:13" ht="15" x14ac:dyDescent="0.25">
      <c r="B8518"/>
      <c r="M8518"/>
    </row>
    <row r="8519" spans="2:13" ht="15" x14ac:dyDescent="0.25">
      <c r="B8519"/>
      <c r="M8519"/>
    </row>
    <row r="8520" spans="2:13" ht="15" x14ac:dyDescent="0.25">
      <c r="B8520"/>
      <c r="M8520"/>
    </row>
    <row r="8521" spans="2:13" ht="15" x14ac:dyDescent="0.25">
      <c r="B8521"/>
      <c r="M8521"/>
    </row>
    <row r="8522" spans="2:13" ht="15" x14ac:dyDescent="0.25">
      <c r="B8522"/>
      <c r="M8522"/>
    </row>
    <row r="8523" spans="2:13" ht="15" x14ac:dyDescent="0.25">
      <c r="B8523"/>
      <c r="M8523"/>
    </row>
    <row r="8524" spans="2:13" ht="15" x14ac:dyDescent="0.25">
      <c r="B8524"/>
      <c r="M8524"/>
    </row>
    <row r="8525" spans="2:13" ht="15" x14ac:dyDescent="0.25">
      <c r="B8525"/>
      <c r="M8525"/>
    </row>
    <row r="8526" spans="2:13" ht="15" x14ac:dyDescent="0.25">
      <c r="B8526"/>
      <c r="M8526"/>
    </row>
    <row r="8527" spans="2:13" ht="15" x14ac:dyDescent="0.25">
      <c r="B8527"/>
      <c r="M8527"/>
    </row>
    <row r="8528" spans="2:13" ht="15" x14ac:dyDescent="0.25">
      <c r="B8528"/>
      <c r="M8528"/>
    </row>
    <row r="8529" spans="2:13" ht="15" x14ac:dyDescent="0.25">
      <c r="B8529"/>
      <c r="M8529"/>
    </row>
    <row r="8530" spans="2:13" ht="15" x14ac:dyDescent="0.25">
      <c r="B8530"/>
      <c r="M8530"/>
    </row>
    <row r="8531" spans="2:13" ht="15" x14ac:dyDescent="0.25">
      <c r="B8531"/>
      <c r="M8531"/>
    </row>
    <row r="8532" spans="2:13" ht="15" x14ac:dyDescent="0.25">
      <c r="B8532"/>
      <c r="M8532"/>
    </row>
    <row r="8533" spans="2:13" ht="15" x14ac:dyDescent="0.25">
      <c r="B8533"/>
      <c r="M8533"/>
    </row>
    <row r="8534" spans="2:13" ht="15" x14ac:dyDescent="0.25">
      <c r="B8534"/>
      <c r="M8534"/>
    </row>
    <row r="8535" spans="2:13" ht="15" x14ac:dyDescent="0.25">
      <c r="B8535"/>
      <c r="M8535"/>
    </row>
    <row r="8536" spans="2:13" ht="15" x14ac:dyDescent="0.25">
      <c r="B8536"/>
      <c r="M8536"/>
    </row>
    <row r="8537" spans="2:13" ht="15" x14ac:dyDescent="0.25">
      <c r="B8537"/>
      <c r="M8537"/>
    </row>
    <row r="8538" spans="2:13" ht="15" x14ac:dyDescent="0.25">
      <c r="B8538"/>
      <c r="M8538"/>
    </row>
    <row r="8539" spans="2:13" ht="15" x14ac:dyDescent="0.25">
      <c r="B8539"/>
      <c r="M8539"/>
    </row>
    <row r="8540" spans="2:13" ht="15" x14ac:dyDescent="0.25">
      <c r="B8540"/>
      <c r="M8540"/>
    </row>
    <row r="8541" spans="2:13" ht="15" x14ac:dyDescent="0.25">
      <c r="B8541"/>
      <c r="M8541"/>
    </row>
    <row r="8542" spans="2:13" ht="15" x14ac:dyDescent="0.25">
      <c r="B8542"/>
      <c r="M8542"/>
    </row>
    <row r="8543" spans="2:13" ht="15" x14ac:dyDescent="0.25">
      <c r="B8543"/>
      <c r="M8543"/>
    </row>
    <row r="8544" spans="2:13" ht="15" x14ac:dyDescent="0.25">
      <c r="B8544"/>
      <c r="M8544"/>
    </row>
    <row r="8545" spans="2:13" ht="15" x14ac:dyDescent="0.25">
      <c r="B8545"/>
      <c r="M8545"/>
    </row>
    <row r="8546" spans="2:13" ht="15" x14ac:dyDescent="0.25">
      <c r="B8546"/>
      <c r="M8546"/>
    </row>
    <row r="8547" spans="2:13" ht="15" x14ac:dyDescent="0.25">
      <c r="B8547"/>
      <c r="M8547"/>
    </row>
    <row r="8548" spans="2:13" ht="15" x14ac:dyDescent="0.25">
      <c r="B8548"/>
      <c r="M8548"/>
    </row>
    <row r="8549" spans="2:13" ht="15" x14ac:dyDescent="0.25">
      <c r="B8549"/>
      <c r="M8549"/>
    </row>
    <row r="8550" spans="2:13" ht="15" x14ac:dyDescent="0.25">
      <c r="B8550"/>
      <c r="M8550"/>
    </row>
    <row r="8551" spans="2:13" ht="15" x14ac:dyDescent="0.25">
      <c r="B8551"/>
      <c r="M8551"/>
    </row>
    <row r="8552" spans="2:13" ht="15" x14ac:dyDescent="0.25">
      <c r="B8552"/>
      <c r="M8552"/>
    </row>
    <row r="8553" spans="2:13" ht="15" x14ac:dyDescent="0.25">
      <c r="B8553"/>
      <c r="M8553"/>
    </row>
    <row r="8554" spans="2:13" ht="15" x14ac:dyDescent="0.25">
      <c r="B8554"/>
      <c r="M8554"/>
    </row>
    <row r="8555" spans="2:13" ht="15" x14ac:dyDescent="0.25">
      <c r="B8555"/>
      <c r="M8555"/>
    </row>
    <row r="8556" spans="2:13" ht="15" x14ac:dyDescent="0.25">
      <c r="B8556"/>
      <c r="M8556"/>
    </row>
    <row r="8557" spans="2:13" ht="15" x14ac:dyDescent="0.25">
      <c r="B8557"/>
      <c r="M8557"/>
    </row>
    <row r="8558" spans="2:13" ht="15" x14ac:dyDescent="0.25">
      <c r="B8558"/>
      <c r="M8558"/>
    </row>
    <row r="8559" spans="2:13" ht="15" x14ac:dyDescent="0.25">
      <c r="B8559"/>
      <c r="M8559"/>
    </row>
    <row r="8560" spans="2:13" ht="15" x14ac:dyDescent="0.25">
      <c r="B8560"/>
      <c r="M8560"/>
    </row>
    <row r="8561" spans="2:13" ht="15" x14ac:dyDescent="0.25">
      <c r="B8561"/>
      <c r="M8561"/>
    </row>
    <row r="8562" spans="2:13" ht="15" x14ac:dyDescent="0.25">
      <c r="B8562"/>
      <c r="M8562"/>
    </row>
    <row r="8563" spans="2:13" ht="15" x14ac:dyDescent="0.25">
      <c r="B8563"/>
      <c r="M8563"/>
    </row>
    <row r="8564" spans="2:13" ht="15" x14ac:dyDescent="0.25">
      <c r="B8564"/>
      <c r="M8564"/>
    </row>
    <row r="8565" spans="2:13" ht="15" x14ac:dyDescent="0.25">
      <c r="B8565"/>
      <c r="M8565"/>
    </row>
    <row r="8566" spans="2:13" ht="15" x14ac:dyDescent="0.25">
      <c r="B8566"/>
      <c r="M8566"/>
    </row>
    <row r="8567" spans="2:13" ht="15" x14ac:dyDescent="0.25">
      <c r="B8567"/>
      <c r="M8567"/>
    </row>
    <row r="8568" spans="2:13" ht="15" x14ac:dyDescent="0.25">
      <c r="B8568"/>
      <c r="M8568"/>
    </row>
    <row r="8569" spans="2:13" ht="15" x14ac:dyDescent="0.25">
      <c r="B8569"/>
      <c r="M8569"/>
    </row>
    <row r="8570" spans="2:13" ht="15" x14ac:dyDescent="0.25">
      <c r="B8570"/>
      <c r="M8570"/>
    </row>
    <row r="8571" spans="2:13" ht="15" x14ac:dyDescent="0.25">
      <c r="B8571"/>
      <c r="M8571"/>
    </row>
    <row r="8572" spans="2:13" ht="15" x14ac:dyDescent="0.25">
      <c r="B8572"/>
      <c r="M8572"/>
    </row>
    <row r="8573" spans="2:13" ht="15" x14ac:dyDescent="0.25">
      <c r="B8573"/>
      <c r="M8573"/>
    </row>
    <row r="8574" spans="2:13" ht="15" x14ac:dyDescent="0.25">
      <c r="B8574"/>
      <c r="M8574"/>
    </row>
    <row r="8575" spans="2:13" ht="15" x14ac:dyDescent="0.25">
      <c r="B8575"/>
      <c r="M8575"/>
    </row>
    <row r="8576" spans="2:13" ht="15" x14ac:dyDescent="0.25">
      <c r="B8576"/>
      <c r="M8576"/>
    </row>
    <row r="8577" spans="2:13" ht="15" x14ac:dyDescent="0.25">
      <c r="B8577"/>
      <c r="M8577"/>
    </row>
    <row r="8578" spans="2:13" ht="15" x14ac:dyDescent="0.25">
      <c r="B8578"/>
      <c r="M8578"/>
    </row>
    <row r="8579" spans="2:13" ht="15" x14ac:dyDescent="0.25">
      <c r="B8579"/>
      <c r="M8579"/>
    </row>
    <row r="8580" spans="2:13" ht="15" x14ac:dyDescent="0.25">
      <c r="B8580"/>
      <c r="M8580"/>
    </row>
    <row r="8581" spans="2:13" ht="15" x14ac:dyDescent="0.25">
      <c r="B8581"/>
      <c r="M8581"/>
    </row>
    <row r="8582" spans="2:13" ht="15" x14ac:dyDescent="0.25">
      <c r="B8582"/>
      <c r="M8582"/>
    </row>
    <row r="8583" spans="2:13" ht="15" x14ac:dyDescent="0.25">
      <c r="B8583"/>
      <c r="M8583"/>
    </row>
    <row r="8584" spans="2:13" ht="15" x14ac:dyDescent="0.25">
      <c r="B8584"/>
      <c r="M8584"/>
    </row>
    <row r="8585" spans="2:13" ht="15" x14ac:dyDescent="0.25">
      <c r="B8585"/>
      <c r="M8585"/>
    </row>
    <row r="8586" spans="2:13" ht="15" x14ac:dyDescent="0.25">
      <c r="B8586"/>
      <c r="M8586"/>
    </row>
    <row r="8587" spans="2:13" ht="15" x14ac:dyDescent="0.25">
      <c r="B8587"/>
      <c r="M8587"/>
    </row>
    <row r="8588" spans="2:13" ht="15" x14ac:dyDescent="0.25">
      <c r="B8588"/>
      <c r="M8588"/>
    </row>
    <row r="8589" spans="2:13" ht="15" x14ac:dyDescent="0.25">
      <c r="B8589"/>
      <c r="M8589"/>
    </row>
    <row r="8590" spans="2:13" ht="15" x14ac:dyDescent="0.25">
      <c r="B8590"/>
      <c r="M8590"/>
    </row>
    <row r="8591" spans="2:13" ht="15" x14ac:dyDescent="0.25">
      <c r="B8591"/>
      <c r="M8591"/>
    </row>
    <row r="8592" spans="2:13" ht="15" x14ac:dyDescent="0.25">
      <c r="B8592"/>
      <c r="M8592"/>
    </row>
    <row r="8593" spans="2:13" ht="15" x14ac:dyDescent="0.25">
      <c r="B8593"/>
      <c r="M8593"/>
    </row>
    <row r="8594" spans="2:13" ht="15" x14ac:dyDescent="0.25">
      <c r="B8594"/>
      <c r="M8594"/>
    </row>
    <row r="8595" spans="2:13" ht="15" x14ac:dyDescent="0.25">
      <c r="B8595"/>
      <c r="M8595"/>
    </row>
    <row r="8596" spans="2:13" ht="15" x14ac:dyDescent="0.25">
      <c r="B8596"/>
      <c r="M8596"/>
    </row>
    <row r="8597" spans="2:13" ht="15" x14ac:dyDescent="0.25">
      <c r="B8597"/>
      <c r="M8597"/>
    </row>
    <row r="8598" spans="2:13" ht="15" x14ac:dyDescent="0.25">
      <c r="B8598"/>
      <c r="M8598"/>
    </row>
    <row r="8599" spans="2:13" ht="15" x14ac:dyDescent="0.25">
      <c r="B8599"/>
      <c r="M8599"/>
    </row>
    <row r="8600" spans="2:13" ht="15" x14ac:dyDescent="0.25">
      <c r="B8600"/>
      <c r="M8600"/>
    </row>
    <row r="8601" spans="2:13" ht="15" x14ac:dyDescent="0.25">
      <c r="B8601"/>
      <c r="M8601"/>
    </row>
    <row r="8602" spans="2:13" ht="15" x14ac:dyDescent="0.25">
      <c r="B8602"/>
      <c r="M8602"/>
    </row>
    <row r="8603" spans="2:13" ht="15" x14ac:dyDescent="0.25">
      <c r="B8603"/>
      <c r="M8603"/>
    </row>
    <row r="8604" spans="2:13" ht="15" x14ac:dyDescent="0.25">
      <c r="B8604"/>
      <c r="M8604"/>
    </row>
    <row r="8605" spans="2:13" ht="15" x14ac:dyDescent="0.25">
      <c r="B8605"/>
      <c r="M8605"/>
    </row>
    <row r="8606" spans="2:13" ht="15" x14ac:dyDescent="0.25">
      <c r="B8606"/>
      <c r="M8606"/>
    </row>
    <row r="8607" spans="2:13" ht="15" x14ac:dyDescent="0.25">
      <c r="B8607"/>
      <c r="M8607"/>
    </row>
    <row r="8608" spans="2:13" ht="15" x14ac:dyDescent="0.25">
      <c r="B8608"/>
      <c r="M8608"/>
    </row>
    <row r="8609" spans="2:13" ht="15" x14ac:dyDescent="0.25">
      <c r="B8609"/>
      <c r="M8609"/>
    </row>
    <row r="8610" spans="2:13" ht="15" x14ac:dyDescent="0.25">
      <c r="B8610"/>
      <c r="M8610"/>
    </row>
    <row r="8611" spans="2:13" ht="15" x14ac:dyDescent="0.25">
      <c r="B8611"/>
      <c r="M8611"/>
    </row>
    <row r="8612" spans="2:13" ht="15" x14ac:dyDescent="0.25">
      <c r="B8612"/>
      <c r="M8612"/>
    </row>
    <row r="8613" spans="2:13" ht="15" x14ac:dyDescent="0.25">
      <c r="B8613"/>
      <c r="M8613"/>
    </row>
    <row r="8614" spans="2:13" ht="15" x14ac:dyDescent="0.25">
      <c r="B8614"/>
      <c r="M8614"/>
    </row>
    <row r="8615" spans="2:13" ht="15" x14ac:dyDescent="0.25">
      <c r="B8615"/>
      <c r="M8615"/>
    </row>
    <row r="8616" spans="2:13" ht="15" x14ac:dyDescent="0.25">
      <c r="B8616"/>
      <c r="M8616"/>
    </row>
    <row r="8617" spans="2:13" ht="15" x14ac:dyDescent="0.25">
      <c r="B8617"/>
      <c r="M8617"/>
    </row>
    <row r="8618" spans="2:13" ht="15" x14ac:dyDescent="0.25">
      <c r="B8618"/>
      <c r="M8618"/>
    </row>
    <row r="8619" spans="2:13" ht="15" x14ac:dyDescent="0.25">
      <c r="B8619"/>
      <c r="M8619"/>
    </row>
    <row r="8620" spans="2:13" ht="15" x14ac:dyDescent="0.25">
      <c r="B8620"/>
      <c r="M8620"/>
    </row>
    <row r="8621" spans="2:13" ht="15" x14ac:dyDescent="0.25">
      <c r="B8621"/>
      <c r="M8621"/>
    </row>
    <row r="8622" spans="2:13" ht="15" x14ac:dyDescent="0.25">
      <c r="B8622"/>
      <c r="M8622"/>
    </row>
    <row r="8623" spans="2:13" ht="15" x14ac:dyDescent="0.25">
      <c r="B8623"/>
      <c r="M8623"/>
    </row>
    <row r="8624" spans="2:13" ht="15" x14ac:dyDescent="0.25">
      <c r="B8624"/>
      <c r="M8624"/>
    </row>
    <row r="8625" spans="2:13" ht="15" x14ac:dyDescent="0.25">
      <c r="B8625"/>
      <c r="M8625"/>
    </row>
    <row r="8626" spans="2:13" ht="15" x14ac:dyDescent="0.25">
      <c r="B8626"/>
      <c r="M8626"/>
    </row>
    <row r="8627" spans="2:13" ht="15" x14ac:dyDescent="0.25">
      <c r="B8627"/>
      <c r="M8627"/>
    </row>
    <row r="8628" spans="2:13" ht="15" x14ac:dyDescent="0.25">
      <c r="B8628"/>
      <c r="M8628"/>
    </row>
    <row r="8629" spans="2:13" ht="15" x14ac:dyDescent="0.25">
      <c r="B8629"/>
      <c r="M8629"/>
    </row>
    <row r="8630" spans="2:13" ht="15" x14ac:dyDescent="0.25">
      <c r="B8630"/>
      <c r="M8630"/>
    </row>
    <row r="8631" spans="2:13" ht="15" x14ac:dyDescent="0.25">
      <c r="B8631"/>
      <c r="M8631"/>
    </row>
    <row r="8632" spans="2:13" ht="15" x14ac:dyDescent="0.25">
      <c r="B8632"/>
      <c r="M8632"/>
    </row>
    <row r="8633" spans="2:13" ht="15" x14ac:dyDescent="0.25">
      <c r="B8633"/>
      <c r="M8633"/>
    </row>
    <row r="8634" spans="2:13" ht="15" x14ac:dyDescent="0.25">
      <c r="B8634"/>
      <c r="M8634"/>
    </row>
    <row r="8635" spans="2:13" ht="15" x14ac:dyDescent="0.25">
      <c r="B8635"/>
      <c r="M8635"/>
    </row>
    <row r="8636" spans="2:13" ht="15" x14ac:dyDescent="0.25">
      <c r="B8636"/>
      <c r="M8636"/>
    </row>
    <row r="8637" spans="2:13" ht="15" x14ac:dyDescent="0.25">
      <c r="B8637"/>
      <c r="M8637"/>
    </row>
    <row r="8638" spans="2:13" ht="15" x14ac:dyDescent="0.25">
      <c r="B8638"/>
      <c r="M8638"/>
    </row>
    <row r="8639" spans="2:13" ht="15" x14ac:dyDescent="0.25">
      <c r="B8639"/>
      <c r="M8639"/>
    </row>
    <row r="8640" spans="2:13" ht="15" x14ac:dyDescent="0.25">
      <c r="B8640"/>
      <c r="M8640"/>
    </row>
    <row r="8641" spans="2:13" ht="15" x14ac:dyDescent="0.25">
      <c r="B8641"/>
      <c r="M8641"/>
    </row>
    <row r="8642" spans="2:13" ht="15" x14ac:dyDescent="0.25">
      <c r="B8642"/>
      <c r="M8642"/>
    </row>
    <row r="8643" spans="2:13" ht="15" x14ac:dyDescent="0.25">
      <c r="B8643"/>
      <c r="M8643"/>
    </row>
    <row r="8644" spans="2:13" ht="15" x14ac:dyDescent="0.25">
      <c r="B8644"/>
      <c r="M8644"/>
    </row>
    <row r="8645" spans="2:13" ht="15" x14ac:dyDescent="0.25">
      <c r="B8645"/>
      <c r="M8645"/>
    </row>
    <row r="8646" spans="2:13" ht="15" x14ac:dyDescent="0.25">
      <c r="B8646"/>
      <c r="M8646"/>
    </row>
    <row r="8647" spans="2:13" ht="15" x14ac:dyDescent="0.25">
      <c r="B8647"/>
      <c r="M8647"/>
    </row>
    <row r="8648" spans="2:13" ht="15" x14ac:dyDescent="0.25">
      <c r="B8648"/>
      <c r="M8648"/>
    </row>
    <row r="8649" spans="2:13" ht="15" x14ac:dyDescent="0.25">
      <c r="B8649"/>
      <c r="M8649"/>
    </row>
    <row r="8650" spans="2:13" ht="15" x14ac:dyDescent="0.25">
      <c r="B8650"/>
      <c r="M8650"/>
    </row>
    <row r="8651" spans="2:13" ht="15" x14ac:dyDescent="0.25">
      <c r="B8651"/>
      <c r="M8651"/>
    </row>
    <row r="8652" spans="2:13" ht="15" x14ac:dyDescent="0.25">
      <c r="B8652"/>
      <c r="M8652"/>
    </row>
    <row r="8653" spans="2:13" ht="15" x14ac:dyDescent="0.25">
      <c r="B8653"/>
      <c r="M8653"/>
    </row>
    <row r="8654" spans="2:13" ht="15" x14ac:dyDescent="0.25">
      <c r="B8654"/>
      <c r="M8654"/>
    </row>
    <row r="8655" spans="2:13" ht="15" x14ac:dyDescent="0.25">
      <c r="B8655"/>
      <c r="M8655"/>
    </row>
    <row r="8656" spans="2:13" ht="15" x14ac:dyDescent="0.25">
      <c r="B8656"/>
      <c r="M8656"/>
    </row>
    <row r="8657" spans="2:13" ht="15" x14ac:dyDescent="0.25">
      <c r="B8657"/>
      <c r="M8657"/>
    </row>
    <row r="8658" spans="2:13" ht="15" x14ac:dyDescent="0.25">
      <c r="B8658"/>
      <c r="M8658"/>
    </row>
    <row r="8659" spans="2:13" ht="15" x14ac:dyDescent="0.25">
      <c r="B8659"/>
      <c r="M8659"/>
    </row>
    <row r="8660" spans="2:13" ht="15" x14ac:dyDescent="0.25">
      <c r="B8660"/>
      <c r="M8660"/>
    </row>
    <row r="8661" spans="2:13" ht="15" x14ac:dyDescent="0.25">
      <c r="B8661"/>
      <c r="M8661"/>
    </row>
    <row r="8662" spans="2:13" ht="15" x14ac:dyDescent="0.25">
      <c r="B8662"/>
      <c r="M8662"/>
    </row>
    <row r="8663" spans="2:13" ht="15" x14ac:dyDescent="0.25">
      <c r="B8663"/>
      <c r="M8663"/>
    </row>
    <row r="8664" spans="2:13" ht="15" x14ac:dyDescent="0.25">
      <c r="B8664"/>
      <c r="M8664"/>
    </row>
    <row r="8665" spans="2:13" ht="15" x14ac:dyDescent="0.25">
      <c r="B8665"/>
      <c r="M8665"/>
    </row>
    <row r="8666" spans="2:13" ht="15" x14ac:dyDescent="0.25">
      <c r="B8666"/>
      <c r="M8666"/>
    </row>
    <row r="8667" spans="2:13" ht="15" x14ac:dyDescent="0.25">
      <c r="B8667"/>
      <c r="M8667"/>
    </row>
    <row r="8668" spans="2:13" ht="15" x14ac:dyDescent="0.25">
      <c r="B8668"/>
      <c r="M8668"/>
    </row>
    <row r="8669" spans="2:13" ht="15" x14ac:dyDescent="0.25">
      <c r="B8669"/>
      <c r="M8669"/>
    </row>
    <row r="8670" spans="2:13" ht="15" x14ac:dyDescent="0.25">
      <c r="B8670"/>
      <c r="M8670"/>
    </row>
    <row r="8671" spans="2:13" ht="15" x14ac:dyDescent="0.25">
      <c r="B8671"/>
      <c r="M8671"/>
    </row>
    <row r="8672" spans="2:13" ht="15" x14ac:dyDescent="0.25">
      <c r="B8672"/>
      <c r="M8672"/>
    </row>
    <row r="8673" spans="2:13" ht="15" x14ac:dyDescent="0.25">
      <c r="B8673"/>
      <c r="M8673"/>
    </row>
    <row r="8674" spans="2:13" ht="15" x14ac:dyDescent="0.25">
      <c r="B8674"/>
      <c r="M8674"/>
    </row>
    <row r="8675" spans="2:13" ht="15" x14ac:dyDescent="0.25">
      <c r="B8675"/>
      <c r="M8675"/>
    </row>
    <row r="8676" spans="2:13" ht="15" x14ac:dyDescent="0.25">
      <c r="B8676"/>
      <c r="M8676"/>
    </row>
    <row r="8677" spans="2:13" ht="15" x14ac:dyDescent="0.25">
      <c r="B8677"/>
      <c r="M8677"/>
    </row>
    <row r="8678" spans="2:13" ht="15" x14ac:dyDescent="0.25">
      <c r="B8678"/>
      <c r="M8678"/>
    </row>
    <row r="8679" spans="2:13" ht="15" x14ac:dyDescent="0.25">
      <c r="B8679"/>
      <c r="M8679"/>
    </row>
    <row r="8680" spans="2:13" ht="15" x14ac:dyDescent="0.25">
      <c r="B8680"/>
      <c r="M8680"/>
    </row>
    <row r="8681" spans="2:13" ht="15" x14ac:dyDescent="0.25">
      <c r="B8681"/>
      <c r="M8681"/>
    </row>
    <row r="8682" spans="2:13" ht="15" x14ac:dyDescent="0.25">
      <c r="B8682"/>
      <c r="M8682"/>
    </row>
    <row r="8683" spans="2:13" ht="15" x14ac:dyDescent="0.25">
      <c r="B8683"/>
      <c r="M8683"/>
    </row>
    <row r="8684" spans="2:13" ht="15" x14ac:dyDescent="0.25">
      <c r="B8684"/>
      <c r="M8684"/>
    </row>
    <row r="8685" spans="2:13" ht="15" x14ac:dyDescent="0.25">
      <c r="B8685"/>
      <c r="M8685"/>
    </row>
    <row r="8686" spans="2:13" ht="15" x14ac:dyDescent="0.25">
      <c r="B8686"/>
      <c r="M8686"/>
    </row>
    <row r="8687" spans="2:13" ht="15" x14ac:dyDescent="0.25">
      <c r="B8687"/>
      <c r="M8687"/>
    </row>
    <row r="8688" spans="2:13" ht="15" x14ac:dyDescent="0.25">
      <c r="B8688"/>
      <c r="M8688"/>
    </row>
    <row r="8689" spans="2:13" ht="15" x14ac:dyDescent="0.25">
      <c r="B8689"/>
      <c r="M8689"/>
    </row>
    <row r="8690" spans="2:13" ht="15" x14ac:dyDescent="0.25">
      <c r="B8690"/>
      <c r="M8690"/>
    </row>
    <row r="8691" spans="2:13" ht="15" x14ac:dyDescent="0.25">
      <c r="B8691"/>
      <c r="M8691"/>
    </row>
    <row r="8692" spans="2:13" ht="15" x14ac:dyDescent="0.25">
      <c r="B8692"/>
      <c r="M8692"/>
    </row>
    <row r="8693" spans="2:13" ht="15" x14ac:dyDescent="0.25">
      <c r="B8693"/>
      <c r="M8693"/>
    </row>
    <row r="8694" spans="2:13" ht="15" x14ac:dyDescent="0.25">
      <c r="B8694"/>
      <c r="M8694"/>
    </row>
    <row r="8695" spans="2:13" ht="15" x14ac:dyDescent="0.25">
      <c r="B8695"/>
      <c r="M8695"/>
    </row>
    <row r="8696" spans="2:13" ht="15" x14ac:dyDescent="0.25">
      <c r="B8696"/>
      <c r="M8696"/>
    </row>
    <row r="8697" spans="2:13" ht="15" x14ac:dyDescent="0.25">
      <c r="B8697"/>
      <c r="M8697"/>
    </row>
    <row r="8698" spans="2:13" ht="15" x14ac:dyDescent="0.25">
      <c r="B8698"/>
      <c r="M8698"/>
    </row>
    <row r="8699" spans="2:13" ht="15" x14ac:dyDescent="0.25">
      <c r="B8699"/>
      <c r="M8699"/>
    </row>
    <row r="8700" spans="2:13" ht="15" x14ac:dyDescent="0.25">
      <c r="B8700"/>
      <c r="M8700"/>
    </row>
    <row r="8701" spans="2:13" ht="15" x14ac:dyDescent="0.25">
      <c r="B8701"/>
      <c r="M8701"/>
    </row>
    <row r="8702" spans="2:13" ht="15" x14ac:dyDescent="0.25">
      <c r="B8702"/>
      <c r="M8702"/>
    </row>
    <row r="8703" spans="2:13" ht="15" x14ac:dyDescent="0.25">
      <c r="B8703"/>
      <c r="M8703"/>
    </row>
    <row r="8704" spans="2:13" ht="15" x14ac:dyDescent="0.25">
      <c r="B8704"/>
      <c r="M8704"/>
    </row>
    <row r="8705" spans="2:13" ht="15" x14ac:dyDescent="0.25">
      <c r="B8705"/>
      <c r="M8705"/>
    </row>
    <row r="8706" spans="2:13" ht="15" x14ac:dyDescent="0.25">
      <c r="B8706"/>
      <c r="M8706"/>
    </row>
    <row r="8707" spans="2:13" ht="15" x14ac:dyDescent="0.25">
      <c r="B8707"/>
      <c r="M8707"/>
    </row>
    <row r="8708" spans="2:13" ht="15" x14ac:dyDescent="0.25">
      <c r="B8708"/>
      <c r="M8708"/>
    </row>
    <row r="8709" spans="2:13" ht="15" x14ac:dyDescent="0.25">
      <c r="B8709"/>
      <c r="M8709"/>
    </row>
    <row r="8710" spans="2:13" ht="15" x14ac:dyDescent="0.25">
      <c r="B8710"/>
      <c r="M8710"/>
    </row>
    <row r="8711" spans="2:13" ht="15" x14ac:dyDescent="0.25">
      <c r="B8711"/>
      <c r="M8711"/>
    </row>
    <row r="8712" spans="2:13" ht="15" x14ac:dyDescent="0.25">
      <c r="B8712"/>
      <c r="M8712"/>
    </row>
    <row r="8713" spans="2:13" ht="15" x14ac:dyDescent="0.25">
      <c r="B8713"/>
      <c r="M8713"/>
    </row>
    <row r="8714" spans="2:13" ht="15" x14ac:dyDescent="0.25">
      <c r="B8714"/>
      <c r="M8714"/>
    </row>
    <row r="8715" spans="2:13" ht="15" x14ac:dyDescent="0.25">
      <c r="B8715"/>
      <c r="M8715"/>
    </row>
    <row r="8716" spans="2:13" ht="15" x14ac:dyDescent="0.25">
      <c r="B8716"/>
      <c r="M8716"/>
    </row>
    <row r="8717" spans="2:13" ht="15" x14ac:dyDescent="0.25">
      <c r="B8717"/>
      <c r="M8717"/>
    </row>
    <row r="8718" spans="2:13" ht="15" x14ac:dyDescent="0.25">
      <c r="B8718"/>
      <c r="M8718"/>
    </row>
    <row r="8719" spans="2:13" ht="15" x14ac:dyDescent="0.25">
      <c r="B8719"/>
      <c r="M8719"/>
    </row>
    <row r="8720" spans="2:13" ht="15" x14ac:dyDescent="0.25">
      <c r="B8720"/>
      <c r="M8720"/>
    </row>
    <row r="8721" spans="2:13" ht="15" x14ac:dyDescent="0.25">
      <c r="B8721"/>
      <c r="M8721"/>
    </row>
    <row r="8722" spans="2:13" ht="15" x14ac:dyDescent="0.25">
      <c r="B8722"/>
      <c r="M8722"/>
    </row>
    <row r="8723" spans="2:13" ht="15" x14ac:dyDescent="0.25">
      <c r="B8723"/>
      <c r="M8723"/>
    </row>
    <row r="8724" spans="2:13" ht="15" x14ac:dyDescent="0.25">
      <c r="B8724"/>
      <c r="M8724"/>
    </row>
    <row r="8725" spans="2:13" ht="15" x14ac:dyDescent="0.25">
      <c r="B8725"/>
      <c r="M8725"/>
    </row>
    <row r="8726" spans="2:13" ht="15" x14ac:dyDescent="0.25">
      <c r="B8726"/>
      <c r="M8726"/>
    </row>
    <row r="8727" spans="2:13" ht="15" x14ac:dyDescent="0.25">
      <c r="B8727"/>
      <c r="M8727"/>
    </row>
    <row r="8728" spans="2:13" ht="15" x14ac:dyDescent="0.25">
      <c r="B8728"/>
      <c r="M8728"/>
    </row>
    <row r="8729" spans="2:13" ht="15" x14ac:dyDescent="0.25">
      <c r="B8729"/>
      <c r="M8729"/>
    </row>
    <row r="8730" spans="2:13" ht="15" x14ac:dyDescent="0.25">
      <c r="B8730"/>
      <c r="M8730"/>
    </row>
    <row r="8731" spans="2:13" ht="15" x14ac:dyDescent="0.25">
      <c r="B8731"/>
      <c r="M8731"/>
    </row>
    <row r="8732" spans="2:13" ht="15" x14ac:dyDescent="0.25">
      <c r="B8732"/>
      <c r="M8732"/>
    </row>
    <row r="8733" spans="2:13" ht="15" x14ac:dyDescent="0.25">
      <c r="B8733"/>
      <c r="M8733"/>
    </row>
    <row r="8734" spans="2:13" ht="15" x14ac:dyDescent="0.25">
      <c r="B8734"/>
      <c r="M8734"/>
    </row>
    <row r="8735" spans="2:13" ht="15" x14ac:dyDescent="0.25">
      <c r="B8735"/>
      <c r="M8735"/>
    </row>
    <row r="8736" spans="2:13" ht="15" x14ac:dyDescent="0.25">
      <c r="B8736"/>
      <c r="M8736"/>
    </row>
    <row r="8737" spans="2:13" ht="15" x14ac:dyDescent="0.25">
      <c r="B8737"/>
      <c r="M8737"/>
    </row>
    <row r="8738" spans="2:13" ht="15" x14ac:dyDescent="0.25">
      <c r="B8738"/>
      <c r="M8738"/>
    </row>
    <row r="8739" spans="2:13" ht="15" x14ac:dyDescent="0.25">
      <c r="B8739"/>
      <c r="M8739"/>
    </row>
    <row r="8740" spans="2:13" ht="15" x14ac:dyDescent="0.25">
      <c r="B8740"/>
      <c r="M8740"/>
    </row>
    <row r="8741" spans="2:13" ht="15" x14ac:dyDescent="0.25">
      <c r="B8741"/>
      <c r="M8741"/>
    </row>
    <row r="8742" spans="2:13" ht="15" x14ac:dyDescent="0.25">
      <c r="B8742"/>
      <c r="M8742"/>
    </row>
    <row r="8743" spans="2:13" ht="15" x14ac:dyDescent="0.25">
      <c r="B8743"/>
      <c r="M8743"/>
    </row>
    <row r="8744" spans="2:13" ht="15" x14ac:dyDescent="0.25">
      <c r="B8744"/>
      <c r="M8744"/>
    </row>
    <row r="8745" spans="2:13" ht="15" x14ac:dyDescent="0.25">
      <c r="B8745"/>
      <c r="M8745"/>
    </row>
    <row r="8746" spans="2:13" ht="15" x14ac:dyDescent="0.25">
      <c r="B8746"/>
      <c r="M8746"/>
    </row>
    <row r="8747" spans="2:13" ht="15" x14ac:dyDescent="0.25">
      <c r="B8747"/>
      <c r="M8747"/>
    </row>
    <row r="8748" spans="2:13" ht="15" x14ac:dyDescent="0.25">
      <c r="B8748"/>
      <c r="M8748"/>
    </row>
    <row r="8749" spans="2:13" ht="15" x14ac:dyDescent="0.25">
      <c r="B8749"/>
      <c r="M8749"/>
    </row>
    <row r="8750" spans="2:13" ht="15" x14ac:dyDescent="0.25">
      <c r="B8750"/>
      <c r="M8750"/>
    </row>
    <row r="8751" spans="2:13" ht="15" x14ac:dyDescent="0.25">
      <c r="B8751"/>
      <c r="M8751"/>
    </row>
    <row r="8752" spans="2:13" ht="15" x14ac:dyDescent="0.25">
      <c r="B8752"/>
      <c r="M8752"/>
    </row>
    <row r="8753" spans="2:13" ht="15" x14ac:dyDescent="0.25">
      <c r="B8753"/>
      <c r="M8753"/>
    </row>
    <row r="8754" spans="2:13" ht="15" x14ac:dyDescent="0.25">
      <c r="B8754"/>
      <c r="M8754"/>
    </row>
    <row r="8755" spans="2:13" ht="15" x14ac:dyDescent="0.25">
      <c r="B8755"/>
      <c r="M8755"/>
    </row>
    <row r="8756" spans="2:13" ht="15" x14ac:dyDescent="0.25">
      <c r="B8756"/>
      <c r="M8756"/>
    </row>
    <row r="8757" spans="2:13" ht="15" x14ac:dyDescent="0.25">
      <c r="B8757"/>
      <c r="M8757"/>
    </row>
    <row r="8758" spans="2:13" ht="15" x14ac:dyDescent="0.25">
      <c r="B8758"/>
      <c r="M8758"/>
    </row>
    <row r="8759" spans="2:13" ht="15" x14ac:dyDescent="0.25">
      <c r="B8759"/>
      <c r="M8759"/>
    </row>
    <row r="8760" spans="2:13" ht="15" x14ac:dyDescent="0.25">
      <c r="B8760"/>
      <c r="M8760"/>
    </row>
    <row r="8761" spans="2:13" ht="15" x14ac:dyDescent="0.25">
      <c r="B8761"/>
      <c r="M8761"/>
    </row>
    <row r="8762" spans="2:13" ht="15" x14ac:dyDescent="0.25">
      <c r="B8762"/>
      <c r="M8762"/>
    </row>
    <row r="8763" spans="2:13" ht="15" x14ac:dyDescent="0.25">
      <c r="B8763"/>
      <c r="M8763"/>
    </row>
    <row r="8764" spans="2:13" ht="15" x14ac:dyDescent="0.25">
      <c r="B8764"/>
      <c r="M8764"/>
    </row>
    <row r="8765" spans="2:13" ht="15" x14ac:dyDescent="0.25">
      <c r="B8765"/>
      <c r="M8765"/>
    </row>
    <row r="8766" spans="2:13" ht="15" x14ac:dyDescent="0.25">
      <c r="B8766"/>
      <c r="M8766"/>
    </row>
    <row r="8767" spans="2:13" ht="15" x14ac:dyDescent="0.25">
      <c r="B8767"/>
      <c r="M8767"/>
    </row>
    <row r="8768" spans="2:13" ht="15" x14ac:dyDescent="0.25">
      <c r="B8768"/>
      <c r="M8768"/>
    </row>
    <row r="8769" spans="2:13" ht="15" x14ac:dyDescent="0.25">
      <c r="B8769"/>
      <c r="M8769"/>
    </row>
    <row r="8770" spans="2:13" ht="15" x14ac:dyDescent="0.25">
      <c r="B8770"/>
      <c r="M8770"/>
    </row>
    <row r="8771" spans="2:13" ht="15" x14ac:dyDescent="0.25">
      <c r="B8771"/>
      <c r="M8771"/>
    </row>
    <row r="8772" spans="2:13" ht="15" x14ac:dyDescent="0.25">
      <c r="B8772"/>
      <c r="M8772"/>
    </row>
    <row r="8773" spans="2:13" ht="15" x14ac:dyDescent="0.25">
      <c r="B8773"/>
      <c r="M8773"/>
    </row>
    <row r="8774" spans="2:13" ht="15" x14ac:dyDescent="0.25">
      <c r="B8774"/>
      <c r="M8774"/>
    </row>
    <row r="8775" spans="2:13" ht="15" x14ac:dyDescent="0.25">
      <c r="B8775"/>
      <c r="M8775"/>
    </row>
    <row r="8776" spans="2:13" ht="15" x14ac:dyDescent="0.25">
      <c r="B8776"/>
      <c r="M8776"/>
    </row>
    <row r="8777" spans="2:13" ht="15" x14ac:dyDescent="0.25">
      <c r="B8777"/>
      <c r="M8777"/>
    </row>
    <row r="8778" spans="2:13" ht="15" x14ac:dyDescent="0.25">
      <c r="B8778"/>
      <c r="M8778"/>
    </row>
    <row r="8779" spans="2:13" ht="15" x14ac:dyDescent="0.25">
      <c r="B8779"/>
      <c r="M8779"/>
    </row>
    <row r="8780" spans="2:13" ht="15" x14ac:dyDescent="0.25">
      <c r="B8780"/>
      <c r="M8780"/>
    </row>
    <row r="8781" spans="2:13" ht="15" x14ac:dyDescent="0.25">
      <c r="B8781"/>
      <c r="M8781"/>
    </row>
    <row r="8782" spans="2:13" ht="15" x14ac:dyDescent="0.25">
      <c r="B8782"/>
      <c r="M8782"/>
    </row>
    <row r="8783" spans="2:13" ht="15" x14ac:dyDescent="0.25">
      <c r="B8783"/>
      <c r="M8783"/>
    </row>
    <row r="8784" spans="2:13" ht="15" x14ac:dyDescent="0.25">
      <c r="B8784"/>
      <c r="M8784"/>
    </row>
    <row r="8785" spans="2:13" ht="15" x14ac:dyDescent="0.25">
      <c r="B8785"/>
      <c r="M8785"/>
    </row>
    <row r="8786" spans="2:13" ht="15" x14ac:dyDescent="0.25">
      <c r="B8786"/>
      <c r="M8786"/>
    </row>
    <row r="8787" spans="2:13" ht="15" x14ac:dyDescent="0.25">
      <c r="B8787"/>
      <c r="M8787"/>
    </row>
    <row r="8788" spans="2:13" ht="15" x14ac:dyDescent="0.25">
      <c r="B8788"/>
      <c r="M8788"/>
    </row>
    <row r="8789" spans="2:13" ht="15" x14ac:dyDescent="0.25">
      <c r="B8789"/>
      <c r="M8789"/>
    </row>
    <row r="8790" spans="2:13" ht="15" x14ac:dyDescent="0.25">
      <c r="B8790"/>
      <c r="M8790"/>
    </row>
    <row r="8791" spans="2:13" ht="15" x14ac:dyDescent="0.25">
      <c r="B8791"/>
      <c r="M8791"/>
    </row>
    <row r="8792" spans="2:13" ht="15" x14ac:dyDescent="0.25">
      <c r="B8792"/>
      <c r="M8792"/>
    </row>
    <row r="8793" spans="2:13" ht="15" x14ac:dyDescent="0.25">
      <c r="B8793"/>
      <c r="M8793"/>
    </row>
    <row r="8794" spans="2:13" ht="15" x14ac:dyDescent="0.25">
      <c r="B8794"/>
      <c r="M8794"/>
    </row>
    <row r="8795" spans="2:13" ht="15" x14ac:dyDescent="0.25">
      <c r="B8795"/>
      <c r="M8795"/>
    </row>
    <row r="8796" spans="2:13" ht="15" x14ac:dyDescent="0.25">
      <c r="B8796"/>
      <c r="M8796"/>
    </row>
    <row r="8797" spans="2:13" ht="15" x14ac:dyDescent="0.25">
      <c r="B8797"/>
      <c r="M8797"/>
    </row>
    <row r="8798" spans="2:13" ht="15" x14ac:dyDescent="0.25">
      <c r="B8798"/>
      <c r="M8798"/>
    </row>
    <row r="8799" spans="2:13" ht="15" x14ac:dyDescent="0.25">
      <c r="B8799"/>
      <c r="M8799"/>
    </row>
    <row r="8800" spans="2:13" ht="15" x14ac:dyDescent="0.25">
      <c r="B8800"/>
      <c r="M8800"/>
    </row>
    <row r="8801" spans="2:13" ht="15" x14ac:dyDescent="0.25">
      <c r="B8801"/>
      <c r="M8801"/>
    </row>
    <row r="8802" spans="2:13" ht="15" x14ac:dyDescent="0.25">
      <c r="B8802"/>
      <c r="M8802"/>
    </row>
    <row r="8803" spans="2:13" ht="15" x14ac:dyDescent="0.25">
      <c r="B8803"/>
      <c r="M8803"/>
    </row>
    <row r="8804" spans="2:13" ht="15" x14ac:dyDescent="0.25">
      <c r="B8804"/>
      <c r="M8804"/>
    </row>
    <row r="8805" spans="2:13" ht="15" x14ac:dyDescent="0.25">
      <c r="B8805"/>
      <c r="M8805"/>
    </row>
    <row r="8806" spans="2:13" ht="15" x14ac:dyDescent="0.25">
      <c r="B8806"/>
      <c r="M8806"/>
    </row>
    <row r="8807" spans="2:13" ht="15" x14ac:dyDescent="0.25">
      <c r="B8807"/>
      <c r="M8807"/>
    </row>
    <row r="8808" spans="2:13" ht="15" x14ac:dyDescent="0.25">
      <c r="B8808"/>
      <c r="M8808"/>
    </row>
    <row r="8809" spans="2:13" ht="15" x14ac:dyDescent="0.25">
      <c r="B8809"/>
      <c r="M8809"/>
    </row>
    <row r="8810" spans="2:13" ht="15" x14ac:dyDescent="0.25">
      <c r="B8810"/>
      <c r="M8810"/>
    </row>
    <row r="8811" spans="2:13" ht="15" x14ac:dyDescent="0.25">
      <c r="B8811"/>
      <c r="M8811"/>
    </row>
    <row r="8812" spans="2:13" ht="15" x14ac:dyDescent="0.25">
      <c r="B8812"/>
      <c r="M8812"/>
    </row>
    <row r="8813" spans="2:13" ht="15" x14ac:dyDescent="0.25">
      <c r="B8813"/>
      <c r="M8813"/>
    </row>
    <row r="8814" spans="2:13" ht="15" x14ac:dyDescent="0.25">
      <c r="B8814"/>
      <c r="M8814"/>
    </row>
    <row r="8815" spans="2:13" ht="15" x14ac:dyDescent="0.25">
      <c r="B8815"/>
      <c r="M8815"/>
    </row>
    <row r="8816" spans="2:13" ht="15" x14ac:dyDescent="0.25">
      <c r="B8816"/>
      <c r="M8816"/>
    </row>
    <row r="8817" spans="2:13" ht="15" x14ac:dyDescent="0.25">
      <c r="B8817"/>
      <c r="M8817"/>
    </row>
    <row r="8818" spans="2:13" ht="15" x14ac:dyDescent="0.25">
      <c r="B8818"/>
      <c r="M8818"/>
    </row>
    <row r="8819" spans="2:13" ht="15" x14ac:dyDescent="0.25">
      <c r="B8819"/>
      <c r="M8819"/>
    </row>
    <row r="8820" spans="2:13" ht="15" x14ac:dyDescent="0.25">
      <c r="B8820"/>
      <c r="M8820"/>
    </row>
    <row r="8821" spans="2:13" ht="15" x14ac:dyDescent="0.25">
      <c r="B8821"/>
      <c r="M8821"/>
    </row>
    <row r="8822" spans="2:13" ht="15" x14ac:dyDescent="0.25">
      <c r="B8822"/>
      <c r="M8822"/>
    </row>
    <row r="8823" spans="2:13" ht="15" x14ac:dyDescent="0.25">
      <c r="B8823"/>
      <c r="M8823"/>
    </row>
    <row r="8824" spans="2:13" ht="15" x14ac:dyDescent="0.25">
      <c r="B8824"/>
      <c r="M8824"/>
    </row>
    <row r="8825" spans="2:13" ht="15" x14ac:dyDescent="0.25">
      <c r="B8825"/>
      <c r="M8825"/>
    </row>
    <row r="8826" spans="2:13" ht="15" x14ac:dyDescent="0.25">
      <c r="B8826"/>
      <c r="M8826"/>
    </row>
    <row r="8827" spans="2:13" ht="15" x14ac:dyDescent="0.25">
      <c r="B8827"/>
      <c r="M8827"/>
    </row>
    <row r="8828" spans="2:13" ht="15" x14ac:dyDescent="0.25">
      <c r="B8828"/>
      <c r="M8828"/>
    </row>
    <row r="8829" spans="2:13" ht="15" x14ac:dyDescent="0.25">
      <c r="B8829"/>
      <c r="M8829"/>
    </row>
    <row r="8830" spans="2:13" ht="15" x14ac:dyDescent="0.25">
      <c r="B8830"/>
      <c r="M8830"/>
    </row>
    <row r="8831" spans="2:13" ht="15" x14ac:dyDescent="0.25">
      <c r="B8831"/>
      <c r="M8831"/>
    </row>
    <row r="8832" spans="2:13" ht="15" x14ac:dyDescent="0.25">
      <c r="B8832"/>
      <c r="M8832"/>
    </row>
    <row r="8833" spans="2:13" ht="15" x14ac:dyDescent="0.25">
      <c r="B8833"/>
      <c r="M8833"/>
    </row>
    <row r="8834" spans="2:13" ht="15" x14ac:dyDescent="0.25">
      <c r="B8834"/>
      <c r="M8834"/>
    </row>
    <row r="8835" spans="2:13" ht="15" x14ac:dyDescent="0.25">
      <c r="B8835"/>
      <c r="M8835"/>
    </row>
    <row r="8836" spans="2:13" ht="15" x14ac:dyDescent="0.25">
      <c r="B8836"/>
      <c r="M8836"/>
    </row>
    <row r="8837" spans="2:13" ht="15" x14ac:dyDescent="0.25">
      <c r="B8837"/>
      <c r="M8837"/>
    </row>
    <row r="8838" spans="2:13" ht="15" x14ac:dyDescent="0.25">
      <c r="B8838"/>
      <c r="M8838"/>
    </row>
    <row r="8839" spans="2:13" ht="15" x14ac:dyDescent="0.25">
      <c r="B8839"/>
      <c r="M8839"/>
    </row>
    <row r="8840" spans="2:13" ht="15" x14ac:dyDescent="0.25">
      <c r="B8840"/>
      <c r="M8840"/>
    </row>
    <row r="8841" spans="2:13" ht="15" x14ac:dyDescent="0.25">
      <c r="B8841"/>
      <c r="M8841"/>
    </row>
    <row r="8842" spans="2:13" ht="15" x14ac:dyDescent="0.25">
      <c r="B8842"/>
      <c r="M8842"/>
    </row>
    <row r="8843" spans="2:13" ht="15" x14ac:dyDescent="0.25">
      <c r="B8843"/>
      <c r="M8843"/>
    </row>
    <row r="8844" spans="2:13" ht="15" x14ac:dyDescent="0.25">
      <c r="B8844"/>
      <c r="M8844"/>
    </row>
    <row r="8845" spans="2:13" ht="15" x14ac:dyDescent="0.25">
      <c r="B8845"/>
      <c r="M8845"/>
    </row>
    <row r="8846" spans="2:13" ht="15" x14ac:dyDescent="0.25">
      <c r="B8846"/>
      <c r="M8846"/>
    </row>
    <row r="8847" spans="2:13" ht="15" x14ac:dyDescent="0.25">
      <c r="B8847"/>
      <c r="M8847"/>
    </row>
    <row r="8848" spans="2:13" ht="15" x14ac:dyDescent="0.25">
      <c r="B8848"/>
      <c r="M8848"/>
    </row>
    <row r="8849" spans="2:13" ht="15" x14ac:dyDescent="0.25">
      <c r="B8849"/>
      <c r="M8849"/>
    </row>
    <row r="8850" spans="2:13" ht="15" x14ac:dyDescent="0.25">
      <c r="B8850"/>
      <c r="M8850"/>
    </row>
    <row r="8851" spans="2:13" ht="15" x14ac:dyDescent="0.25">
      <c r="B8851"/>
      <c r="M8851"/>
    </row>
    <row r="8852" spans="2:13" ht="15" x14ac:dyDescent="0.25">
      <c r="B8852"/>
      <c r="M8852"/>
    </row>
    <row r="8853" spans="2:13" ht="15" x14ac:dyDescent="0.25">
      <c r="B8853"/>
      <c r="M8853"/>
    </row>
    <row r="8854" spans="2:13" ht="15" x14ac:dyDescent="0.25">
      <c r="B8854"/>
      <c r="M8854"/>
    </row>
    <row r="8855" spans="2:13" ht="15" x14ac:dyDescent="0.25">
      <c r="B8855"/>
      <c r="M8855"/>
    </row>
    <row r="8856" spans="2:13" ht="15" x14ac:dyDescent="0.25">
      <c r="B8856"/>
      <c r="M8856"/>
    </row>
    <row r="8857" spans="2:13" ht="15" x14ac:dyDescent="0.25">
      <c r="B8857"/>
      <c r="M8857"/>
    </row>
    <row r="8858" spans="2:13" ht="15" x14ac:dyDescent="0.25">
      <c r="B8858"/>
      <c r="M8858"/>
    </row>
    <row r="8859" spans="2:13" ht="15" x14ac:dyDescent="0.25">
      <c r="B8859"/>
      <c r="M8859"/>
    </row>
    <row r="8860" spans="2:13" ht="15" x14ac:dyDescent="0.25">
      <c r="B8860"/>
      <c r="M8860"/>
    </row>
    <row r="8861" spans="2:13" ht="15" x14ac:dyDescent="0.25">
      <c r="B8861"/>
      <c r="M8861"/>
    </row>
    <row r="8862" spans="2:13" ht="15" x14ac:dyDescent="0.25">
      <c r="B8862"/>
      <c r="M8862"/>
    </row>
    <row r="8863" spans="2:13" ht="15" x14ac:dyDescent="0.25">
      <c r="B8863"/>
      <c r="M8863"/>
    </row>
    <row r="8864" spans="2:13" ht="15" x14ac:dyDescent="0.25">
      <c r="B8864"/>
      <c r="M8864"/>
    </row>
    <row r="8865" spans="2:13" ht="15" x14ac:dyDescent="0.25">
      <c r="B8865"/>
      <c r="M8865"/>
    </row>
    <row r="8866" spans="2:13" ht="15" x14ac:dyDescent="0.25">
      <c r="B8866"/>
      <c r="M8866"/>
    </row>
    <row r="8867" spans="2:13" ht="15" x14ac:dyDescent="0.25">
      <c r="B8867"/>
      <c r="M8867"/>
    </row>
    <row r="8868" spans="2:13" ht="15" x14ac:dyDescent="0.25">
      <c r="B8868"/>
      <c r="M8868"/>
    </row>
    <row r="8869" spans="2:13" ht="15" x14ac:dyDescent="0.25">
      <c r="B8869"/>
      <c r="M8869"/>
    </row>
    <row r="8870" spans="2:13" ht="15" x14ac:dyDescent="0.25">
      <c r="B8870"/>
      <c r="M8870"/>
    </row>
    <row r="8871" spans="2:13" ht="15" x14ac:dyDescent="0.25">
      <c r="B8871"/>
      <c r="M8871"/>
    </row>
    <row r="8872" spans="2:13" ht="15" x14ac:dyDescent="0.25">
      <c r="B8872"/>
      <c r="M8872"/>
    </row>
    <row r="8873" spans="2:13" ht="15" x14ac:dyDescent="0.25">
      <c r="B8873"/>
      <c r="M8873"/>
    </row>
    <row r="8874" spans="2:13" ht="15" x14ac:dyDescent="0.25">
      <c r="B8874"/>
      <c r="M8874"/>
    </row>
    <row r="8875" spans="2:13" ht="15" x14ac:dyDescent="0.25">
      <c r="B8875"/>
      <c r="M8875"/>
    </row>
    <row r="8876" spans="2:13" ht="15" x14ac:dyDescent="0.25">
      <c r="B8876"/>
      <c r="M8876"/>
    </row>
    <row r="8877" spans="2:13" ht="15" x14ac:dyDescent="0.25">
      <c r="B8877"/>
      <c r="M8877"/>
    </row>
    <row r="8878" spans="2:13" ht="15" x14ac:dyDescent="0.25">
      <c r="B8878"/>
      <c r="M8878"/>
    </row>
    <row r="8879" spans="2:13" ht="15" x14ac:dyDescent="0.25">
      <c r="B8879"/>
      <c r="M8879"/>
    </row>
    <row r="8880" spans="2:13" ht="15" x14ac:dyDescent="0.25">
      <c r="B8880"/>
      <c r="M8880"/>
    </row>
    <row r="8881" spans="2:13" ht="15" x14ac:dyDescent="0.25">
      <c r="B8881"/>
      <c r="M8881"/>
    </row>
    <row r="8882" spans="2:13" ht="15" x14ac:dyDescent="0.25">
      <c r="B8882"/>
      <c r="M8882"/>
    </row>
    <row r="8883" spans="2:13" ht="15" x14ac:dyDescent="0.25">
      <c r="B8883"/>
      <c r="M8883"/>
    </row>
    <row r="8884" spans="2:13" ht="15" x14ac:dyDescent="0.25">
      <c r="B8884"/>
      <c r="M8884"/>
    </row>
    <row r="8885" spans="2:13" ht="15" x14ac:dyDescent="0.25">
      <c r="B8885"/>
      <c r="M8885"/>
    </row>
    <row r="8886" spans="2:13" ht="15" x14ac:dyDescent="0.25">
      <c r="B8886"/>
      <c r="M8886"/>
    </row>
    <row r="8887" spans="2:13" ht="15" x14ac:dyDescent="0.25">
      <c r="B8887"/>
      <c r="M8887"/>
    </row>
    <row r="8888" spans="2:13" ht="15" x14ac:dyDescent="0.25">
      <c r="B8888"/>
      <c r="M8888"/>
    </row>
    <row r="8889" spans="2:13" ht="15" x14ac:dyDescent="0.25">
      <c r="B8889"/>
      <c r="M8889"/>
    </row>
    <row r="8890" spans="2:13" ht="15" x14ac:dyDescent="0.25">
      <c r="B8890"/>
      <c r="M8890"/>
    </row>
    <row r="8891" spans="2:13" ht="15" x14ac:dyDescent="0.25">
      <c r="B8891"/>
      <c r="M8891"/>
    </row>
    <row r="8892" spans="2:13" ht="15" x14ac:dyDescent="0.25">
      <c r="B8892"/>
      <c r="M8892"/>
    </row>
    <row r="8893" spans="2:13" ht="15" x14ac:dyDescent="0.25">
      <c r="B8893"/>
      <c r="M8893"/>
    </row>
    <row r="8894" spans="2:13" ht="15" x14ac:dyDescent="0.25">
      <c r="B8894"/>
      <c r="M8894"/>
    </row>
    <row r="8895" spans="2:13" ht="15" x14ac:dyDescent="0.25">
      <c r="B8895"/>
      <c r="M8895"/>
    </row>
    <row r="8896" spans="2:13" ht="15" x14ac:dyDescent="0.25">
      <c r="B8896"/>
      <c r="M8896"/>
    </row>
    <row r="8897" spans="2:13" ht="15" x14ac:dyDescent="0.25">
      <c r="B8897"/>
      <c r="M8897"/>
    </row>
    <row r="8898" spans="2:13" ht="15" x14ac:dyDescent="0.25">
      <c r="B8898"/>
      <c r="M8898"/>
    </row>
    <row r="8899" spans="2:13" ht="15" x14ac:dyDescent="0.25">
      <c r="B8899"/>
      <c r="M8899"/>
    </row>
    <row r="8900" spans="2:13" ht="15" x14ac:dyDescent="0.25">
      <c r="B8900"/>
      <c r="M8900"/>
    </row>
    <row r="8901" spans="2:13" ht="15" x14ac:dyDescent="0.25">
      <c r="B8901"/>
      <c r="M8901"/>
    </row>
    <row r="8902" spans="2:13" ht="15" x14ac:dyDescent="0.25">
      <c r="B8902"/>
      <c r="M8902"/>
    </row>
    <row r="8903" spans="2:13" ht="15" x14ac:dyDescent="0.25">
      <c r="B8903"/>
      <c r="M8903"/>
    </row>
    <row r="8904" spans="2:13" ht="15" x14ac:dyDescent="0.25">
      <c r="B8904"/>
      <c r="M8904"/>
    </row>
    <row r="8905" spans="2:13" ht="15" x14ac:dyDescent="0.25">
      <c r="B8905"/>
      <c r="M8905"/>
    </row>
    <row r="8906" spans="2:13" ht="15" x14ac:dyDescent="0.25">
      <c r="B8906"/>
      <c r="M8906"/>
    </row>
    <row r="8907" spans="2:13" ht="15" x14ac:dyDescent="0.25">
      <c r="B8907"/>
      <c r="M8907"/>
    </row>
    <row r="8908" spans="2:13" ht="15" x14ac:dyDescent="0.25">
      <c r="B8908"/>
      <c r="M8908"/>
    </row>
    <row r="8909" spans="2:13" ht="15" x14ac:dyDescent="0.25">
      <c r="B8909"/>
      <c r="M8909"/>
    </row>
    <row r="8910" spans="2:13" ht="15" x14ac:dyDescent="0.25">
      <c r="B8910"/>
      <c r="M8910"/>
    </row>
    <row r="8911" spans="2:13" ht="15" x14ac:dyDescent="0.25">
      <c r="B8911"/>
      <c r="M8911"/>
    </row>
    <row r="8912" spans="2:13" ht="15" x14ac:dyDescent="0.25">
      <c r="B8912"/>
      <c r="M8912"/>
    </row>
    <row r="8913" spans="2:13" ht="15" x14ac:dyDescent="0.25">
      <c r="B8913"/>
      <c r="M8913"/>
    </row>
    <row r="8914" spans="2:13" ht="15" x14ac:dyDescent="0.25">
      <c r="B8914"/>
      <c r="M8914"/>
    </row>
    <row r="8915" spans="2:13" ht="15" x14ac:dyDescent="0.25">
      <c r="B8915"/>
      <c r="M8915"/>
    </row>
    <row r="8916" spans="2:13" ht="15" x14ac:dyDescent="0.25">
      <c r="B8916"/>
      <c r="M8916"/>
    </row>
    <row r="8917" spans="2:13" ht="15" x14ac:dyDescent="0.25">
      <c r="B8917"/>
      <c r="M8917"/>
    </row>
    <row r="8918" spans="2:13" ht="15" x14ac:dyDescent="0.25">
      <c r="B8918"/>
      <c r="M8918"/>
    </row>
    <row r="8919" spans="2:13" ht="15" x14ac:dyDescent="0.25">
      <c r="B8919"/>
      <c r="M8919"/>
    </row>
    <row r="8920" spans="2:13" ht="15" x14ac:dyDescent="0.25">
      <c r="B8920"/>
      <c r="M8920"/>
    </row>
    <row r="8921" spans="2:13" ht="15" x14ac:dyDescent="0.25">
      <c r="B8921"/>
      <c r="M8921"/>
    </row>
    <row r="8922" spans="2:13" ht="15" x14ac:dyDescent="0.25">
      <c r="B8922"/>
      <c r="M8922"/>
    </row>
    <row r="8923" spans="2:13" ht="15" x14ac:dyDescent="0.25">
      <c r="B8923"/>
      <c r="M8923"/>
    </row>
    <row r="8924" spans="2:13" ht="15" x14ac:dyDescent="0.25">
      <c r="B8924"/>
      <c r="M8924"/>
    </row>
    <row r="8925" spans="2:13" ht="15" x14ac:dyDescent="0.25">
      <c r="B8925"/>
      <c r="M8925"/>
    </row>
    <row r="8926" spans="2:13" ht="15" x14ac:dyDescent="0.25">
      <c r="B8926"/>
      <c r="M8926"/>
    </row>
    <row r="8927" spans="2:13" ht="15" x14ac:dyDescent="0.25">
      <c r="B8927"/>
      <c r="M8927"/>
    </row>
    <row r="8928" spans="2:13" ht="15" x14ac:dyDescent="0.25">
      <c r="B8928"/>
      <c r="M8928"/>
    </row>
    <row r="8929" spans="2:13" ht="15" x14ac:dyDescent="0.25">
      <c r="B8929"/>
      <c r="M8929"/>
    </row>
    <row r="8930" spans="2:13" ht="15" x14ac:dyDescent="0.25">
      <c r="B8930"/>
      <c r="M8930"/>
    </row>
    <row r="8931" spans="2:13" ht="15" x14ac:dyDescent="0.25">
      <c r="B8931"/>
      <c r="M8931"/>
    </row>
    <row r="8932" spans="2:13" ht="15" x14ac:dyDescent="0.25">
      <c r="B8932"/>
      <c r="M8932"/>
    </row>
    <row r="8933" spans="2:13" ht="15" x14ac:dyDescent="0.25">
      <c r="B8933"/>
      <c r="M8933"/>
    </row>
    <row r="8934" spans="2:13" ht="15" x14ac:dyDescent="0.25">
      <c r="B8934"/>
      <c r="M8934"/>
    </row>
    <row r="8935" spans="2:13" ht="15" x14ac:dyDescent="0.25">
      <c r="B8935"/>
      <c r="M8935"/>
    </row>
    <row r="8936" spans="2:13" ht="15" x14ac:dyDescent="0.25">
      <c r="B8936"/>
      <c r="M8936"/>
    </row>
    <row r="8937" spans="2:13" ht="15" x14ac:dyDescent="0.25">
      <c r="B8937"/>
      <c r="M8937"/>
    </row>
    <row r="8938" spans="2:13" ht="15" x14ac:dyDescent="0.25">
      <c r="B8938"/>
      <c r="M8938"/>
    </row>
    <row r="8939" spans="2:13" ht="15" x14ac:dyDescent="0.25">
      <c r="B8939"/>
      <c r="M8939"/>
    </row>
    <row r="8940" spans="2:13" ht="15" x14ac:dyDescent="0.25">
      <c r="B8940"/>
      <c r="M8940"/>
    </row>
    <row r="8941" spans="2:13" ht="15" x14ac:dyDescent="0.25">
      <c r="B8941"/>
      <c r="M8941"/>
    </row>
    <row r="8942" spans="2:13" ht="15" x14ac:dyDescent="0.25">
      <c r="B8942"/>
      <c r="M8942"/>
    </row>
    <row r="8943" spans="2:13" ht="15" x14ac:dyDescent="0.25">
      <c r="B8943"/>
      <c r="M8943"/>
    </row>
    <row r="8944" spans="2:13" ht="15" x14ac:dyDescent="0.25">
      <c r="B8944"/>
      <c r="M8944"/>
    </row>
    <row r="8945" spans="2:13" ht="15" x14ac:dyDescent="0.25">
      <c r="B8945"/>
      <c r="M8945"/>
    </row>
    <row r="8946" spans="2:13" ht="15" x14ac:dyDescent="0.25">
      <c r="B8946"/>
      <c r="M8946"/>
    </row>
    <row r="8947" spans="2:13" ht="15" x14ac:dyDescent="0.25">
      <c r="B8947"/>
      <c r="M8947"/>
    </row>
    <row r="8948" spans="2:13" ht="15" x14ac:dyDescent="0.25">
      <c r="B8948"/>
      <c r="M8948"/>
    </row>
    <row r="8949" spans="2:13" ht="15" x14ac:dyDescent="0.25">
      <c r="B8949"/>
      <c r="M8949"/>
    </row>
    <row r="8950" spans="2:13" ht="15" x14ac:dyDescent="0.25">
      <c r="B8950"/>
      <c r="M8950"/>
    </row>
    <row r="8951" spans="2:13" ht="15" x14ac:dyDescent="0.25">
      <c r="B8951"/>
      <c r="M8951"/>
    </row>
    <row r="8952" spans="2:13" ht="15" x14ac:dyDescent="0.25">
      <c r="B8952"/>
      <c r="M8952"/>
    </row>
    <row r="8953" spans="2:13" ht="15" x14ac:dyDescent="0.25">
      <c r="B8953"/>
      <c r="M8953"/>
    </row>
    <row r="8954" spans="2:13" ht="15" x14ac:dyDescent="0.25">
      <c r="B8954"/>
      <c r="M8954"/>
    </row>
    <row r="8955" spans="2:13" ht="15" x14ac:dyDescent="0.25">
      <c r="B8955"/>
      <c r="M8955"/>
    </row>
    <row r="8956" spans="2:13" ht="15" x14ac:dyDescent="0.25">
      <c r="B8956"/>
      <c r="M8956"/>
    </row>
    <row r="8957" spans="2:13" ht="15" x14ac:dyDescent="0.25">
      <c r="B8957"/>
      <c r="M8957"/>
    </row>
    <row r="8958" spans="2:13" ht="15" x14ac:dyDescent="0.25">
      <c r="B8958"/>
      <c r="M8958"/>
    </row>
    <row r="8959" spans="2:13" ht="15" x14ac:dyDescent="0.25">
      <c r="B8959"/>
      <c r="M8959"/>
    </row>
    <row r="8960" spans="2:13" ht="15" x14ac:dyDescent="0.25">
      <c r="B8960"/>
      <c r="M8960"/>
    </row>
    <row r="8961" spans="2:13" ht="15" x14ac:dyDescent="0.25">
      <c r="B8961"/>
      <c r="M8961"/>
    </row>
    <row r="8962" spans="2:13" ht="15" x14ac:dyDescent="0.25">
      <c r="B8962"/>
      <c r="M8962"/>
    </row>
    <row r="8963" spans="2:13" ht="15" x14ac:dyDescent="0.25">
      <c r="B8963"/>
      <c r="M8963"/>
    </row>
    <row r="8964" spans="2:13" ht="15" x14ac:dyDescent="0.25">
      <c r="B8964"/>
      <c r="M8964"/>
    </row>
    <row r="8965" spans="2:13" ht="15" x14ac:dyDescent="0.25">
      <c r="B8965"/>
      <c r="M8965"/>
    </row>
    <row r="8966" spans="2:13" ht="15" x14ac:dyDescent="0.25">
      <c r="B8966"/>
      <c r="M8966"/>
    </row>
    <row r="8967" spans="2:13" ht="15" x14ac:dyDescent="0.25">
      <c r="B8967"/>
      <c r="M8967"/>
    </row>
    <row r="8968" spans="2:13" ht="15" x14ac:dyDescent="0.25">
      <c r="B8968"/>
      <c r="M8968"/>
    </row>
    <row r="8969" spans="2:13" ht="15" x14ac:dyDescent="0.25">
      <c r="B8969"/>
      <c r="M8969"/>
    </row>
    <row r="8970" spans="2:13" ht="15" x14ac:dyDescent="0.25">
      <c r="B8970"/>
      <c r="M8970"/>
    </row>
    <row r="8971" spans="2:13" ht="15" x14ac:dyDescent="0.25">
      <c r="B8971"/>
      <c r="M8971"/>
    </row>
    <row r="8972" spans="2:13" ht="15" x14ac:dyDescent="0.25">
      <c r="B8972"/>
      <c r="M8972"/>
    </row>
    <row r="8973" spans="2:13" ht="15" x14ac:dyDescent="0.25">
      <c r="B8973"/>
      <c r="M8973"/>
    </row>
    <row r="8974" spans="2:13" ht="15" x14ac:dyDescent="0.25">
      <c r="B8974"/>
      <c r="M8974"/>
    </row>
    <row r="8975" spans="2:13" ht="15" x14ac:dyDescent="0.25">
      <c r="B8975"/>
      <c r="M8975"/>
    </row>
    <row r="8976" spans="2:13" ht="15" x14ac:dyDescent="0.25">
      <c r="B8976"/>
      <c r="M8976"/>
    </row>
    <row r="8977" spans="2:13" ht="15" x14ac:dyDescent="0.25">
      <c r="B8977"/>
      <c r="M8977"/>
    </row>
    <row r="8978" spans="2:13" ht="15" x14ac:dyDescent="0.25">
      <c r="B8978"/>
      <c r="M8978"/>
    </row>
    <row r="8979" spans="2:13" ht="15" x14ac:dyDescent="0.25">
      <c r="B8979"/>
      <c r="M8979"/>
    </row>
    <row r="8980" spans="2:13" ht="15" x14ac:dyDescent="0.25">
      <c r="B8980"/>
      <c r="M8980"/>
    </row>
    <row r="8981" spans="2:13" ht="15" x14ac:dyDescent="0.25">
      <c r="B8981"/>
      <c r="M8981"/>
    </row>
    <row r="8982" spans="2:13" ht="15" x14ac:dyDescent="0.25">
      <c r="B8982"/>
      <c r="M8982"/>
    </row>
    <row r="8983" spans="2:13" ht="15" x14ac:dyDescent="0.25">
      <c r="B8983"/>
      <c r="M8983"/>
    </row>
    <row r="8984" spans="2:13" ht="15" x14ac:dyDescent="0.25">
      <c r="B8984"/>
      <c r="M8984"/>
    </row>
    <row r="8985" spans="2:13" ht="15" x14ac:dyDescent="0.25">
      <c r="B8985"/>
      <c r="M8985"/>
    </row>
    <row r="8986" spans="2:13" ht="15" x14ac:dyDescent="0.25">
      <c r="B8986"/>
      <c r="M8986"/>
    </row>
    <row r="8987" spans="2:13" ht="15" x14ac:dyDescent="0.25">
      <c r="B8987"/>
      <c r="M8987"/>
    </row>
    <row r="8988" spans="2:13" ht="15" x14ac:dyDescent="0.25">
      <c r="B8988"/>
      <c r="M8988"/>
    </row>
    <row r="8989" spans="2:13" ht="15" x14ac:dyDescent="0.25">
      <c r="B8989"/>
      <c r="M8989"/>
    </row>
    <row r="8990" spans="2:13" ht="15" x14ac:dyDescent="0.25">
      <c r="B8990"/>
      <c r="M8990"/>
    </row>
    <row r="8991" spans="2:13" ht="15" x14ac:dyDescent="0.25">
      <c r="B8991"/>
      <c r="M8991"/>
    </row>
    <row r="8992" spans="2:13" ht="15" x14ac:dyDescent="0.25">
      <c r="B8992"/>
      <c r="M8992"/>
    </row>
    <row r="8993" spans="2:13" ht="15" x14ac:dyDescent="0.25">
      <c r="B8993"/>
      <c r="M8993"/>
    </row>
    <row r="8994" spans="2:13" ht="15" x14ac:dyDescent="0.25">
      <c r="B8994"/>
      <c r="M8994"/>
    </row>
    <row r="8995" spans="2:13" ht="15" x14ac:dyDescent="0.25">
      <c r="B8995"/>
      <c r="M8995"/>
    </row>
    <row r="8996" spans="2:13" ht="15" x14ac:dyDescent="0.25">
      <c r="B8996"/>
      <c r="M8996"/>
    </row>
    <row r="8997" spans="2:13" ht="15" x14ac:dyDescent="0.25">
      <c r="B8997"/>
      <c r="M8997"/>
    </row>
    <row r="8998" spans="2:13" ht="15" x14ac:dyDescent="0.25">
      <c r="B8998"/>
      <c r="M8998"/>
    </row>
    <row r="8999" spans="2:13" ht="15" x14ac:dyDescent="0.25">
      <c r="B8999"/>
      <c r="M8999"/>
    </row>
    <row r="9000" spans="2:13" ht="15" x14ac:dyDescent="0.25">
      <c r="B9000"/>
      <c r="M9000"/>
    </row>
    <row r="9001" spans="2:13" ht="15" x14ac:dyDescent="0.25">
      <c r="B9001"/>
      <c r="M9001"/>
    </row>
    <row r="9002" spans="2:13" ht="15" x14ac:dyDescent="0.25">
      <c r="B9002"/>
      <c r="M9002"/>
    </row>
    <row r="9003" spans="2:13" ht="15" x14ac:dyDescent="0.25">
      <c r="B9003"/>
      <c r="M9003"/>
    </row>
    <row r="9004" spans="2:13" ht="15" x14ac:dyDescent="0.25">
      <c r="B9004"/>
      <c r="M9004"/>
    </row>
    <row r="9005" spans="2:13" ht="15" x14ac:dyDescent="0.25">
      <c r="B9005"/>
      <c r="M9005"/>
    </row>
    <row r="9006" spans="2:13" ht="15" x14ac:dyDescent="0.25">
      <c r="B9006"/>
      <c r="M9006"/>
    </row>
    <row r="9007" spans="2:13" ht="15" x14ac:dyDescent="0.25">
      <c r="B9007"/>
      <c r="M9007"/>
    </row>
    <row r="9008" spans="2:13" ht="15" x14ac:dyDescent="0.25">
      <c r="B9008"/>
      <c r="M9008"/>
    </row>
    <row r="9009" spans="2:13" ht="15" x14ac:dyDescent="0.25">
      <c r="B9009"/>
      <c r="M9009"/>
    </row>
    <row r="9010" spans="2:13" ht="15" x14ac:dyDescent="0.25">
      <c r="B9010"/>
      <c r="M9010"/>
    </row>
    <row r="9011" spans="2:13" ht="15" x14ac:dyDescent="0.25">
      <c r="B9011"/>
      <c r="M9011"/>
    </row>
    <row r="9012" spans="2:13" ht="15" x14ac:dyDescent="0.25">
      <c r="B9012"/>
      <c r="M9012"/>
    </row>
    <row r="9013" spans="2:13" ht="15" x14ac:dyDescent="0.25">
      <c r="B9013"/>
      <c r="M9013"/>
    </row>
    <row r="9014" spans="2:13" ht="15" x14ac:dyDescent="0.25">
      <c r="B9014"/>
      <c r="M9014"/>
    </row>
    <row r="9015" spans="2:13" ht="15" x14ac:dyDescent="0.25">
      <c r="B9015"/>
      <c r="M9015"/>
    </row>
    <row r="9016" spans="2:13" ht="15" x14ac:dyDescent="0.25">
      <c r="B9016"/>
      <c r="M9016"/>
    </row>
    <row r="9017" spans="2:13" ht="15" x14ac:dyDescent="0.25">
      <c r="B9017"/>
      <c r="M9017"/>
    </row>
    <row r="9018" spans="2:13" ht="15" x14ac:dyDescent="0.25">
      <c r="B9018"/>
      <c r="M9018"/>
    </row>
    <row r="9019" spans="2:13" ht="15" x14ac:dyDescent="0.25">
      <c r="B9019"/>
      <c r="M9019"/>
    </row>
    <row r="9020" spans="2:13" ht="15" x14ac:dyDescent="0.25">
      <c r="B9020"/>
      <c r="M9020"/>
    </row>
    <row r="9021" spans="2:13" ht="15" x14ac:dyDescent="0.25">
      <c r="B9021"/>
      <c r="M9021"/>
    </row>
    <row r="9022" spans="2:13" ht="15" x14ac:dyDescent="0.25">
      <c r="B9022"/>
      <c r="M9022"/>
    </row>
    <row r="9023" spans="2:13" ht="15" x14ac:dyDescent="0.25">
      <c r="B9023"/>
      <c r="M9023"/>
    </row>
    <row r="9024" spans="2:13" ht="15" x14ac:dyDescent="0.25">
      <c r="B9024"/>
      <c r="M9024"/>
    </row>
    <row r="9025" spans="2:13" ht="15" x14ac:dyDescent="0.25">
      <c r="B9025"/>
      <c r="M9025"/>
    </row>
    <row r="9026" spans="2:13" ht="15" x14ac:dyDescent="0.25">
      <c r="B9026"/>
      <c r="M9026"/>
    </row>
    <row r="9027" spans="2:13" ht="15" x14ac:dyDescent="0.25">
      <c r="B9027"/>
      <c r="M9027"/>
    </row>
    <row r="9028" spans="2:13" ht="15" x14ac:dyDescent="0.25">
      <c r="B9028"/>
      <c r="M9028"/>
    </row>
    <row r="9029" spans="2:13" ht="15" x14ac:dyDescent="0.25">
      <c r="B9029"/>
      <c r="M9029"/>
    </row>
    <row r="9030" spans="2:13" ht="15" x14ac:dyDescent="0.25">
      <c r="B9030"/>
      <c r="M9030"/>
    </row>
    <row r="9031" spans="2:13" ht="15" x14ac:dyDescent="0.25">
      <c r="B9031"/>
      <c r="M9031"/>
    </row>
    <row r="9032" spans="2:13" ht="15" x14ac:dyDescent="0.25">
      <c r="B9032"/>
      <c r="M9032"/>
    </row>
    <row r="9033" spans="2:13" ht="15" x14ac:dyDescent="0.25">
      <c r="B9033"/>
      <c r="M9033"/>
    </row>
    <row r="9034" spans="2:13" ht="15" x14ac:dyDescent="0.25">
      <c r="B9034"/>
      <c r="M9034"/>
    </row>
    <row r="9035" spans="2:13" ht="15" x14ac:dyDescent="0.25">
      <c r="B9035"/>
      <c r="M9035"/>
    </row>
    <row r="9036" spans="2:13" ht="15" x14ac:dyDescent="0.25">
      <c r="B9036"/>
      <c r="M9036"/>
    </row>
    <row r="9037" spans="2:13" ht="15" x14ac:dyDescent="0.25">
      <c r="B9037"/>
      <c r="M9037"/>
    </row>
    <row r="9038" spans="2:13" ht="15" x14ac:dyDescent="0.25">
      <c r="B9038"/>
      <c r="M9038"/>
    </row>
    <row r="9039" spans="2:13" ht="15" x14ac:dyDescent="0.25">
      <c r="B9039"/>
      <c r="M9039"/>
    </row>
    <row r="9040" spans="2:13" ht="15" x14ac:dyDescent="0.25">
      <c r="B9040"/>
      <c r="M9040"/>
    </row>
    <row r="9041" spans="2:13" ht="15" x14ac:dyDescent="0.25">
      <c r="B9041"/>
      <c r="M9041"/>
    </row>
    <row r="9042" spans="2:13" ht="15" x14ac:dyDescent="0.25">
      <c r="B9042"/>
      <c r="M9042"/>
    </row>
    <row r="9043" spans="2:13" ht="15" x14ac:dyDescent="0.25">
      <c r="B9043"/>
      <c r="M9043"/>
    </row>
    <row r="9044" spans="2:13" ht="15" x14ac:dyDescent="0.25">
      <c r="B9044"/>
      <c r="M9044"/>
    </row>
    <row r="9045" spans="2:13" ht="15" x14ac:dyDescent="0.25">
      <c r="B9045"/>
      <c r="M9045"/>
    </row>
    <row r="9046" spans="2:13" ht="15" x14ac:dyDescent="0.25">
      <c r="B9046"/>
      <c r="M9046"/>
    </row>
    <row r="9047" spans="2:13" ht="15" x14ac:dyDescent="0.25">
      <c r="B9047"/>
      <c r="M9047"/>
    </row>
    <row r="9048" spans="2:13" ht="15" x14ac:dyDescent="0.25">
      <c r="B9048"/>
      <c r="M9048"/>
    </row>
    <row r="9049" spans="2:13" ht="15" x14ac:dyDescent="0.25">
      <c r="B9049"/>
      <c r="M9049"/>
    </row>
    <row r="9050" spans="2:13" ht="15" x14ac:dyDescent="0.25">
      <c r="B9050"/>
      <c r="M9050"/>
    </row>
    <row r="9051" spans="2:13" ht="15" x14ac:dyDescent="0.25">
      <c r="B9051"/>
      <c r="M9051"/>
    </row>
    <row r="9052" spans="2:13" ht="15" x14ac:dyDescent="0.25">
      <c r="B9052"/>
      <c r="M9052"/>
    </row>
    <row r="9053" spans="2:13" ht="15" x14ac:dyDescent="0.25">
      <c r="B9053"/>
      <c r="M9053"/>
    </row>
    <row r="9054" spans="2:13" ht="15" x14ac:dyDescent="0.25">
      <c r="B9054"/>
      <c r="M9054"/>
    </row>
    <row r="9055" spans="2:13" ht="15" x14ac:dyDescent="0.25">
      <c r="B9055"/>
      <c r="M9055"/>
    </row>
    <row r="9056" spans="2:13" ht="15" x14ac:dyDescent="0.25">
      <c r="B9056"/>
      <c r="M9056"/>
    </row>
    <row r="9057" spans="2:13" ht="15" x14ac:dyDescent="0.25">
      <c r="B9057"/>
      <c r="M9057"/>
    </row>
    <row r="9058" spans="2:13" ht="15" x14ac:dyDescent="0.25">
      <c r="B9058"/>
      <c r="M9058"/>
    </row>
    <row r="9059" spans="2:13" ht="15" x14ac:dyDescent="0.25">
      <c r="B9059"/>
      <c r="M9059"/>
    </row>
    <row r="9060" spans="2:13" ht="15" x14ac:dyDescent="0.25">
      <c r="B9060"/>
      <c r="M9060"/>
    </row>
    <row r="9061" spans="2:13" ht="15" x14ac:dyDescent="0.25">
      <c r="B9061"/>
      <c r="M9061"/>
    </row>
    <row r="9062" spans="2:13" ht="15" x14ac:dyDescent="0.25">
      <c r="B9062"/>
      <c r="M9062"/>
    </row>
    <row r="9063" spans="2:13" ht="15" x14ac:dyDescent="0.25">
      <c r="B9063"/>
      <c r="M9063"/>
    </row>
    <row r="9064" spans="2:13" ht="15" x14ac:dyDescent="0.25">
      <c r="B9064"/>
      <c r="M9064"/>
    </row>
    <row r="9065" spans="2:13" ht="15" x14ac:dyDescent="0.25">
      <c r="B9065"/>
      <c r="M9065"/>
    </row>
    <row r="9066" spans="2:13" ht="15" x14ac:dyDescent="0.25">
      <c r="B9066"/>
      <c r="M9066"/>
    </row>
    <row r="9067" spans="2:13" ht="15" x14ac:dyDescent="0.25">
      <c r="B9067"/>
      <c r="M9067"/>
    </row>
    <row r="9068" spans="2:13" ht="15" x14ac:dyDescent="0.25">
      <c r="B9068"/>
      <c r="M9068"/>
    </row>
    <row r="9069" spans="2:13" ht="15" x14ac:dyDescent="0.25">
      <c r="B9069"/>
      <c r="M9069"/>
    </row>
    <row r="9070" spans="2:13" ht="15" x14ac:dyDescent="0.25">
      <c r="B9070"/>
      <c r="M9070"/>
    </row>
    <row r="9071" spans="2:13" ht="15" x14ac:dyDescent="0.25">
      <c r="B9071"/>
      <c r="M9071"/>
    </row>
    <row r="9072" spans="2:13" ht="15" x14ac:dyDescent="0.25">
      <c r="B9072"/>
      <c r="M9072"/>
    </row>
    <row r="9073" spans="2:13" ht="15" x14ac:dyDescent="0.25">
      <c r="B9073"/>
      <c r="M9073"/>
    </row>
    <row r="9074" spans="2:13" ht="15" x14ac:dyDescent="0.25">
      <c r="B9074"/>
      <c r="M9074"/>
    </row>
    <row r="9075" spans="2:13" ht="15" x14ac:dyDescent="0.25">
      <c r="B9075"/>
      <c r="M9075"/>
    </row>
    <row r="9076" spans="2:13" ht="15" x14ac:dyDescent="0.25">
      <c r="B9076"/>
      <c r="M9076"/>
    </row>
    <row r="9077" spans="2:13" ht="15" x14ac:dyDescent="0.25">
      <c r="B9077"/>
      <c r="M9077"/>
    </row>
    <row r="9078" spans="2:13" ht="15" x14ac:dyDescent="0.25">
      <c r="B9078"/>
      <c r="M9078"/>
    </row>
    <row r="9079" spans="2:13" ht="15" x14ac:dyDescent="0.25">
      <c r="B9079"/>
      <c r="M9079"/>
    </row>
    <row r="9080" spans="2:13" ht="15" x14ac:dyDescent="0.25">
      <c r="B9080"/>
      <c r="M9080"/>
    </row>
    <row r="9081" spans="2:13" ht="15" x14ac:dyDescent="0.25">
      <c r="B9081"/>
      <c r="M9081"/>
    </row>
    <row r="9082" spans="2:13" ht="15" x14ac:dyDescent="0.25">
      <c r="B9082"/>
      <c r="M9082"/>
    </row>
    <row r="9083" spans="2:13" ht="15" x14ac:dyDescent="0.25">
      <c r="B9083"/>
      <c r="M9083"/>
    </row>
    <row r="9084" spans="2:13" ht="15" x14ac:dyDescent="0.25">
      <c r="B9084"/>
      <c r="M9084"/>
    </row>
    <row r="9085" spans="2:13" ht="15" x14ac:dyDescent="0.25">
      <c r="B9085"/>
      <c r="M9085"/>
    </row>
    <row r="9086" spans="2:13" ht="15" x14ac:dyDescent="0.25">
      <c r="B9086"/>
      <c r="M9086"/>
    </row>
    <row r="9087" spans="2:13" ht="15" x14ac:dyDescent="0.25">
      <c r="B9087"/>
      <c r="M9087"/>
    </row>
    <row r="9088" spans="2:13" ht="15" x14ac:dyDescent="0.25">
      <c r="B9088"/>
      <c r="M9088"/>
    </row>
    <row r="9089" spans="2:13" ht="15" x14ac:dyDescent="0.25">
      <c r="B9089"/>
      <c r="M9089"/>
    </row>
    <row r="9090" spans="2:13" ht="15" x14ac:dyDescent="0.25">
      <c r="B9090"/>
      <c r="M9090"/>
    </row>
    <row r="9091" spans="2:13" ht="15" x14ac:dyDescent="0.25">
      <c r="B9091"/>
      <c r="M9091"/>
    </row>
    <row r="9092" spans="2:13" ht="15" x14ac:dyDescent="0.25">
      <c r="B9092"/>
      <c r="M9092"/>
    </row>
    <row r="9093" spans="2:13" ht="15" x14ac:dyDescent="0.25">
      <c r="B9093"/>
      <c r="M9093"/>
    </row>
    <row r="9094" spans="2:13" ht="15" x14ac:dyDescent="0.25">
      <c r="B9094"/>
      <c r="M9094"/>
    </row>
    <row r="9095" spans="2:13" ht="15" x14ac:dyDescent="0.25">
      <c r="B9095"/>
      <c r="M9095"/>
    </row>
    <row r="9096" spans="2:13" ht="15" x14ac:dyDescent="0.25">
      <c r="B9096"/>
      <c r="M9096"/>
    </row>
    <row r="9097" spans="2:13" ht="15" x14ac:dyDescent="0.25">
      <c r="B9097"/>
      <c r="M9097"/>
    </row>
    <row r="9098" spans="2:13" ht="15" x14ac:dyDescent="0.25">
      <c r="B9098"/>
      <c r="M9098"/>
    </row>
    <row r="9099" spans="2:13" ht="15" x14ac:dyDescent="0.25">
      <c r="B9099"/>
      <c r="M9099"/>
    </row>
    <row r="9100" spans="2:13" ht="15" x14ac:dyDescent="0.25">
      <c r="B9100"/>
      <c r="M9100"/>
    </row>
    <row r="9101" spans="2:13" ht="15" x14ac:dyDescent="0.25">
      <c r="B9101"/>
      <c r="M9101"/>
    </row>
    <row r="9102" spans="2:13" ht="15" x14ac:dyDescent="0.25">
      <c r="B9102"/>
      <c r="M9102"/>
    </row>
    <row r="9103" spans="2:13" ht="15" x14ac:dyDescent="0.25">
      <c r="B9103"/>
      <c r="M9103"/>
    </row>
    <row r="9104" spans="2:13" ht="15" x14ac:dyDescent="0.25">
      <c r="B9104"/>
      <c r="M9104"/>
    </row>
    <row r="9105" spans="2:13" ht="15" x14ac:dyDescent="0.25">
      <c r="B9105"/>
      <c r="M9105"/>
    </row>
    <row r="9106" spans="2:13" ht="15" x14ac:dyDescent="0.25">
      <c r="B9106"/>
      <c r="M9106"/>
    </row>
    <row r="9107" spans="2:13" ht="15" x14ac:dyDescent="0.25">
      <c r="B9107"/>
      <c r="M9107"/>
    </row>
    <row r="9108" spans="2:13" ht="15" x14ac:dyDescent="0.25">
      <c r="B9108"/>
      <c r="M9108"/>
    </row>
    <row r="9109" spans="2:13" ht="15" x14ac:dyDescent="0.25">
      <c r="B9109"/>
      <c r="M9109"/>
    </row>
    <row r="9110" spans="2:13" ht="15" x14ac:dyDescent="0.25">
      <c r="B9110"/>
      <c r="M9110"/>
    </row>
    <row r="9111" spans="2:13" ht="15" x14ac:dyDescent="0.25">
      <c r="B9111"/>
      <c r="M9111"/>
    </row>
    <row r="9112" spans="2:13" ht="15" x14ac:dyDescent="0.25">
      <c r="B9112"/>
      <c r="M9112"/>
    </row>
    <row r="9113" spans="2:13" ht="15" x14ac:dyDescent="0.25">
      <c r="B9113"/>
      <c r="M9113"/>
    </row>
    <row r="9114" spans="2:13" ht="15" x14ac:dyDescent="0.25">
      <c r="B9114"/>
      <c r="M9114"/>
    </row>
    <row r="9115" spans="2:13" ht="15" x14ac:dyDescent="0.25">
      <c r="B9115"/>
      <c r="M9115"/>
    </row>
    <row r="9116" spans="2:13" ht="15" x14ac:dyDescent="0.25">
      <c r="B9116"/>
      <c r="M9116"/>
    </row>
    <row r="9117" spans="2:13" ht="15" x14ac:dyDescent="0.25">
      <c r="B9117"/>
      <c r="M9117"/>
    </row>
    <row r="9118" spans="2:13" ht="15" x14ac:dyDescent="0.25">
      <c r="B9118"/>
      <c r="M9118"/>
    </row>
    <row r="9119" spans="2:13" ht="15" x14ac:dyDescent="0.25">
      <c r="B9119"/>
      <c r="M9119"/>
    </row>
    <row r="9120" spans="2:13" ht="15" x14ac:dyDescent="0.25">
      <c r="B9120"/>
      <c r="M9120"/>
    </row>
    <row r="9121" spans="2:13" ht="15" x14ac:dyDescent="0.25">
      <c r="B9121"/>
      <c r="M9121"/>
    </row>
    <row r="9122" spans="2:13" ht="15" x14ac:dyDescent="0.25">
      <c r="B9122"/>
      <c r="M9122"/>
    </row>
    <row r="9123" spans="2:13" ht="15" x14ac:dyDescent="0.25">
      <c r="B9123"/>
      <c r="M9123"/>
    </row>
    <row r="9124" spans="2:13" ht="15" x14ac:dyDescent="0.25">
      <c r="B9124"/>
      <c r="M9124"/>
    </row>
    <row r="9125" spans="2:13" ht="15" x14ac:dyDescent="0.25">
      <c r="B9125"/>
      <c r="M9125"/>
    </row>
    <row r="9126" spans="2:13" ht="15" x14ac:dyDescent="0.25">
      <c r="B9126"/>
      <c r="M9126"/>
    </row>
    <row r="9127" spans="2:13" ht="15" x14ac:dyDescent="0.25">
      <c r="B9127"/>
      <c r="M9127"/>
    </row>
    <row r="9128" spans="2:13" ht="15" x14ac:dyDescent="0.25">
      <c r="B9128"/>
      <c r="M9128"/>
    </row>
    <row r="9129" spans="2:13" ht="15" x14ac:dyDescent="0.25">
      <c r="B9129"/>
      <c r="M9129"/>
    </row>
    <row r="9130" spans="2:13" ht="15" x14ac:dyDescent="0.25">
      <c r="B9130"/>
      <c r="M9130"/>
    </row>
    <row r="9131" spans="2:13" ht="15" x14ac:dyDescent="0.25">
      <c r="B9131"/>
      <c r="M9131"/>
    </row>
    <row r="9132" spans="2:13" ht="15" x14ac:dyDescent="0.25">
      <c r="B9132"/>
      <c r="M9132"/>
    </row>
    <row r="9133" spans="2:13" ht="15" x14ac:dyDescent="0.25">
      <c r="B9133"/>
      <c r="M9133"/>
    </row>
    <row r="9134" spans="2:13" ht="15" x14ac:dyDescent="0.25">
      <c r="B9134"/>
      <c r="M9134"/>
    </row>
    <row r="9135" spans="2:13" ht="15" x14ac:dyDescent="0.25">
      <c r="B9135"/>
      <c r="M9135"/>
    </row>
    <row r="9136" spans="2:13" ht="15" x14ac:dyDescent="0.25">
      <c r="B9136"/>
      <c r="M9136"/>
    </row>
    <row r="9137" spans="2:13" ht="15" x14ac:dyDescent="0.25">
      <c r="B9137"/>
      <c r="M9137"/>
    </row>
    <row r="9138" spans="2:13" ht="15" x14ac:dyDescent="0.25">
      <c r="B9138"/>
      <c r="M9138"/>
    </row>
    <row r="9139" spans="2:13" ht="15" x14ac:dyDescent="0.25">
      <c r="B9139"/>
      <c r="M9139"/>
    </row>
    <row r="9140" spans="2:13" ht="15" x14ac:dyDescent="0.25">
      <c r="B9140"/>
      <c r="M9140"/>
    </row>
    <row r="9141" spans="2:13" ht="15" x14ac:dyDescent="0.25">
      <c r="B9141"/>
      <c r="M9141"/>
    </row>
    <row r="9142" spans="2:13" ht="15" x14ac:dyDescent="0.25">
      <c r="B9142"/>
      <c r="M9142"/>
    </row>
    <row r="9143" spans="2:13" ht="15" x14ac:dyDescent="0.25">
      <c r="B9143"/>
      <c r="M9143"/>
    </row>
    <row r="9144" spans="2:13" ht="15" x14ac:dyDescent="0.25">
      <c r="B9144"/>
      <c r="M9144"/>
    </row>
    <row r="9145" spans="2:13" ht="15" x14ac:dyDescent="0.25">
      <c r="B9145"/>
      <c r="M9145"/>
    </row>
    <row r="9146" spans="2:13" ht="15" x14ac:dyDescent="0.25">
      <c r="B9146"/>
      <c r="M9146"/>
    </row>
    <row r="9147" spans="2:13" ht="15" x14ac:dyDescent="0.25">
      <c r="B9147"/>
      <c r="M9147"/>
    </row>
    <row r="9148" spans="2:13" ht="15" x14ac:dyDescent="0.25">
      <c r="B9148"/>
      <c r="M9148"/>
    </row>
    <row r="9149" spans="2:13" ht="15" x14ac:dyDescent="0.25">
      <c r="B9149"/>
      <c r="M9149"/>
    </row>
    <row r="9150" spans="2:13" ht="15" x14ac:dyDescent="0.25">
      <c r="B9150"/>
      <c r="M9150"/>
    </row>
    <row r="9151" spans="2:13" ht="15" x14ac:dyDescent="0.25">
      <c r="B9151"/>
      <c r="M9151"/>
    </row>
    <row r="9152" spans="2:13" ht="15" x14ac:dyDescent="0.25">
      <c r="B9152"/>
      <c r="M9152"/>
    </row>
    <row r="9153" spans="2:13" ht="15" x14ac:dyDescent="0.25">
      <c r="B9153"/>
      <c r="M9153"/>
    </row>
    <row r="9154" spans="2:13" ht="15" x14ac:dyDescent="0.25">
      <c r="B9154"/>
      <c r="M9154"/>
    </row>
    <row r="9155" spans="2:13" ht="15" x14ac:dyDescent="0.25">
      <c r="B9155"/>
      <c r="M9155"/>
    </row>
    <row r="9156" spans="2:13" ht="15" x14ac:dyDescent="0.25">
      <c r="B9156"/>
      <c r="M9156"/>
    </row>
    <row r="9157" spans="2:13" ht="15" x14ac:dyDescent="0.25">
      <c r="B9157"/>
      <c r="M9157"/>
    </row>
    <row r="9158" spans="2:13" ht="15" x14ac:dyDescent="0.25">
      <c r="B9158"/>
      <c r="M9158"/>
    </row>
    <row r="9159" spans="2:13" ht="15" x14ac:dyDescent="0.25">
      <c r="B9159"/>
      <c r="M9159"/>
    </row>
    <row r="9160" spans="2:13" ht="15" x14ac:dyDescent="0.25">
      <c r="B9160"/>
      <c r="M9160"/>
    </row>
    <row r="9161" spans="2:13" ht="15" x14ac:dyDescent="0.25">
      <c r="B9161"/>
      <c r="M9161"/>
    </row>
    <row r="9162" spans="2:13" ht="15" x14ac:dyDescent="0.25">
      <c r="B9162"/>
      <c r="M9162"/>
    </row>
    <row r="9163" spans="2:13" ht="15" x14ac:dyDescent="0.25">
      <c r="B9163"/>
      <c r="M9163"/>
    </row>
    <row r="9164" spans="2:13" ht="15" x14ac:dyDescent="0.25">
      <c r="B9164"/>
      <c r="M9164"/>
    </row>
    <row r="9165" spans="2:13" ht="15" x14ac:dyDescent="0.25">
      <c r="B9165"/>
      <c r="M9165"/>
    </row>
    <row r="9166" spans="2:13" ht="15" x14ac:dyDescent="0.25">
      <c r="B9166"/>
      <c r="M9166"/>
    </row>
    <row r="9167" spans="2:13" ht="15" x14ac:dyDescent="0.25">
      <c r="B9167"/>
      <c r="M9167"/>
    </row>
    <row r="9168" spans="2:13" ht="15" x14ac:dyDescent="0.25">
      <c r="B9168"/>
      <c r="M9168"/>
    </row>
    <row r="9169" spans="2:13" ht="15" x14ac:dyDescent="0.25">
      <c r="B9169"/>
      <c r="M9169"/>
    </row>
    <row r="9170" spans="2:13" ht="15" x14ac:dyDescent="0.25">
      <c r="B9170"/>
      <c r="M9170"/>
    </row>
    <row r="9171" spans="2:13" ht="15" x14ac:dyDescent="0.25">
      <c r="B9171"/>
      <c r="M9171"/>
    </row>
    <row r="9172" spans="2:13" ht="15" x14ac:dyDescent="0.25">
      <c r="B9172"/>
      <c r="M9172"/>
    </row>
    <row r="9173" spans="2:13" ht="15" x14ac:dyDescent="0.25">
      <c r="B9173"/>
      <c r="M9173"/>
    </row>
    <row r="9174" spans="2:13" ht="15" x14ac:dyDescent="0.25">
      <c r="B9174"/>
      <c r="M9174"/>
    </row>
    <row r="9175" spans="2:13" ht="15" x14ac:dyDescent="0.25">
      <c r="B9175"/>
      <c r="M9175"/>
    </row>
    <row r="9176" spans="2:13" ht="15" x14ac:dyDescent="0.25">
      <c r="B9176"/>
      <c r="M9176"/>
    </row>
    <row r="9177" spans="2:13" ht="15" x14ac:dyDescent="0.25">
      <c r="B9177"/>
      <c r="M9177"/>
    </row>
    <row r="9178" spans="2:13" ht="15" x14ac:dyDescent="0.25">
      <c r="B9178"/>
      <c r="M9178"/>
    </row>
    <row r="9179" spans="2:13" ht="15" x14ac:dyDescent="0.25">
      <c r="B9179"/>
      <c r="M9179"/>
    </row>
    <row r="9180" spans="2:13" ht="15" x14ac:dyDescent="0.25">
      <c r="B9180"/>
      <c r="M9180"/>
    </row>
    <row r="9181" spans="2:13" ht="15" x14ac:dyDescent="0.25">
      <c r="B9181"/>
      <c r="M9181"/>
    </row>
    <row r="9182" spans="2:13" ht="15" x14ac:dyDescent="0.25">
      <c r="B9182"/>
      <c r="M9182"/>
    </row>
    <row r="9183" spans="2:13" ht="15" x14ac:dyDescent="0.25">
      <c r="B9183"/>
      <c r="M9183"/>
    </row>
    <row r="9184" spans="2:13" ht="15" x14ac:dyDescent="0.25">
      <c r="B9184"/>
      <c r="M9184"/>
    </row>
    <row r="9185" spans="2:13" ht="15" x14ac:dyDescent="0.25">
      <c r="B9185"/>
      <c r="M9185"/>
    </row>
    <row r="9186" spans="2:13" ht="15" x14ac:dyDescent="0.25">
      <c r="B9186"/>
      <c r="M9186"/>
    </row>
    <row r="9187" spans="2:13" ht="15" x14ac:dyDescent="0.25">
      <c r="B9187"/>
      <c r="M9187"/>
    </row>
    <row r="9188" spans="2:13" ht="15" x14ac:dyDescent="0.25">
      <c r="B9188"/>
      <c r="M9188"/>
    </row>
    <row r="9189" spans="2:13" ht="15" x14ac:dyDescent="0.25">
      <c r="B9189"/>
      <c r="M9189"/>
    </row>
    <row r="9190" spans="2:13" ht="15" x14ac:dyDescent="0.25">
      <c r="B9190"/>
      <c r="M9190"/>
    </row>
    <row r="9191" spans="2:13" ht="15" x14ac:dyDescent="0.25">
      <c r="B9191"/>
      <c r="M9191"/>
    </row>
    <row r="9192" spans="2:13" ht="15" x14ac:dyDescent="0.25">
      <c r="B9192"/>
      <c r="M9192"/>
    </row>
    <row r="9193" spans="2:13" ht="15" x14ac:dyDescent="0.25">
      <c r="B9193"/>
      <c r="M9193"/>
    </row>
    <row r="9194" spans="2:13" ht="15" x14ac:dyDescent="0.25">
      <c r="B9194"/>
      <c r="M9194"/>
    </row>
    <row r="9195" spans="2:13" ht="15" x14ac:dyDescent="0.25">
      <c r="B9195"/>
      <c r="M9195"/>
    </row>
    <row r="9196" spans="2:13" ht="15" x14ac:dyDescent="0.25">
      <c r="B9196"/>
      <c r="M9196"/>
    </row>
    <row r="9197" spans="2:13" ht="15" x14ac:dyDescent="0.25">
      <c r="B9197"/>
      <c r="M9197"/>
    </row>
    <row r="9198" spans="2:13" ht="15" x14ac:dyDescent="0.25">
      <c r="B9198"/>
      <c r="M9198"/>
    </row>
    <row r="9199" spans="2:13" ht="15" x14ac:dyDescent="0.25">
      <c r="B9199"/>
      <c r="M9199"/>
    </row>
    <row r="9200" spans="2:13" ht="15" x14ac:dyDescent="0.25">
      <c r="B9200"/>
      <c r="M9200"/>
    </row>
    <row r="9201" spans="2:13" ht="15" x14ac:dyDescent="0.25">
      <c r="B9201"/>
      <c r="M9201"/>
    </row>
    <row r="9202" spans="2:13" ht="15" x14ac:dyDescent="0.25">
      <c r="B9202"/>
      <c r="M9202"/>
    </row>
    <row r="9203" spans="2:13" ht="15" x14ac:dyDescent="0.25">
      <c r="B9203"/>
      <c r="M9203"/>
    </row>
    <row r="9204" spans="2:13" ht="15" x14ac:dyDescent="0.25">
      <c r="B9204"/>
      <c r="M9204"/>
    </row>
    <row r="9205" spans="2:13" ht="15" x14ac:dyDescent="0.25">
      <c r="B9205"/>
      <c r="M9205"/>
    </row>
    <row r="9206" spans="2:13" ht="15" x14ac:dyDescent="0.25">
      <c r="B9206"/>
      <c r="M9206"/>
    </row>
    <row r="9207" spans="2:13" ht="15" x14ac:dyDescent="0.25">
      <c r="B9207"/>
      <c r="M9207"/>
    </row>
    <row r="9208" spans="2:13" ht="15" x14ac:dyDescent="0.25">
      <c r="B9208"/>
      <c r="M9208"/>
    </row>
    <row r="9209" spans="2:13" ht="15" x14ac:dyDescent="0.25">
      <c r="B9209"/>
      <c r="M9209"/>
    </row>
    <row r="9210" spans="2:13" ht="15" x14ac:dyDescent="0.25">
      <c r="B9210"/>
      <c r="M9210"/>
    </row>
    <row r="9211" spans="2:13" ht="15" x14ac:dyDescent="0.25">
      <c r="B9211"/>
      <c r="M9211"/>
    </row>
    <row r="9212" spans="2:13" ht="15" x14ac:dyDescent="0.25">
      <c r="B9212"/>
      <c r="M9212"/>
    </row>
    <row r="9213" spans="2:13" ht="15" x14ac:dyDescent="0.25">
      <c r="B9213"/>
      <c r="M9213"/>
    </row>
    <row r="9214" spans="2:13" ht="15" x14ac:dyDescent="0.25">
      <c r="B9214"/>
      <c r="M9214"/>
    </row>
    <row r="9215" spans="2:13" ht="15" x14ac:dyDescent="0.25">
      <c r="B9215"/>
      <c r="M9215"/>
    </row>
    <row r="9216" spans="2:13" ht="15" x14ac:dyDescent="0.25">
      <c r="B9216"/>
      <c r="M9216"/>
    </row>
    <row r="9217" spans="2:13" ht="15" x14ac:dyDescent="0.25">
      <c r="B9217"/>
      <c r="M9217"/>
    </row>
    <row r="9218" spans="2:13" ht="15" x14ac:dyDescent="0.25">
      <c r="B9218"/>
      <c r="M9218"/>
    </row>
    <row r="9219" spans="2:13" ht="15" x14ac:dyDescent="0.25">
      <c r="B9219"/>
      <c r="M9219"/>
    </row>
    <row r="9220" spans="2:13" ht="15" x14ac:dyDescent="0.25">
      <c r="B9220"/>
      <c r="M9220"/>
    </row>
    <row r="9221" spans="2:13" ht="15" x14ac:dyDescent="0.25">
      <c r="B9221"/>
      <c r="M9221"/>
    </row>
    <row r="9222" spans="2:13" ht="15" x14ac:dyDescent="0.25">
      <c r="B9222"/>
      <c r="M9222"/>
    </row>
    <row r="9223" spans="2:13" ht="15" x14ac:dyDescent="0.25">
      <c r="B9223"/>
      <c r="M9223"/>
    </row>
    <row r="9224" spans="2:13" ht="15" x14ac:dyDescent="0.25">
      <c r="B9224"/>
      <c r="M9224"/>
    </row>
    <row r="9225" spans="2:13" ht="15" x14ac:dyDescent="0.25">
      <c r="B9225"/>
      <c r="M9225"/>
    </row>
    <row r="9226" spans="2:13" ht="15" x14ac:dyDescent="0.25">
      <c r="B9226"/>
      <c r="M9226"/>
    </row>
    <row r="9227" spans="2:13" ht="15" x14ac:dyDescent="0.25">
      <c r="B9227"/>
      <c r="M9227"/>
    </row>
    <row r="9228" spans="2:13" ht="15" x14ac:dyDescent="0.25">
      <c r="B9228"/>
      <c r="M9228"/>
    </row>
    <row r="9229" spans="2:13" ht="15" x14ac:dyDescent="0.25">
      <c r="B9229"/>
      <c r="M9229"/>
    </row>
    <row r="9230" spans="2:13" ht="15" x14ac:dyDescent="0.25">
      <c r="B9230"/>
      <c r="M9230"/>
    </row>
    <row r="9231" spans="2:13" ht="15" x14ac:dyDescent="0.25">
      <c r="B9231"/>
      <c r="M9231"/>
    </row>
    <row r="9232" spans="2:13" ht="15" x14ac:dyDescent="0.25">
      <c r="B9232"/>
      <c r="M9232"/>
    </row>
    <row r="9233" spans="2:13" ht="15" x14ac:dyDescent="0.25">
      <c r="B9233"/>
      <c r="M9233"/>
    </row>
    <row r="9234" spans="2:13" ht="15" x14ac:dyDescent="0.25">
      <c r="B9234"/>
      <c r="M9234"/>
    </row>
    <row r="9235" spans="2:13" ht="15" x14ac:dyDescent="0.25">
      <c r="B9235"/>
      <c r="M9235"/>
    </row>
    <row r="9236" spans="2:13" ht="15" x14ac:dyDescent="0.25">
      <c r="B9236"/>
      <c r="M9236"/>
    </row>
    <row r="9237" spans="2:13" ht="15" x14ac:dyDescent="0.25">
      <c r="B9237"/>
      <c r="M9237"/>
    </row>
    <row r="9238" spans="2:13" ht="15" x14ac:dyDescent="0.25">
      <c r="B9238"/>
      <c r="M9238"/>
    </row>
    <row r="9239" spans="2:13" ht="15" x14ac:dyDescent="0.25">
      <c r="B9239"/>
      <c r="M9239"/>
    </row>
    <row r="9240" spans="2:13" ht="15" x14ac:dyDescent="0.25">
      <c r="B9240"/>
      <c r="M9240"/>
    </row>
    <row r="9241" spans="2:13" ht="15" x14ac:dyDescent="0.25">
      <c r="B9241"/>
      <c r="M9241"/>
    </row>
    <row r="9242" spans="2:13" ht="15" x14ac:dyDescent="0.25">
      <c r="B9242"/>
      <c r="M9242"/>
    </row>
    <row r="9243" spans="2:13" ht="15" x14ac:dyDescent="0.25">
      <c r="B9243"/>
      <c r="M9243"/>
    </row>
    <row r="9244" spans="2:13" ht="15" x14ac:dyDescent="0.25">
      <c r="B9244"/>
      <c r="M9244"/>
    </row>
    <row r="9245" spans="2:13" ht="15" x14ac:dyDescent="0.25">
      <c r="B9245"/>
      <c r="M9245"/>
    </row>
    <row r="9246" spans="2:13" ht="15" x14ac:dyDescent="0.25">
      <c r="B9246"/>
      <c r="M9246"/>
    </row>
    <row r="9247" spans="2:13" ht="15" x14ac:dyDescent="0.25">
      <c r="B9247"/>
      <c r="M9247"/>
    </row>
    <row r="9248" spans="2:13" ht="15" x14ac:dyDescent="0.25">
      <c r="B9248"/>
      <c r="M9248"/>
    </row>
    <row r="9249" spans="2:13" ht="15" x14ac:dyDescent="0.25">
      <c r="B9249"/>
      <c r="M9249"/>
    </row>
    <row r="9250" spans="2:13" ht="15" x14ac:dyDescent="0.25">
      <c r="B9250"/>
      <c r="M9250"/>
    </row>
    <row r="9251" spans="2:13" ht="15" x14ac:dyDescent="0.25">
      <c r="B9251"/>
      <c r="M9251"/>
    </row>
    <row r="9252" spans="2:13" ht="15" x14ac:dyDescent="0.25">
      <c r="B9252"/>
      <c r="M9252"/>
    </row>
    <row r="9253" spans="2:13" ht="15" x14ac:dyDescent="0.25">
      <c r="B9253"/>
      <c r="M9253"/>
    </row>
    <row r="9254" spans="2:13" ht="15" x14ac:dyDescent="0.25">
      <c r="B9254"/>
      <c r="M9254"/>
    </row>
    <row r="9255" spans="2:13" ht="15" x14ac:dyDescent="0.25">
      <c r="B9255"/>
      <c r="M9255"/>
    </row>
    <row r="9256" spans="2:13" ht="15" x14ac:dyDescent="0.25">
      <c r="B9256"/>
      <c r="M9256"/>
    </row>
    <row r="9257" spans="2:13" ht="15" x14ac:dyDescent="0.25">
      <c r="B9257"/>
      <c r="M9257"/>
    </row>
    <row r="9258" spans="2:13" ht="15" x14ac:dyDescent="0.25">
      <c r="B9258"/>
      <c r="M9258"/>
    </row>
    <row r="9259" spans="2:13" ht="15" x14ac:dyDescent="0.25">
      <c r="B9259"/>
      <c r="M9259"/>
    </row>
    <row r="9260" spans="2:13" ht="15" x14ac:dyDescent="0.25">
      <c r="B9260"/>
      <c r="M9260"/>
    </row>
    <row r="9261" spans="2:13" ht="15" x14ac:dyDescent="0.25">
      <c r="B9261"/>
      <c r="M9261"/>
    </row>
    <row r="9262" spans="2:13" ht="15" x14ac:dyDescent="0.25">
      <c r="B9262"/>
      <c r="M9262"/>
    </row>
    <row r="9263" spans="2:13" ht="15" x14ac:dyDescent="0.25">
      <c r="B9263"/>
      <c r="M9263"/>
    </row>
    <row r="9264" spans="2:13" ht="15" x14ac:dyDescent="0.25">
      <c r="B9264"/>
      <c r="M9264"/>
    </row>
    <row r="9265" spans="2:13" ht="15" x14ac:dyDescent="0.25">
      <c r="B9265"/>
      <c r="M9265"/>
    </row>
    <row r="9266" spans="2:13" ht="15" x14ac:dyDescent="0.25">
      <c r="B9266"/>
      <c r="M9266"/>
    </row>
    <row r="9267" spans="2:13" ht="15" x14ac:dyDescent="0.25">
      <c r="B9267"/>
      <c r="M9267"/>
    </row>
    <row r="9268" spans="2:13" ht="15" x14ac:dyDescent="0.25">
      <c r="B9268"/>
      <c r="M9268"/>
    </row>
    <row r="9269" spans="2:13" ht="15" x14ac:dyDescent="0.25">
      <c r="B9269"/>
      <c r="M9269"/>
    </row>
    <row r="9270" spans="2:13" ht="15" x14ac:dyDescent="0.25">
      <c r="B9270"/>
      <c r="M9270"/>
    </row>
    <row r="9271" spans="2:13" ht="15" x14ac:dyDescent="0.25">
      <c r="B9271"/>
      <c r="M9271"/>
    </row>
    <row r="9272" spans="2:13" ht="15" x14ac:dyDescent="0.25">
      <c r="B9272"/>
      <c r="M9272"/>
    </row>
    <row r="9273" spans="2:13" ht="15" x14ac:dyDescent="0.25">
      <c r="B9273"/>
      <c r="M9273"/>
    </row>
    <row r="9274" spans="2:13" ht="15" x14ac:dyDescent="0.25">
      <c r="B9274"/>
      <c r="M9274"/>
    </row>
    <row r="9275" spans="2:13" ht="15" x14ac:dyDescent="0.25">
      <c r="B9275"/>
      <c r="M9275"/>
    </row>
    <row r="9276" spans="2:13" ht="15" x14ac:dyDescent="0.25">
      <c r="B9276"/>
      <c r="M9276"/>
    </row>
    <row r="9277" spans="2:13" ht="15" x14ac:dyDescent="0.25">
      <c r="B9277"/>
      <c r="M9277"/>
    </row>
    <row r="9278" spans="2:13" ht="15" x14ac:dyDescent="0.25">
      <c r="B9278"/>
      <c r="M9278"/>
    </row>
    <row r="9279" spans="2:13" ht="15" x14ac:dyDescent="0.25">
      <c r="B9279"/>
      <c r="M9279"/>
    </row>
    <row r="9280" spans="2:13" ht="15" x14ac:dyDescent="0.25">
      <c r="B9280"/>
      <c r="M9280"/>
    </row>
    <row r="9281" spans="2:13" ht="15" x14ac:dyDescent="0.25">
      <c r="B9281"/>
      <c r="M9281"/>
    </row>
    <row r="9282" spans="2:13" ht="15" x14ac:dyDescent="0.25">
      <c r="B9282"/>
      <c r="M9282"/>
    </row>
    <row r="9283" spans="2:13" ht="15" x14ac:dyDescent="0.25">
      <c r="B9283"/>
      <c r="M9283"/>
    </row>
    <row r="9284" spans="2:13" ht="15" x14ac:dyDescent="0.25">
      <c r="B9284"/>
      <c r="M9284"/>
    </row>
    <row r="9285" spans="2:13" ht="15" x14ac:dyDescent="0.25">
      <c r="B9285"/>
      <c r="M9285"/>
    </row>
    <row r="9286" spans="2:13" ht="15" x14ac:dyDescent="0.25">
      <c r="B9286"/>
      <c r="M9286"/>
    </row>
    <row r="9287" spans="2:13" ht="15" x14ac:dyDescent="0.25">
      <c r="B9287"/>
      <c r="M9287"/>
    </row>
    <row r="9288" spans="2:13" ht="15" x14ac:dyDescent="0.25">
      <c r="B9288"/>
      <c r="M9288"/>
    </row>
    <row r="9289" spans="2:13" ht="15" x14ac:dyDescent="0.25">
      <c r="B9289"/>
      <c r="M9289"/>
    </row>
    <row r="9290" spans="2:13" ht="15" x14ac:dyDescent="0.25">
      <c r="B9290"/>
      <c r="M9290"/>
    </row>
    <row r="9291" spans="2:13" ht="15" x14ac:dyDescent="0.25">
      <c r="B9291"/>
      <c r="M9291"/>
    </row>
    <row r="9292" spans="2:13" ht="15" x14ac:dyDescent="0.25">
      <c r="B9292"/>
      <c r="M9292"/>
    </row>
    <row r="9293" spans="2:13" ht="15" x14ac:dyDescent="0.25">
      <c r="B9293"/>
      <c r="M9293"/>
    </row>
    <row r="9294" spans="2:13" ht="15" x14ac:dyDescent="0.25">
      <c r="B9294"/>
      <c r="M9294"/>
    </row>
    <row r="9295" spans="2:13" ht="15" x14ac:dyDescent="0.25">
      <c r="B9295"/>
      <c r="M9295"/>
    </row>
    <row r="9296" spans="2:13" ht="15" x14ac:dyDescent="0.25">
      <c r="B9296"/>
      <c r="M9296"/>
    </row>
    <row r="9297" spans="2:13" ht="15" x14ac:dyDescent="0.25">
      <c r="B9297"/>
      <c r="M9297"/>
    </row>
    <row r="9298" spans="2:13" ht="15" x14ac:dyDescent="0.25">
      <c r="B9298"/>
      <c r="M9298"/>
    </row>
    <row r="9299" spans="2:13" ht="15" x14ac:dyDescent="0.25">
      <c r="B9299"/>
      <c r="M9299"/>
    </row>
    <row r="9300" spans="2:13" ht="15" x14ac:dyDescent="0.25">
      <c r="B9300"/>
      <c r="M9300"/>
    </row>
    <row r="9301" spans="2:13" ht="15" x14ac:dyDescent="0.25">
      <c r="B9301"/>
      <c r="M9301"/>
    </row>
    <row r="9302" spans="2:13" ht="15" x14ac:dyDescent="0.25">
      <c r="B9302"/>
      <c r="M9302"/>
    </row>
    <row r="9303" spans="2:13" ht="15" x14ac:dyDescent="0.25">
      <c r="B9303"/>
      <c r="M9303"/>
    </row>
    <row r="9304" spans="2:13" ht="15" x14ac:dyDescent="0.25">
      <c r="B9304"/>
      <c r="M9304"/>
    </row>
    <row r="9305" spans="2:13" ht="15" x14ac:dyDescent="0.25">
      <c r="B9305"/>
      <c r="M9305"/>
    </row>
    <row r="9306" spans="2:13" ht="15" x14ac:dyDescent="0.25">
      <c r="B9306"/>
      <c r="M9306"/>
    </row>
    <row r="9307" spans="2:13" ht="15" x14ac:dyDescent="0.25">
      <c r="B9307"/>
      <c r="M9307"/>
    </row>
    <row r="9308" spans="2:13" ht="15" x14ac:dyDescent="0.25">
      <c r="B9308"/>
      <c r="M9308"/>
    </row>
    <row r="9309" spans="2:13" ht="15" x14ac:dyDescent="0.25">
      <c r="B9309"/>
      <c r="M9309"/>
    </row>
    <row r="9310" spans="2:13" ht="15" x14ac:dyDescent="0.25">
      <c r="B9310"/>
      <c r="M9310"/>
    </row>
    <row r="9311" spans="2:13" ht="15" x14ac:dyDescent="0.25">
      <c r="B9311"/>
      <c r="M9311"/>
    </row>
    <row r="9312" spans="2:13" ht="15" x14ac:dyDescent="0.25">
      <c r="B9312"/>
      <c r="M9312"/>
    </row>
    <row r="9313" spans="2:13" ht="15" x14ac:dyDescent="0.25">
      <c r="B9313"/>
      <c r="M9313"/>
    </row>
    <row r="9314" spans="2:13" ht="15" x14ac:dyDescent="0.25">
      <c r="B9314"/>
      <c r="M9314"/>
    </row>
    <row r="9315" spans="2:13" ht="15" x14ac:dyDescent="0.25">
      <c r="B9315"/>
      <c r="M9315"/>
    </row>
    <row r="9316" spans="2:13" ht="15" x14ac:dyDescent="0.25">
      <c r="B9316"/>
      <c r="M9316"/>
    </row>
    <row r="9317" spans="2:13" ht="15" x14ac:dyDescent="0.25">
      <c r="B9317"/>
      <c r="M9317"/>
    </row>
    <row r="9318" spans="2:13" ht="15" x14ac:dyDescent="0.25">
      <c r="B9318"/>
      <c r="M9318"/>
    </row>
    <row r="9319" spans="2:13" ht="15" x14ac:dyDescent="0.25">
      <c r="B9319"/>
      <c r="M9319"/>
    </row>
    <row r="9320" spans="2:13" ht="15" x14ac:dyDescent="0.25">
      <c r="B9320"/>
      <c r="M9320"/>
    </row>
    <row r="9321" spans="2:13" ht="15" x14ac:dyDescent="0.25">
      <c r="B9321"/>
      <c r="M9321"/>
    </row>
    <row r="9322" spans="2:13" ht="15" x14ac:dyDescent="0.25">
      <c r="B9322"/>
      <c r="M9322"/>
    </row>
    <row r="9323" spans="2:13" ht="15" x14ac:dyDescent="0.25">
      <c r="B9323"/>
      <c r="M9323"/>
    </row>
    <row r="9324" spans="2:13" ht="15" x14ac:dyDescent="0.25">
      <c r="B9324"/>
      <c r="M9324"/>
    </row>
    <row r="9325" spans="2:13" ht="15" x14ac:dyDescent="0.25">
      <c r="B9325"/>
      <c r="M9325"/>
    </row>
    <row r="9326" spans="2:13" ht="15" x14ac:dyDescent="0.25">
      <c r="B9326"/>
      <c r="M9326"/>
    </row>
    <row r="9327" spans="2:13" ht="15" x14ac:dyDescent="0.25">
      <c r="B9327"/>
      <c r="M9327"/>
    </row>
    <row r="9328" spans="2:13" ht="15" x14ac:dyDescent="0.25">
      <c r="B9328"/>
      <c r="M9328"/>
    </row>
    <row r="9329" spans="2:13" ht="15" x14ac:dyDescent="0.25">
      <c r="B9329"/>
      <c r="M9329"/>
    </row>
    <row r="9330" spans="2:13" ht="15" x14ac:dyDescent="0.25">
      <c r="B9330"/>
      <c r="M9330"/>
    </row>
    <row r="9331" spans="2:13" ht="15" x14ac:dyDescent="0.25">
      <c r="B9331"/>
      <c r="M9331"/>
    </row>
    <row r="9332" spans="2:13" ht="15" x14ac:dyDescent="0.25">
      <c r="B9332"/>
      <c r="M9332"/>
    </row>
    <row r="9333" spans="2:13" ht="15" x14ac:dyDescent="0.25">
      <c r="B9333"/>
      <c r="M9333"/>
    </row>
    <row r="9334" spans="2:13" ht="15" x14ac:dyDescent="0.25">
      <c r="B9334"/>
      <c r="M9334"/>
    </row>
    <row r="9335" spans="2:13" ht="15" x14ac:dyDescent="0.25">
      <c r="B9335"/>
      <c r="M9335"/>
    </row>
    <row r="9336" spans="2:13" ht="15" x14ac:dyDescent="0.25">
      <c r="B9336"/>
      <c r="M9336"/>
    </row>
    <row r="9337" spans="2:13" ht="15" x14ac:dyDescent="0.25">
      <c r="B9337"/>
      <c r="M9337"/>
    </row>
    <row r="9338" spans="2:13" ht="15" x14ac:dyDescent="0.25">
      <c r="B9338"/>
      <c r="M9338"/>
    </row>
    <row r="9339" spans="2:13" ht="15" x14ac:dyDescent="0.25">
      <c r="B9339"/>
      <c r="M9339"/>
    </row>
    <row r="9340" spans="2:13" ht="15" x14ac:dyDescent="0.25">
      <c r="B9340"/>
      <c r="M9340"/>
    </row>
    <row r="9341" spans="2:13" ht="15" x14ac:dyDescent="0.25">
      <c r="B9341"/>
      <c r="M9341"/>
    </row>
    <row r="9342" spans="2:13" ht="15" x14ac:dyDescent="0.25">
      <c r="B9342"/>
      <c r="M9342"/>
    </row>
    <row r="9343" spans="2:13" ht="15" x14ac:dyDescent="0.25">
      <c r="B9343"/>
      <c r="M9343"/>
    </row>
    <row r="9344" spans="2:13" ht="15" x14ac:dyDescent="0.25">
      <c r="B9344"/>
      <c r="M9344"/>
    </row>
    <row r="9345" spans="2:13" ht="15" x14ac:dyDescent="0.25">
      <c r="B9345"/>
      <c r="M9345"/>
    </row>
    <row r="9346" spans="2:13" ht="15" x14ac:dyDescent="0.25">
      <c r="B9346"/>
      <c r="M9346"/>
    </row>
    <row r="9347" spans="2:13" ht="15" x14ac:dyDescent="0.25">
      <c r="B9347"/>
      <c r="M9347"/>
    </row>
    <row r="9348" spans="2:13" ht="15" x14ac:dyDescent="0.25">
      <c r="B9348"/>
      <c r="M9348"/>
    </row>
    <row r="9349" spans="2:13" ht="15" x14ac:dyDescent="0.25">
      <c r="B9349"/>
      <c r="M9349"/>
    </row>
    <row r="9350" spans="2:13" ht="15" x14ac:dyDescent="0.25">
      <c r="B9350"/>
      <c r="M9350"/>
    </row>
    <row r="9351" spans="2:13" ht="15" x14ac:dyDescent="0.25">
      <c r="B9351"/>
      <c r="M9351"/>
    </row>
    <row r="9352" spans="2:13" ht="15" x14ac:dyDescent="0.25">
      <c r="B9352"/>
      <c r="M9352"/>
    </row>
    <row r="9353" spans="2:13" ht="15" x14ac:dyDescent="0.25">
      <c r="B9353"/>
      <c r="M9353"/>
    </row>
    <row r="9354" spans="2:13" ht="15" x14ac:dyDescent="0.25">
      <c r="B9354"/>
      <c r="M9354"/>
    </row>
    <row r="9355" spans="2:13" ht="15" x14ac:dyDescent="0.25">
      <c r="B9355"/>
      <c r="M9355"/>
    </row>
    <row r="9356" spans="2:13" ht="15" x14ac:dyDescent="0.25">
      <c r="B9356"/>
      <c r="M9356"/>
    </row>
    <row r="9357" spans="2:13" ht="15" x14ac:dyDescent="0.25">
      <c r="B9357"/>
      <c r="M9357"/>
    </row>
    <row r="9358" spans="2:13" ht="15" x14ac:dyDescent="0.25">
      <c r="B9358"/>
      <c r="M9358"/>
    </row>
    <row r="9359" spans="2:13" ht="15" x14ac:dyDescent="0.25">
      <c r="B9359"/>
      <c r="M9359"/>
    </row>
    <row r="9360" spans="2:13" ht="15" x14ac:dyDescent="0.25">
      <c r="B9360"/>
      <c r="M9360"/>
    </row>
    <row r="9361" spans="2:13" ht="15" x14ac:dyDescent="0.25">
      <c r="B9361"/>
      <c r="M9361"/>
    </row>
    <row r="9362" spans="2:13" ht="15" x14ac:dyDescent="0.25">
      <c r="B9362"/>
      <c r="M9362"/>
    </row>
    <row r="9363" spans="2:13" ht="15" x14ac:dyDescent="0.25">
      <c r="B9363"/>
      <c r="M9363"/>
    </row>
    <row r="9364" spans="2:13" ht="15" x14ac:dyDescent="0.25">
      <c r="B9364"/>
      <c r="M9364"/>
    </row>
    <row r="9365" spans="2:13" ht="15" x14ac:dyDescent="0.25">
      <c r="B9365"/>
      <c r="M9365"/>
    </row>
    <row r="9366" spans="2:13" ht="15" x14ac:dyDescent="0.25">
      <c r="B9366"/>
      <c r="M9366"/>
    </row>
    <row r="9367" spans="2:13" ht="15" x14ac:dyDescent="0.25">
      <c r="B9367"/>
      <c r="M9367"/>
    </row>
    <row r="9368" spans="2:13" ht="15" x14ac:dyDescent="0.25">
      <c r="B9368"/>
      <c r="M9368"/>
    </row>
    <row r="9369" spans="2:13" ht="15" x14ac:dyDescent="0.25">
      <c r="B9369"/>
      <c r="M9369"/>
    </row>
    <row r="9370" spans="2:13" ht="15" x14ac:dyDescent="0.25">
      <c r="B9370"/>
      <c r="M9370"/>
    </row>
    <row r="9371" spans="2:13" ht="15" x14ac:dyDescent="0.25">
      <c r="B9371"/>
      <c r="M9371"/>
    </row>
    <row r="9372" spans="2:13" ht="15" x14ac:dyDescent="0.25">
      <c r="B9372"/>
      <c r="M9372"/>
    </row>
    <row r="9373" spans="2:13" ht="15" x14ac:dyDescent="0.25">
      <c r="B9373"/>
      <c r="M9373"/>
    </row>
    <row r="9374" spans="2:13" ht="15" x14ac:dyDescent="0.25">
      <c r="B9374"/>
      <c r="M9374"/>
    </row>
    <row r="9375" spans="2:13" ht="15" x14ac:dyDescent="0.25">
      <c r="B9375"/>
      <c r="M9375"/>
    </row>
    <row r="9376" spans="2:13" ht="15" x14ac:dyDescent="0.25">
      <c r="B9376"/>
      <c r="M9376"/>
    </row>
    <row r="9377" spans="2:13" ht="15" x14ac:dyDescent="0.25">
      <c r="B9377"/>
      <c r="M9377"/>
    </row>
    <row r="9378" spans="2:13" ht="15" x14ac:dyDescent="0.25">
      <c r="B9378"/>
      <c r="M9378"/>
    </row>
    <row r="9379" spans="2:13" ht="15" x14ac:dyDescent="0.25">
      <c r="B9379"/>
      <c r="M9379"/>
    </row>
    <row r="9380" spans="2:13" ht="15" x14ac:dyDescent="0.25">
      <c r="B9380"/>
      <c r="M9380"/>
    </row>
    <row r="9381" spans="2:13" ht="15" x14ac:dyDescent="0.25">
      <c r="B9381"/>
      <c r="M9381"/>
    </row>
    <row r="9382" spans="2:13" ht="15" x14ac:dyDescent="0.25">
      <c r="B9382"/>
      <c r="M9382"/>
    </row>
    <row r="9383" spans="2:13" ht="15" x14ac:dyDescent="0.25">
      <c r="B9383"/>
      <c r="M9383"/>
    </row>
    <row r="9384" spans="2:13" ht="15" x14ac:dyDescent="0.25">
      <c r="B9384"/>
      <c r="M9384"/>
    </row>
    <row r="9385" spans="2:13" ht="15" x14ac:dyDescent="0.25">
      <c r="B9385"/>
      <c r="M9385"/>
    </row>
    <row r="9386" spans="2:13" ht="15" x14ac:dyDescent="0.25">
      <c r="B9386"/>
      <c r="M9386"/>
    </row>
    <row r="9387" spans="2:13" ht="15" x14ac:dyDescent="0.25">
      <c r="B9387"/>
      <c r="M9387"/>
    </row>
    <row r="9388" spans="2:13" ht="15" x14ac:dyDescent="0.25">
      <c r="B9388"/>
      <c r="M9388"/>
    </row>
    <row r="9389" spans="2:13" ht="15" x14ac:dyDescent="0.25">
      <c r="B9389"/>
      <c r="M9389"/>
    </row>
    <row r="9390" spans="2:13" ht="15" x14ac:dyDescent="0.25">
      <c r="B9390"/>
      <c r="M9390"/>
    </row>
    <row r="9391" spans="2:13" ht="15" x14ac:dyDescent="0.25">
      <c r="B9391"/>
      <c r="M9391"/>
    </row>
    <row r="9392" spans="2:13" ht="15" x14ac:dyDescent="0.25">
      <c r="B9392"/>
      <c r="M9392"/>
    </row>
    <row r="9393" spans="2:13" ht="15" x14ac:dyDescent="0.25">
      <c r="B9393"/>
      <c r="M9393"/>
    </row>
    <row r="9394" spans="2:13" ht="15" x14ac:dyDescent="0.25">
      <c r="B9394"/>
      <c r="M9394"/>
    </row>
    <row r="9395" spans="2:13" ht="15" x14ac:dyDescent="0.25">
      <c r="B9395"/>
      <c r="M9395"/>
    </row>
    <row r="9396" spans="2:13" ht="15" x14ac:dyDescent="0.25">
      <c r="B9396"/>
      <c r="M9396"/>
    </row>
    <row r="9397" spans="2:13" ht="15" x14ac:dyDescent="0.25">
      <c r="B9397"/>
      <c r="M9397"/>
    </row>
    <row r="9398" spans="2:13" ht="15" x14ac:dyDescent="0.25">
      <c r="B9398"/>
      <c r="M9398"/>
    </row>
    <row r="9399" spans="2:13" ht="15" x14ac:dyDescent="0.25">
      <c r="B9399"/>
      <c r="M9399"/>
    </row>
    <row r="9400" spans="2:13" ht="15" x14ac:dyDescent="0.25">
      <c r="B9400"/>
      <c r="M9400"/>
    </row>
    <row r="9401" spans="2:13" ht="15" x14ac:dyDescent="0.25">
      <c r="B9401"/>
      <c r="M9401"/>
    </row>
    <row r="9402" spans="2:13" ht="15" x14ac:dyDescent="0.25">
      <c r="B9402"/>
      <c r="M9402"/>
    </row>
    <row r="9403" spans="2:13" ht="15" x14ac:dyDescent="0.25">
      <c r="B9403"/>
      <c r="M9403"/>
    </row>
    <row r="9404" spans="2:13" ht="15" x14ac:dyDescent="0.25">
      <c r="B9404"/>
      <c r="M9404"/>
    </row>
    <row r="9405" spans="2:13" ht="15" x14ac:dyDescent="0.25">
      <c r="B9405"/>
      <c r="M9405"/>
    </row>
    <row r="9406" spans="2:13" ht="15" x14ac:dyDescent="0.25">
      <c r="B9406"/>
      <c r="M9406"/>
    </row>
    <row r="9407" spans="2:13" ht="15" x14ac:dyDescent="0.25">
      <c r="B9407"/>
      <c r="M9407"/>
    </row>
    <row r="9408" spans="2:13" ht="15" x14ac:dyDescent="0.25">
      <c r="B9408"/>
      <c r="M9408"/>
    </row>
    <row r="9409" spans="2:13" ht="15" x14ac:dyDescent="0.25">
      <c r="B9409"/>
      <c r="M9409"/>
    </row>
    <row r="9410" spans="2:13" ht="15" x14ac:dyDescent="0.25">
      <c r="B9410"/>
      <c r="M9410"/>
    </row>
    <row r="9411" spans="2:13" ht="15" x14ac:dyDescent="0.25">
      <c r="B9411"/>
      <c r="M9411"/>
    </row>
    <row r="9412" spans="2:13" ht="15" x14ac:dyDescent="0.25">
      <c r="B9412"/>
      <c r="M9412"/>
    </row>
    <row r="9413" spans="2:13" ht="15" x14ac:dyDescent="0.25">
      <c r="B9413"/>
      <c r="M9413"/>
    </row>
    <row r="9414" spans="2:13" ht="15" x14ac:dyDescent="0.25">
      <c r="B9414"/>
      <c r="M9414"/>
    </row>
    <row r="9415" spans="2:13" ht="15" x14ac:dyDescent="0.25">
      <c r="B9415"/>
      <c r="M9415"/>
    </row>
    <row r="9416" spans="2:13" ht="15" x14ac:dyDescent="0.25">
      <c r="B9416"/>
      <c r="M9416"/>
    </row>
    <row r="9417" spans="2:13" ht="15" x14ac:dyDescent="0.25">
      <c r="B9417"/>
      <c r="M9417"/>
    </row>
    <row r="9418" spans="2:13" ht="15" x14ac:dyDescent="0.25">
      <c r="B9418"/>
      <c r="M9418"/>
    </row>
    <row r="9419" spans="2:13" ht="15" x14ac:dyDescent="0.25">
      <c r="B9419"/>
      <c r="M9419"/>
    </row>
    <row r="9420" spans="2:13" ht="15" x14ac:dyDescent="0.25">
      <c r="B9420"/>
      <c r="M9420"/>
    </row>
    <row r="9421" spans="2:13" ht="15" x14ac:dyDescent="0.25">
      <c r="B9421"/>
      <c r="M9421"/>
    </row>
    <row r="9422" spans="2:13" ht="15" x14ac:dyDescent="0.25">
      <c r="B9422"/>
      <c r="M9422"/>
    </row>
    <row r="9423" spans="2:13" ht="15" x14ac:dyDescent="0.25">
      <c r="B9423"/>
      <c r="M9423"/>
    </row>
    <row r="9424" spans="2:13" ht="15" x14ac:dyDescent="0.25">
      <c r="B9424"/>
      <c r="M9424"/>
    </row>
    <row r="9425" spans="2:13" ht="15" x14ac:dyDescent="0.25">
      <c r="B9425"/>
      <c r="M9425"/>
    </row>
    <row r="9426" spans="2:13" ht="15" x14ac:dyDescent="0.25">
      <c r="B9426"/>
      <c r="M9426"/>
    </row>
    <row r="9427" spans="2:13" ht="15" x14ac:dyDescent="0.25">
      <c r="B9427"/>
      <c r="M9427"/>
    </row>
    <row r="9428" spans="2:13" ht="15" x14ac:dyDescent="0.25">
      <c r="B9428"/>
      <c r="M9428"/>
    </row>
    <row r="9429" spans="2:13" ht="15" x14ac:dyDescent="0.25">
      <c r="B9429"/>
      <c r="M9429"/>
    </row>
    <row r="9430" spans="2:13" ht="15" x14ac:dyDescent="0.25">
      <c r="B9430"/>
      <c r="M9430"/>
    </row>
    <row r="9431" spans="2:13" ht="15" x14ac:dyDescent="0.25">
      <c r="B9431"/>
      <c r="M9431"/>
    </row>
    <row r="9432" spans="2:13" ht="15" x14ac:dyDescent="0.25">
      <c r="B9432"/>
      <c r="M9432"/>
    </row>
    <row r="9433" spans="2:13" ht="15" x14ac:dyDescent="0.25">
      <c r="B9433"/>
      <c r="M9433"/>
    </row>
    <row r="9434" spans="2:13" ht="15" x14ac:dyDescent="0.25">
      <c r="B9434"/>
      <c r="M9434"/>
    </row>
    <row r="9435" spans="2:13" ht="15" x14ac:dyDescent="0.25">
      <c r="B9435"/>
      <c r="M9435"/>
    </row>
    <row r="9436" spans="2:13" ht="15" x14ac:dyDescent="0.25">
      <c r="B9436"/>
      <c r="M9436"/>
    </row>
    <row r="9437" spans="2:13" ht="15" x14ac:dyDescent="0.25">
      <c r="B9437"/>
      <c r="M9437"/>
    </row>
    <row r="9438" spans="2:13" ht="15" x14ac:dyDescent="0.25">
      <c r="B9438"/>
      <c r="M9438"/>
    </row>
    <row r="9439" spans="2:13" ht="15" x14ac:dyDescent="0.25">
      <c r="B9439"/>
      <c r="M9439"/>
    </row>
    <row r="9440" spans="2:13" ht="15" x14ac:dyDescent="0.25">
      <c r="B9440"/>
      <c r="M9440"/>
    </row>
    <row r="9441" spans="2:13" ht="15" x14ac:dyDescent="0.25">
      <c r="B9441"/>
      <c r="M9441"/>
    </row>
    <row r="9442" spans="2:13" ht="15" x14ac:dyDescent="0.25">
      <c r="B9442"/>
      <c r="M9442"/>
    </row>
    <row r="9443" spans="2:13" ht="15" x14ac:dyDescent="0.25">
      <c r="B9443"/>
      <c r="M9443"/>
    </row>
    <row r="9444" spans="2:13" ht="15" x14ac:dyDescent="0.25">
      <c r="B9444"/>
      <c r="M9444"/>
    </row>
    <row r="9445" spans="2:13" ht="15" x14ac:dyDescent="0.25">
      <c r="B9445"/>
      <c r="M9445"/>
    </row>
    <row r="9446" spans="2:13" ht="15" x14ac:dyDescent="0.25">
      <c r="B9446"/>
      <c r="M9446"/>
    </row>
    <row r="9447" spans="2:13" ht="15" x14ac:dyDescent="0.25">
      <c r="B9447"/>
      <c r="M9447"/>
    </row>
    <row r="9448" spans="2:13" ht="15" x14ac:dyDescent="0.25">
      <c r="B9448"/>
      <c r="M9448"/>
    </row>
    <row r="9449" spans="2:13" ht="15" x14ac:dyDescent="0.25">
      <c r="B9449"/>
      <c r="M9449"/>
    </row>
    <row r="9450" spans="2:13" ht="15" x14ac:dyDescent="0.25">
      <c r="B9450"/>
      <c r="M9450"/>
    </row>
    <row r="9451" spans="2:13" ht="15" x14ac:dyDescent="0.25">
      <c r="B9451"/>
      <c r="M9451"/>
    </row>
    <row r="9452" spans="2:13" ht="15" x14ac:dyDescent="0.25">
      <c r="B9452"/>
      <c r="M9452"/>
    </row>
    <row r="9453" spans="2:13" ht="15" x14ac:dyDescent="0.25">
      <c r="B9453"/>
      <c r="M9453"/>
    </row>
    <row r="9454" spans="2:13" ht="15" x14ac:dyDescent="0.25">
      <c r="B9454"/>
      <c r="M9454"/>
    </row>
    <row r="9455" spans="2:13" ht="15" x14ac:dyDescent="0.25">
      <c r="B9455"/>
      <c r="M9455"/>
    </row>
    <row r="9456" spans="2:13" ht="15" x14ac:dyDescent="0.25">
      <c r="B9456"/>
      <c r="M9456"/>
    </row>
    <row r="9457" spans="2:13" ht="15" x14ac:dyDescent="0.25">
      <c r="B9457"/>
      <c r="M9457"/>
    </row>
    <row r="9458" spans="2:13" ht="15" x14ac:dyDescent="0.25">
      <c r="B9458"/>
      <c r="M9458"/>
    </row>
    <row r="9459" spans="2:13" ht="15" x14ac:dyDescent="0.25">
      <c r="B9459"/>
      <c r="M9459"/>
    </row>
    <row r="9460" spans="2:13" ht="15" x14ac:dyDescent="0.25">
      <c r="B9460"/>
      <c r="M9460"/>
    </row>
    <row r="9461" spans="2:13" ht="15" x14ac:dyDescent="0.25">
      <c r="B9461"/>
      <c r="M9461"/>
    </row>
    <row r="9462" spans="2:13" ht="15" x14ac:dyDescent="0.25">
      <c r="B9462"/>
      <c r="M9462"/>
    </row>
    <row r="9463" spans="2:13" ht="15" x14ac:dyDescent="0.25">
      <c r="B9463"/>
      <c r="M9463"/>
    </row>
    <row r="9464" spans="2:13" ht="15" x14ac:dyDescent="0.25">
      <c r="B9464"/>
      <c r="M9464"/>
    </row>
    <row r="9465" spans="2:13" ht="15" x14ac:dyDescent="0.25">
      <c r="B9465"/>
      <c r="M9465"/>
    </row>
    <row r="9466" spans="2:13" ht="15" x14ac:dyDescent="0.25">
      <c r="B9466"/>
      <c r="M9466"/>
    </row>
    <row r="9467" spans="2:13" ht="15" x14ac:dyDescent="0.25">
      <c r="B9467"/>
      <c r="M9467"/>
    </row>
    <row r="9468" spans="2:13" ht="15" x14ac:dyDescent="0.25">
      <c r="B9468"/>
      <c r="M9468"/>
    </row>
    <row r="9469" spans="2:13" ht="15" x14ac:dyDescent="0.25">
      <c r="B9469"/>
      <c r="M9469"/>
    </row>
    <row r="9470" spans="2:13" ht="15" x14ac:dyDescent="0.25">
      <c r="B9470"/>
      <c r="M9470"/>
    </row>
    <row r="9471" spans="2:13" ht="15" x14ac:dyDescent="0.25">
      <c r="B9471"/>
      <c r="M9471"/>
    </row>
    <row r="9472" spans="2:13" ht="15" x14ac:dyDescent="0.25">
      <c r="B9472"/>
      <c r="M9472"/>
    </row>
    <row r="9473" spans="2:13" ht="15" x14ac:dyDescent="0.25">
      <c r="B9473"/>
      <c r="M9473"/>
    </row>
    <row r="9474" spans="2:13" ht="15" x14ac:dyDescent="0.25">
      <c r="B9474"/>
      <c r="M9474"/>
    </row>
    <row r="9475" spans="2:13" ht="15" x14ac:dyDescent="0.25">
      <c r="B9475"/>
      <c r="M9475"/>
    </row>
    <row r="9476" spans="2:13" ht="15" x14ac:dyDescent="0.25">
      <c r="B9476"/>
      <c r="M9476"/>
    </row>
    <row r="9477" spans="2:13" ht="15" x14ac:dyDescent="0.25">
      <c r="B9477"/>
      <c r="M9477"/>
    </row>
    <row r="9478" spans="2:13" ht="15" x14ac:dyDescent="0.25">
      <c r="B9478"/>
      <c r="M9478"/>
    </row>
    <row r="9479" spans="2:13" ht="15" x14ac:dyDescent="0.25">
      <c r="B9479"/>
      <c r="M9479"/>
    </row>
    <row r="9480" spans="2:13" ht="15" x14ac:dyDescent="0.25">
      <c r="B9480"/>
      <c r="M9480"/>
    </row>
    <row r="9481" spans="2:13" ht="15" x14ac:dyDescent="0.25">
      <c r="B9481"/>
      <c r="M9481"/>
    </row>
    <row r="9482" spans="2:13" ht="15" x14ac:dyDescent="0.25">
      <c r="B9482"/>
      <c r="M9482"/>
    </row>
    <row r="9483" spans="2:13" ht="15" x14ac:dyDescent="0.25">
      <c r="B9483"/>
      <c r="M9483"/>
    </row>
    <row r="9484" spans="2:13" ht="15" x14ac:dyDescent="0.25">
      <c r="B9484"/>
      <c r="M9484"/>
    </row>
    <row r="9485" spans="2:13" ht="15" x14ac:dyDescent="0.25">
      <c r="B9485"/>
      <c r="M9485"/>
    </row>
    <row r="9486" spans="2:13" ht="15" x14ac:dyDescent="0.25">
      <c r="B9486"/>
      <c r="M9486"/>
    </row>
    <row r="9487" spans="2:13" ht="15" x14ac:dyDescent="0.25">
      <c r="B9487"/>
      <c r="M9487"/>
    </row>
    <row r="9488" spans="2:13" ht="15" x14ac:dyDescent="0.25">
      <c r="B9488"/>
      <c r="M9488"/>
    </row>
    <row r="9489" spans="2:13" ht="15" x14ac:dyDescent="0.25">
      <c r="B9489"/>
      <c r="M9489"/>
    </row>
    <row r="9490" spans="2:13" ht="15" x14ac:dyDescent="0.25">
      <c r="B9490"/>
      <c r="M9490"/>
    </row>
    <row r="9491" spans="2:13" ht="15" x14ac:dyDescent="0.25">
      <c r="B9491"/>
      <c r="M9491"/>
    </row>
    <row r="9492" spans="2:13" ht="15" x14ac:dyDescent="0.25">
      <c r="B9492"/>
      <c r="M9492"/>
    </row>
    <row r="9493" spans="2:13" ht="15" x14ac:dyDescent="0.25">
      <c r="B9493"/>
      <c r="M9493"/>
    </row>
    <row r="9494" spans="2:13" ht="15" x14ac:dyDescent="0.25">
      <c r="B9494"/>
      <c r="M9494"/>
    </row>
    <row r="9495" spans="2:13" ht="15" x14ac:dyDescent="0.25">
      <c r="B9495"/>
      <c r="M9495"/>
    </row>
    <row r="9496" spans="2:13" ht="15" x14ac:dyDescent="0.25">
      <c r="B9496"/>
      <c r="M9496"/>
    </row>
    <row r="9497" spans="2:13" ht="15" x14ac:dyDescent="0.25">
      <c r="B9497"/>
      <c r="M9497"/>
    </row>
    <row r="9498" spans="2:13" ht="15" x14ac:dyDescent="0.25">
      <c r="B9498"/>
      <c r="M9498"/>
    </row>
    <row r="9499" spans="2:13" ht="15" x14ac:dyDescent="0.25">
      <c r="B9499"/>
      <c r="M9499"/>
    </row>
    <row r="9500" spans="2:13" ht="15" x14ac:dyDescent="0.25">
      <c r="B9500"/>
      <c r="M9500"/>
    </row>
    <row r="9501" spans="2:13" ht="15" x14ac:dyDescent="0.25">
      <c r="B9501"/>
      <c r="M9501"/>
    </row>
    <row r="9502" spans="2:13" ht="15" x14ac:dyDescent="0.25">
      <c r="B9502"/>
      <c r="M9502"/>
    </row>
    <row r="9503" spans="2:13" ht="15" x14ac:dyDescent="0.25">
      <c r="B9503"/>
      <c r="M9503"/>
    </row>
    <row r="9504" spans="2:13" ht="15" x14ac:dyDescent="0.25">
      <c r="B9504"/>
      <c r="M9504"/>
    </row>
    <row r="9505" spans="2:13" ht="15" x14ac:dyDescent="0.25">
      <c r="B9505"/>
      <c r="M9505"/>
    </row>
    <row r="9506" spans="2:13" ht="15" x14ac:dyDescent="0.25">
      <c r="B9506"/>
      <c r="M9506"/>
    </row>
    <row r="9507" spans="2:13" ht="15" x14ac:dyDescent="0.25">
      <c r="B9507"/>
      <c r="M9507"/>
    </row>
    <row r="9508" spans="2:13" ht="15" x14ac:dyDescent="0.25">
      <c r="B9508"/>
      <c r="M9508"/>
    </row>
    <row r="9509" spans="2:13" ht="15" x14ac:dyDescent="0.25">
      <c r="B9509"/>
      <c r="M9509"/>
    </row>
    <row r="9510" spans="2:13" ht="15" x14ac:dyDescent="0.25">
      <c r="B9510"/>
      <c r="M9510"/>
    </row>
    <row r="9511" spans="2:13" ht="15" x14ac:dyDescent="0.25">
      <c r="B9511"/>
      <c r="M9511"/>
    </row>
    <row r="9512" spans="2:13" ht="15" x14ac:dyDescent="0.25">
      <c r="B9512"/>
      <c r="M9512"/>
    </row>
    <row r="9513" spans="2:13" ht="15" x14ac:dyDescent="0.25">
      <c r="B9513"/>
      <c r="M9513"/>
    </row>
    <row r="9514" spans="2:13" ht="15" x14ac:dyDescent="0.25">
      <c r="B9514"/>
      <c r="M9514"/>
    </row>
    <row r="9515" spans="2:13" ht="15" x14ac:dyDescent="0.25">
      <c r="B9515"/>
      <c r="M9515"/>
    </row>
    <row r="9516" spans="2:13" ht="15" x14ac:dyDescent="0.25">
      <c r="B9516"/>
      <c r="M9516"/>
    </row>
    <row r="9517" spans="2:13" ht="15" x14ac:dyDescent="0.25">
      <c r="B9517"/>
      <c r="M9517"/>
    </row>
    <row r="9518" spans="2:13" ht="15" x14ac:dyDescent="0.25">
      <c r="B9518"/>
      <c r="M9518"/>
    </row>
    <row r="9519" spans="2:13" ht="15" x14ac:dyDescent="0.25">
      <c r="B9519"/>
      <c r="M9519"/>
    </row>
    <row r="9520" spans="2:13" ht="15" x14ac:dyDescent="0.25">
      <c r="B9520"/>
      <c r="M9520"/>
    </row>
    <row r="9521" spans="2:13" ht="15" x14ac:dyDescent="0.25">
      <c r="B9521"/>
      <c r="M9521"/>
    </row>
    <row r="9522" spans="2:13" ht="15" x14ac:dyDescent="0.25">
      <c r="B9522"/>
      <c r="M9522"/>
    </row>
    <row r="9523" spans="2:13" ht="15" x14ac:dyDescent="0.25">
      <c r="B9523"/>
      <c r="M9523"/>
    </row>
    <row r="9524" spans="2:13" ht="15" x14ac:dyDescent="0.25">
      <c r="B9524"/>
      <c r="M9524"/>
    </row>
    <row r="9525" spans="2:13" ht="15" x14ac:dyDescent="0.25">
      <c r="B9525"/>
      <c r="M9525"/>
    </row>
    <row r="9526" spans="2:13" ht="15" x14ac:dyDescent="0.25">
      <c r="B9526"/>
      <c r="M9526"/>
    </row>
    <row r="9527" spans="2:13" ht="15" x14ac:dyDescent="0.25">
      <c r="B9527"/>
      <c r="M9527"/>
    </row>
    <row r="9528" spans="2:13" ht="15" x14ac:dyDescent="0.25">
      <c r="B9528"/>
      <c r="M9528"/>
    </row>
    <row r="9529" spans="2:13" ht="15" x14ac:dyDescent="0.25">
      <c r="B9529"/>
      <c r="M9529"/>
    </row>
    <row r="9530" spans="2:13" ht="15" x14ac:dyDescent="0.25">
      <c r="B9530"/>
      <c r="M9530"/>
    </row>
    <row r="9531" spans="2:13" ht="15" x14ac:dyDescent="0.25">
      <c r="B9531"/>
      <c r="M9531"/>
    </row>
    <row r="9532" spans="2:13" ht="15" x14ac:dyDescent="0.25">
      <c r="B9532"/>
      <c r="M9532"/>
    </row>
    <row r="9533" spans="2:13" ht="15" x14ac:dyDescent="0.25">
      <c r="B9533"/>
      <c r="M9533"/>
    </row>
    <row r="9534" spans="2:13" ht="15" x14ac:dyDescent="0.25">
      <c r="B9534"/>
      <c r="M9534"/>
    </row>
    <row r="9535" spans="2:13" ht="15" x14ac:dyDescent="0.25">
      <c r="B9535"/>
      <c r="M9535"/>
    </row>
    <row r="9536" spans="2:13" ht="15" x14ac:dyDescent="0.25">
      <c r="B9536"/>
      <c r="M9536"/>
    </row>
    <row r="9537" spans="2:13" ht="15" x14ac:dyDescent="0.25">
      <c r="B9537"/>
      <c r="M9537"/>
    </row>
    <row r="9538" spans="2:13" ht="15" x14ac:dyDescent="0.25">
      <c r="B9538"/>
      <c r="M9538"/>
    </row>
    <row r="9539" spans="2:13" ht="15" x14ac:dyDescent="0.25">
      <c r="B9539"/>
      <c r="M9539"/>
    </row>
    <row r="9540" spans="2:13" ht="15" x14ac:dyDescent="0.25">
      <c r="B9540"/>
      <c r="M9540"/>
    </row>
    <row r="9541" spans="2:13" ht="15" x14ac:dyDescent="0.25">
      <c r="B9541"/>
      <c r="M9541"/>
    </row>
    <row r="9542" spans="2:13" ht="15" x14ac:dyDescent="0.25">
      <c r="B9542"/>
      <c r="M9542"/>
    </row>
    <row r="9543" spans="2:13" ht="15" x14ac:dyDescent="0.25">
      <c r="B9543"/>
      <c r="M9543"/>
    </row>
    <row r="9544" spans="2:13" ht="15" x14ac:dyDescent="0.25">
      <c r="B9544"/>
      <c r="M9544"/>
    </row>
    <row r="9545" spans="2:13" ht="15" x14ac:dyDescent="0.25">
      <c r="B9545"/>
      <c r="M9545"/>
    </row>
    <row r="9546" spans="2:13" ht="15" x14ac:dyDescent="0.25">
      <c r="B9546"/>
      <c r="M9546"/>
    </row>
    <row r="9547" spans="2:13" ht="15" x14ac:dyDescent="0.25">
      <c r="B9547"/>
      <c r="M9547"/>
    </row>
    <row r="9548" spans="2:13" ht="15" x14ac:dyDescent="0.25">
      <c r="B9548"/>
      <c r="M9548"/>
    </row>
    <row r="9549" spans="2:13" ht="15" x14ac:dyDescent="0.25">
      <c r="B9549"/>
      <c r="M9549"/>
    </row>
    <row r="9550" spans="2:13" ht="15" x14ac:dyDescent="0.25">
      <c r="B9550"/>
      <c r="M9550"/>
    </row>
    <row r="9551" spans="2:13" ht="15" x14ac:dyDescent="0.25">
      <c r="B9551"/>
      <c r="M9551"/>
    </row>
    <row r="9552" spans="2:13" ht="15" x14ac:dyDescent="0.25">
      <c r="B9552"/>
      <c r="M9552"/>
    </row>
    <row r="9553" spans="2:13" ht="15" x14ac:dyDescent="0.25">
      <c r="B9553"/>
      <c r="M9553"/>
    </row>
    <row r="9554" spans="2:13" ht="15" x14ac:dyDescent="0.25">
      <c r="B9554"/>
      <c r="M9554"/>
    </row>
    <row r="9555" spans="2:13" ht="15" x14ac:dyDescent="0.25">
      <c r="B9555"/>
      <c r="M9555"/>
    </row>
    <row r="9556" spans="2:13" ht="15" x14ac:dyDescent="0.25">
      <c r="B9556"/>
      <c r="M9556"/>
    </row>
    <row r="9557" spans="2:13" ht="15" x14ac:dyDescent="0.25">
      <c r="B9557"/>
      <c r="M9557"/>
    </row>
    <row r="9558" spans="2:13" ht="15" x14ac:dyDescent="0.25">
      <c r="B9558"/>
      <c r="M9558"/>
    </row>
    <row r="9559" spans="2:13" ht="15" x14ac:dyDescent="0.25">
      <c r="B9559"/>
      <c r="M9559"/>
    </row>
    <row r="9560" spans="2:13" ht="15" x14ac:dyDescent="0.25">
      <c r="B9560"/>
      <c r="M9560"/>
    </row>
    <row r="9561" spans="2:13" ht="15" x14ac:dyDescent="0.25">
      <c r="B9561"/>
      <c r="M9561"/>
    </row>
    <row r="9562" spans="2:13" ht="15" x14ac:dyDescent="0.25">
      <c r="B9562"/>
      <c r="M9562"/>
    </row>
    <row r="9563" spans="2:13" ht="15" x14ac:dyDescent="0.25">
      <c r="B9563"/>
      <c r="M9563"/>
    </row>
    <row r="9564" spans="2:13" ht="15" x14ac:dyDescent="0.25">
      <c r="B9564"/>
      <c r="M9564"/>
    </row>
    <row r="9565" spans="2:13" ht="15" x14ac:dyDescent="0.25">
      <c r="B9565"/>
      <c r="M9565"/>
    </row>
    <row r="9566" spans="2:13" ht="15" x14ac:dyDescent="0.25">
      <c r="B9566"/>
      <c r="M9566"/>
    </row>
    <row r="9567" spans="2:13" ht="15" x14ac:dyDescent="0.25">
      <c r="B9567"/>
      <c r="M9567"/>
    </row>
    <row r="9568" spans="2:13" ht="15" x14ac:dyDescent="0.25">
      <c r="B9568"/>
      <c r="M9568"/>
    </row>
    <row r="9569" spans="2:13" ht="15" x14ac:dyDescent="0.25">
      <c r="B9569"/>
      <c r="M9569"/>
    </row>
    <row r="9570" spans="2:13" ht="15" x14ac:dyDescent="0.25">
      <c r="B9570"/>
      <c r="M9570"/>
    </row>
    <row r="9571" spans="2:13" ht="15" x14ac:dyDescent="0.25">
      <c r="B9571"/>
      <c r="M9571"/>
    </row>
    <row r="9572" spans="2:13" ht="15" x14ac:dyDescent="0.25">
      <c r="B9572"/>
      <c r="M9572"/>
    </row>
    <row r="9573" spans="2:13" ht="15" x14ac:dyDescent="0.25">
      <c r="B9573"/>
      <c r="M9573"/>
    </row>
    <row r="9574" spans="2:13" ht="15" x14ac:dyDescent="0.25">
      <c r="B9574"/>
      <c r="M9574"/>
    </row>
    <row r="9575" spans="2:13" ht="15" x14ac:dyDescent="0.25">
      <c r="B9575"/>
      <c r="M9575"/>
    </row>
    <row r="9576" spans="2:13" ht="15" x14ac:dyDescent="0.25">
      <c r="B9576"/>
      <c r="M9576"/>
    </row>
    <row r="9577" spans="2:13" ht="15" x14ac:dyDescent="0.25">
      <c r="B9577"/>
      <c r="M9577"/>
    </row>
    <row r="9578" spans="2:13" ht="15" x14ac:dyDescent="0.25">
      <c r="B9578"/>
      <c r="M9578"/>
    </row>
    <row r="9579" spans="2:13" ht="15" x14ac:dyDescent="0.25">
      <c r="B9579"/>
      <c r="M9579"/>
    </row>
    <row r="9580" spans="2:13" ht="15" x14ac:dyDescent="0.25">
      <c r="B9580"/>
      <c r="M9580"/>
    </row>
    <row r="9581" spans="2:13" ht="15" x14ac:dyDescent="0.25">
      <c r="B9581"/>
      <c r="M9581"/>
    </row>
    <row r="9582" spans="2:13" ht="15" x14ac:dyDescent="0.25">
      <c r="B9582"/>
      <c r="M9582"/>
    </row>
    <row r="9583" spans="2:13" ht="15" x14ac:dyDescent="0.25">
      <c r="B9583"/>
      <c r="M9583"/>
    </row>
    <row r="9584" spans="2:13" ht="15" x14ac:dyDescent="0.25">
      <c r="B9584"/>
      <c r="M9584"/>
    </row>
    <row r="9585" spans="2:13" ht="15" x14ac:dyDescent="0.25">
      <c r="B9585"/>
      <c r="M9585"/>
    </row>
    <row r="9586" spans="2:13" ht="15" x14ac:dyDescent="0.25">
      <c r="B9586"/>
      <c r="M9586"/>
    </row>
    <row r="9587" spans="2:13" ht="15" x14ac:dyDescent="0.25">
      <c r="B9587"/>
      <c r="M9587"/>
    </row>
    <row r="9588" spans="2:13" ht="15" x14ac:dyDescent="0.25">
      <c r="B9588"/>
      <c r="M9588"/>
    </row>
    <row r="9589" spans="2:13" ht="15" x14ac:dyDescent="0.25">
      <c r="B9589"/>
      <c r="M9589"/>
    </row>
    <row r="9590" spans="2:13" ht="15" x14ac:dyDescent="0.25">
      <c r="B9590"/>
      <c r="M9590"/>
    </row>
    <row r="9591" spans="2:13" ht="15" x14ac:dyDescent="0.25">
      <c r="B9591"/>
      <c r="M9591"/>
    </row>
    <row r="9592" spans="2:13" ht="15" x14ac:dyDescent="0.25">
      <c r="B9592"/>
      <c r="M9592"/>
    </row>
    <row r="9593" spans="2:13" ht="15" x14ac:dyDescent="0.25">
      <c r="B9593"/>
      <c r="M9593"/>
    </row>
    <row r="9594" spans="2:13" ht="15" x14ac:dyDescent="0.25">
      <c r="B9594"/>
      <c r="M9594"/>
    </row>
    <row r="9595" spans="2:13" ht="15" x14ac:dyDescent="0.25">
      <c r="B9595"/>
      <c r="M9595"/>
    </row>
    <row r="9596" spans="2:13" ht="15" x14ac:dyDescent="0.25">
      <c r="B9596"/>
      <c r="M9596"/>
    </row>
    <row r="9597" spans="2:13" ht="15" x14ac:dyDescent="0.25">
      <c r="B9597"/>
      <c r="M9597"/>
    </row>
    <row r="9598" spans="2:13" ht="15" x14ac:dyDescent="0.25">
      <c r="B9598"/>
      <c r="M9598"/>
    </row>
    <row r="9599" spans="2:13" ht="15" x14ac:dyDescent="0.25">
      <c r="B9599"/>
      <c r="M9599"/>
    </row>
    <row r="9600" spans="2:13" ht="15" x14ac:dyDescent="0.25">
      <c r="B9600"/>
      <c r="M9600"/>
    </row>
    <row r="9601" spans="2:13" ht="15" x14ac:dyDescent="0.25">
      <c r="B9601"/>
      <c r="M9601"/>
    </row>
    <row r="9602" spans="2:13" ht="15" x14ac:dyDescent="0.25">
      <c r="B9602"/>
      <c r="M9602"/>
    </row>
    <row r="9603" spans="2:13" ht="15" x14ac:dyDescent="0.25">
      <c r="B9603"/>
      <c r="M9603"/>
    </row>
    <row r="9604" spans="2:13" ht="15" x14ac:dyDescent="0.25">
      <c r="B9604"/>
      <c r="M9604"/>
    </row>
    <row r="9605" spans="2:13" ht="15" x14ac:dyDescent="0.25">
      <c r="B9605"/>
      <c r="M9605"/>
    </row>
    <row r="9606" spans="2:13" ht="15" x14ac:dyDescent="0.25">
      <c r="B9606"/>
      <c r="M9606"/>
    </row>
    <row r="9607" spans="2:13" ht="15" x14ac:dyDescent="0.25">
      <c r="B9607"/>
      <c r="M9607"/>
    </row>
    <row r="9608" spans="2:13" ht="15" x14ac:dyDescent="0.25">
      <c r="B9608"/>
      <c r="M9608"/>
    </row>
    <row r="9609" spans="2:13" ht="15" x14ac:dyDescent="0.25">
      <c r="B9609"/>
      <c r="M9609"/>
    </row>
    <row r="9610" spans="2:13" ht="15" x14ac:dyDescent="0.25">
      <c r="B9610"/>
      <c r="M9610"/>
    </row>
    <row r="9611" spans="2:13" ht="15" x14ac:dyDescent="0.25">
      <c r="B9611"/>
      <c r="M9611"/>
    </row>
    <row r="9612" spans="2:13" ht="15" x14ac:dyDescent="0.25">
      <c r="B9612"/>
      <c r="M9612"/>
    </row>
    <row r="9613" spans="2:13" ht="15" x14ac:dyDescent="0.25">
      <c r="B9613"/>
      <c r="M9613"/>
    </row>
    <row r="9614" spans="2:13" ht="15" x14ac:dyDescent="0.25">
      <c r="B9614"/>
      <c r="M9614"/>
    </row>
    <row r="9615" spans="2:13" ht="15" x14ac:dyDescent="0.25">
      <c r="B9615"/>
      <c r="M9615"/>
    </row>
    <row r="9616" spans="2:13" ht="15" x14ac:dyDescent="0.25">
      <c r="B9616"/>
      <c r="M9616"/>
    </row>
    <row r="9617" spans="2:13" ht="15" x14ac:dyDescent="0.25">
      <c r="B9617"/>
      <c r="M9617"/>
    </row>
    <row r="9618" spans="2:13" ht="15" x14ac:dyDescent="0.25">
      <c r="B9618"/>
      <c r="M9618"/>
    </row>
    <row r="9619" spans="2:13" ht="15" x14ac:dyDescent="0.25">
      <c r="B9619"/>
      <c r="M9619"/>
    </row>
    <row r="9620" spans="2:13" ht="15" x14ac:dyDescent="0.25">
      <c r="B9620"/>
      <c r="M9620"/>
    </row>
    <row r="9621" spans="2:13" ht="15" x14ac:dyDescent="0.25">
      <c r="B9621"/>
      <c r="M9621"/>
    </row>
    <row r="9622" spans="2:13" ht="15" x14ac:dyDescent="0.25">
      <c r="B9622"/>
      <c r="M9622"/>
    </row>
    <row r="9623" spans="2:13" ht="15" x14ac:dyDescent="0.25">
      <c r="B9623"/>
      <c r="M9623"/>
    </row>
    <row r="9624" spans="2:13" ht="15" x14ac:dyDescent="0.25">
      <c r="B9624"/>
      <c r="M9624"/>
    </row>
    <row r="9625" spans="2:13" ht="15" x14ac:dyDescent="0.25">
      <c r="B9625"/>
      <c r="M9625"/>
    </row>
    <row r="9626" spans="2:13" ht="15" x14ac:dyDescent="0.25">
      <c r="B9626"/>
      <c r="M9626"/>
    </row>
    <row r="9627" spans="2:13" ht="15" x14ac:dyDescent="0.25">
      <c r="B9627"/>
      <c r="M9627"/>
    </row>
    <row r="9628" spans="2:13" ht="15" x14ac:dyDescent="0.25">
      <c r="B9628"/>
      <c r="M9628"/>
    </row>
    <row r="9629" spans="2:13" ht="15" x14ac:dyDescent="0.25">
      <c r="B9629"/>
      <c r="M9629"/>
    </row>
    <row r="9630" spans="2:13" ht="15" x14ac:dyDescent="0.25">
      <c r="B9630"/>
      <c r="M9630"/>
    </row>
    <row r="9631" spans="2:13" ht="15" x14ac:dyDescent="0.25">
      <c r="B9631"/>
      <c r="M9631"/>
    </row>
    <row r="9632" spans="2:13" ht="15" x14ac:dyDescent="0.25">
      <c r="B9632"/>
      <c r="M9632"/>
    </row>
    <row r="9633" spans="2:13" ht="15" x14ac:dyDescent="0.25">
      <c r="B9633"/>
      <c r="M9633"/>
    </row>
    <row r="9634" spans="2:13" ht="15" x14ac:dyDescent="0.25">
      <c r="B9634"/>
      <c r="M9634"/>
    </row>
    <row r="9635" spans="2:13" ht="15" x14ac:dyDescent="0.25">
      <c r="B9635"/>
      <c r="M9635"/>
    </row>
    <row r="9636" spans="2:13" ht="15" x14ac:dyDescent="0.25">
      <c r="B9636"/>
      <c r="M9636"/>
    </row>
    <row r="9637" spans="2:13" ht="15" x14ac:dyDescent="0.25">
      <c r="B9637"/>
      <c r="M9637"/>
    </row>
    <row r="9638" spans="2:13" ht="15" x14ac:dyDescent="0.25">
      <c r="B9638"/>
      <c r="M9638"/>
    </row>
    <row r="9639" spans="2:13" ht="15" x14ac:dyDescent="0.25">
      <c r="B9639"/>
      <c r="M9639"/>
    </row>
    <row r="9640" spans="2:13" ht="15" x14ac:dyDescent="0.25">
      <c r="B9640"/>
      <c r="M9640"/>
    </row>
    <row r="9641" spans="2:13" ht="15" x14ac:dyDescent="0.25">
      <c r="B9641"/>
      <c r="M9641"/>
    </row>
    <row r="9642" spans="2:13" ht="15" x14ac:dyDescent="0.25">
      <c r="B9642"/>
      <c r="M9642"/>
    </row>
    <row r="9643" spans="2:13" ht="15" x14ac:dyDescent="0.25">
      <c r="B9643"/>
      <c r="M9643"/>
    </row>
    <row r="9644" spans="2:13" ht="15" x14ac:dyDescent="0.25">
      <c r="B9644"/>
      <c r="M9644"/>
    </row>
    <row r="9645" spans="2:13" ht="15" x14ac:dyDescent="0.25">
      <c r="B9645"/>
      <c r="M9645"/>
    </row>
    <row r="9646" spans="2:13" ht="15" x14ac:dyDescent="0.25">
      <c r="B9646"/>
      <c r="M9646"/>
    </row>
    <row r="9647" spans="2:13" ht="15" x14ac:dyDescent="0.25">
      <c r="B9647"/>
      <c r="M9647"/>
    </row>
    <row r="9648" spans="2:13" ht="15" x14ac:dyDescent="0.25">
      <c r="B9648"/>
      <c r="M9648"/>
    </row>
    <row r="9649" spans="2:13" ht="15" x14ac:dyDescent="0.25">
      <c r="B9649"/>
      <c r="M9649"/>
    </row>
    <row r="9650" spans="2:13" ht="15" x14ac:dyDescent="0.25">
      <c r="B9650"/>
      <c r="M9650"/>
    </row>
    <row r="9651" spans="2:13" ht="15" x14ac:dyDescent="0.25">
      <c r="B9651"/>
      <c r="M9651"/>
    </row>
    <row r="9652" spans="2:13" ht="15" x14ac:dyDescent="0.25">
      <c r="B9652"/>
      <c r="M9652"/>
    </row>
    <row r="9653" spans="2:13" ht="15" x14ac:dyDescent="0.25">
      <c r="B9653"/>
      <c r="M9653"/>
    </row>
    <row r="9654" spans="2:13" ht="15" x14ac:dyDescent="0.25">
      <c r="B9654"/>
      <c r="M9654"/>
    </row>
    <row r="9655" spans="2:13" ht="15" x14ac:dyDescent="0.25">
      <c r="B9655"/>
      <c r="M9655"/>
    </row>
    <row r="9656" spans="2:13" ht="15" x14ac:dyDescent="0.25">
      <c r="B9656"/>
      <c r="M9656"/>
    </row>
    <row r="9657" spans="2:13" ht="15" x14ac:dyDescent="0.25">
      <c r="B9657"/>
      <c r="M9657"/>
    </row>
    <row r="9658" spans="2:13" ht="15" x14ac:dyDescent="0.25">
      <c r="B9658"/>
      <c r="M9658"/>
    </row>
    <row r="9659" spans="2:13" ht="15" x14ac:dyDescent="0.25">
      <c r="B9659"/>
      <c r="M9659"/>
    </row>
    <row r="9660" spans="2:13" ht="15" x14ac:dyDescent="0.25">
      <c r="B9660"/>
      <c r="M9660"/>
    </row>
    <row r="9661" spans="2:13" ht="15" x14ac:dyDescent="0.25">
      <c r="B9661"/>
      <c r="M9661"/>
    </row>
    <row r="9662" spans="2:13" ht="15" x14ac:dyDescent="0.25">
      <c r="B9662"/>
      <c r="M9662"/>
    </row>
    <row r="9663" spans="2:13" ht="15" x14ac:dyDescent="0.25">
      <c r="B9663"/>
      <c r="M9663"/>
    </row>
    <row r="9664" spans="2:13" ht="15" x14ac:dyDescent="0.25">
      <c r="B9664"/>
      <c r="M9664"/>
    </row>
    <row r="9665" spans="2:13" ht="15" x14ac:dyDescent="0.25">
      <c r="B9665"/>
      <c r="M9665"/>
    </row>
    <row r="9666" spans="2:13" ht="15" x14ac:dyDescent="0.25">
      <c r="B9666"/>
      <c r="M9666"/>
    </row>
    <row r="9667" spans="2:13" ht="15" x14ac:dyDescent="0.25">
      <c r="B9667"/>
      <c r="M9667"/>
    </row>
    <row r="9668" spans="2:13" ht="15" x14ac:dyDescent="0.25">
      <c r="B9668"/>
      <c r="M9668"/>
    </row>
    <row r="9669" spans="2:13" ht="15" x14ac:dyDescent="0.25">
      <c r="B9669"/>
      <c r="M9669"/>
    </row>
    <row r="9670" spans="2:13" ht="15" x14ac:dyDescent="0.25">
      <c r="B9670"/>
      <c r="M9670"/>
    </row>
    <row r="9671" spans="2:13" ht="15" x14ac:dyDescent="0.25">
      <c r="B9671"/>
      <c r="M9671"/>
    </row>
    <row r="9672" spans="2:13" ht="15" x14ac:dyDescent="0.25">
      <c r="B9672"/>
      <c r="M9672"/>
    </row>
    <row r="9673" spans="2:13" ht="15" x14ac:dyDescent="0.25">
      <c r="B9673"/>
      <c r="M9673"/>
    </row>
    <row r="9674" spans="2:13" ht="15" x14ac:dyDescent="0.25">
      <c r="B9674"/>
      <c r="M9674"/>
    </row>
    <row r="9675" spans="2:13" ht="15" x14ac:dyDescent="0.25">
      <c r="B9675"/>
      <c r="M9675"/>
    </row>
    <row r="9676" spans="2:13" ht="15" x14ac:dyDescent="0.25">
      <c r="B9676"/>
      <c r="M9676"/>
    </row>
    <row r="9677" spans="2:13" ht="15" x14ac:dyDescent="0.25">
      <c r="B9677"/>
      <c r="M9677"/>
    </row>
    <row r="9678" spans="2:13" ht="15" x14ac:dyDescent="0.25">
      <c r="B9678"/>
      <c r="M9678"/>
    </row>
    <row r="9679" spans="2:13" ht="15" x14ac:dyDescent="0.25">
      <c r="B9679"/>
      <c r="M9679"/>
    </row>
    <row r="9680" spans="2:13" ht="15" x14ac:dyDescent="0.25">
      <c r="B9680"/>
      <c r="M9680"/>
    </row>
    <row r="9681" spans="2:13" ht="15" x14ac:dyDescent="0.25">
      <c r="B9681"/>
      <c r="M9681"/>
    </row>
    <row r="9682" spans="2:13" ht="15" x14ac:dyDescent="0.25">
      <c r="B9682"/>
      <c r="M9682"/>
    </row>
    <row r="9683" spans="2:13" ht="15" x14ac:dyDescent="0.25">
      <c r="B9683"/>
      <c r="M9683"/>
    </row>
    <row r="9684" spans="2:13" ht="15" x14ac:dyDescent="0.25">
      <c r="B9684"/>
      <c r="M9684"/>
    </row>
    <row r="9685" spans="2:13" ht="15" x14ac:dyDescent="0.25">
      <c r="B9685"/>
      <c r="M9685"/>
    </row>
    <row r="9686" spans="2:13" ht="15" x14ac:dyDescent="0.25">
      <c r="B9686"/>
      <c r="M9686"/>
    </row>
    <row r="9687" spans="2:13" ht="15" x14ac:dyDescent="0.25">
      <c r="B9687"/>
      <c r="M9687"/>
    </row>
    <row r="9688" spans="2:13" ht="15" x14ac:dyDescent="0.25">
      <c r="B9688"/>
      <c r="M9688"/>
    </row>
    <row r="9689" spans="2:13" ht="15" x14ac:dyDescent="0.25">
      <c r="B9689"/>
      <c r="M9689"/>
    </row>
    <row r="9690" spans="2:13" ht="15" x14ac:dyDescent="0.25">
      <c r="B9690"/>
      <c r="M9690"/>
    </row>
    <row r="9691" spans="2:13" ht="15" x14ac:dyDescent="0.25">
      <c r="B9691"/>
      <c r="M9691"/>
    </row>
    <row r="9692" spans="2:13" ht="15" x14ac:dyDescent="0.25">
      <c r="B9692"/>
      <c r="M9692"/>
    </row>
    <row r="9693" spans="2:13" ht="15" x14ac:dyDescent="0.25">
      <c r="B9693"/>
      <c r="M9693"/>
    </row>
    <row r="9694" spans="2:13" ht="15" x14ac:dyDescent="0.25">
      <c r="B9694"/>
      <c r="M9694"/>
    </row>
    <row r="9695" spans="2:13" ht="15" x14ac:dyDescent="0.25">
      <c r="B9695"/>
      <c r="M9695"/>
    </row>
    <row r="9696" spans="2:13" ht="15" x14ac:dyDescent="0.25">
      <c r="B9696"/>
      <c r="M9696"/>
    </row>
    <row r="9697" spans="2:13" ht="15" x14ac:dyDescent="0.25">
      <c r="B9697"/>
      <c r="M9697"/>
    </row>
    <row r="9698" spans="2:13" ht="15" x14ac:dyDescent="0.25">
      <c r="B9698"/>
      <c r="M9698"/>
    </row>
    <row r="9699" spans="2:13" ht="15" x14ac:dyDescent="0.25">
      <c r="B9699"/>
      <c r="M9699"/>
    </row>
    <row r="9700" spans="2:13" ht="15" x14ac:dyDescent="0.25">
      <c r="B9700"/>
      <c r="M9700"/>
    </row>
    <row r="9701" spans="2:13" ht="15" x14ac:dyDescent="0.25">
      <c r="B9701"/>
      <c r="M9701"/>
    </row>
    <row r="9702" spans="2:13" ht="15" x14ac:dyDescent="0.25">
      <c r="B9702"/>
      <c r="M9702"/>
    </row>
    <row r="9703" spans="2:13" ht="15" x14ac:dyDescent="0.25">
      <c r="B9703"/>
      <c r="M9703"/>
    </row>
    <row r="9704" spans="2:13" ht="15" x14ac:dyDescent="0.25">
      <c r="B9704"/>
      <c r="M9704"/>
    </row>
    <row r="9705" spans="2:13" ht="15" x14ac:dyDescent="0.25">
      <c r="B9705"/>
      <c r="M9705"/>
    </row>
    <row r="9706" spans="2:13" ht="15" x14ac:dyDescent="0.25">
      <c r="B9706"/>
      <c r="M9706"/>
    </row>
    <row r="9707" spans="2:13" ht="15" x14ac:dyDescent="0.25">
      <c r="B9707"/>
      <c r="M9707"/>
    </row>
    <row r="9708" spans="2:13" ht="15" x14ac:dyDescent="0.25">
      <c r="B9708"/>
      <c r="M9708"/>
    </row>
    <row r="9709" spans="2:13" ht="15" x14ac:dyDescent="0.25">
      <c r="B9709"/>
      <c r="M9709"/>
    </row>
    <row r="9710" spans="2:13" ht="15" x14ac:dyDescent="0.25">
      <c r="B9710"/>
      <c r="M9710"/>
    </row>
    <row r="9711" spans="2:13" ht="15" x14ac:dyDescent="0.25">
      <c r="B9711"/>
      <c r="M9711"/>
    </row>
    <row r="9712" spans="2:13" ht="15" x14ac:dyDescent="0.25">
      <c r="B9712"/>
      <c r="M9712"/>
    </row>
    <row r="9713" spans="2:13" ht="15" x14ac:dyDescent="0.25">
      <c r="B9713"/>
      <c r="M9713"/>
    </row>
    <row r="9714" spans="2:13" ht="15" x14ac:dyDescent="0.25">
      <c r="B9714"/>
      <c r="M9714"/>
    </row>
    <row r="9715" spans="2:13" ht="15" x14ac:dyDescent="0.25">
      <c r="B9715"/>
      <c r="M9715"/>
    </row>
    <row r="9716" spans="2:13" ht="15" x14ac:dyDescent="0.25">
      <c r="B9716"/>
      <c r="M9716"/>
    </row>
    <row r="9717" spans="2:13" ht="15" x14ac:dyDescent="0.25">
      <c r="B9717"/>
      <c r="M9717"/>
    </row>
    <row r="9718" spans="2:13" ht="15" x14ac:dyDescent="0.25">
      <c r="B9718"/>
      <c r="M9718"/>
    </row>
    <row r="9719" spans="2:13" ht="15" x14ac:dyDescent="0.25">
      <c r="B9719"/>
      <c r="M9719"/>
    </row>
    <row r="9720" spans="2:13" ht="15" x14ac:dyDescent="0.25">
      <c r="B9720"/>
      <c r="M9720"/>
    </row>
    <row r="9721" spans="2:13" ht="15" x14ac:dyDescent="0.25">
      <c r="B9721"/>
      <c r="M9721"/>
    </row>
    <row r="9722" spans="2:13" ht="15" x14ac:dyDescent="0.25">
      <c r="B9722"/>
      <c r="M9722"/>
    </row>
    <row r="9723" spans="2:13" ht="15" x14ac:dyDescent="0.25">
      <c r="B9723"/>
      <c r="M9723"/>
    </row>
    <row r="9724" spans="2:13" ht="15" x14ac:dyDescent="0.25">
      <c r="B9724"/>
      <c r="M9724"/>
    </row>
    <row r="9725" spans="2:13" ht="15" x14ac:dyDescent="0.25">
      <c r="B9725"/>
      <c r="M9725"/>
    </row>
    <row r="9726" spans="2:13" ht="15" x14ac:dyDescent="0.25">
      <c r="B9726"/>
      <c r="M9726"/>
    </row>
    <row r="9727" spans="2:13" ht="15" x14ac:dyDescent="0.25">
      <c r="B9727"/>
      <c r="M9727"/>
    </row>
    <row r="9728" spans="2:13" ht="15" x14ac:dyDescent="0.25">
      <c r="B9728"/>
      <c r="M9728"/>
    </row>
    <row r="9729" spans="2:13" ht="15" x14ac:dyDescent="0.25">
      <c r="B9729"/>
      <c r="M9729"/>
    </row>
    <row r="9730" spans="2:13" ht="15" x14ac:dyDescent="0.25">
      <c r="B9730"/>
      <c r="M9730"/>
    </row>
    <row r="9731" spans="2:13" ht="15" x14ac:dyDescent="0.25">
      <c r="B9731"/>
      <c r="M9731"/>
    </row>
    <row r="9732" spans="2:13" ht="15" x14ac:dyDescent="0.25">
      <c r="B9732"/>
      <c r="M9732"/>
    </row>
    <row r="9733" spans="2:13" ht="15" x14ac:dyDescent="0.25">
      <c r="B9733"/>
      <c r="M9733"/>
    </row>
    <row r="9734" spans="2:13" ht="15" x14ac:dyDescent="0.25">
      <c r="B9734"/>
      <c r="M9734"/>
    </row>
    <row r="9735" spans="2:13" ht="15" x14ac:dyDescent="0.25">
      <c r="B9735"/>
      <c r="M9735"/>
    </row>
    <row r="9736" spans="2:13" ht="15" x14ac:dyDescent="0.25">
      <c r="B9736"/>
      <c r="M9736"/>
    </row>
    <row r="9737" spans="2:13" ht="15" x14ac:dyDescent="0.25">
      <c r="B9737"/>
      <c r="M9737"/>
    </row>
    <row r="9738" spans="2:13" ht="15" x14ac:dyDescent="0.25">
      <c r="B9738"/>
      <c r="M9738"/>
    </row>
    <row r="9739" spans="2:13" ht="15" x14ac:dyDescent="0.25">
      <c r="B9739"/>
      <c r="M9739"/>
    </row>
    <row r="9740" spans="2:13" ht="15" x14ac:dyDescent="0.25">
      <c r="B9740"/>
      <c r="M9740"/>
    </row>
    <row r="9741" spans="2:13" ht="15" x14ac:dyDescent="0.25">
      <c r="B9741"/>
      <c r="M9741"/>
    </row>
    <row r="9742" spans="2:13" ht="15" x14ac:dyDescent="0.25">
      <c r="B9742"/>
      <c r="M9742"/>
    </row>
    <row r="9743" spans="2:13" ht="15" x14ac:dyDescent="0.25">
      <c r="B9743"/>
      <c r="M9743"/>
    </row>
    <row r="9744" spans="2:13" ht="15" x14ac:dyDescent="0.25">
      <c r="B9744"/>
      <c r="M9744"/>
    </row>
    <row r="9745" spans="2:13" ht="15" x14ac:dyDescent="0.25">
      <c r="B9745"/>
      <c r="M9745"/>
    </row>
    <row r="9746" spans="2:13" ht="15" x14ac:dyDescent="0.25">
      <c r="B9746"/>
      <c r="M9746"/>
    </row>
    <row r="9747" spans="2:13" ht="15" x14ac:dyDescent="0.25">
      <c r="B9747"/>
      <c r="M9747"/>
    </row>
    <row r="9748" spans="2:13" ht="15" x14ac:dyDescent="0.25">
      <c r="B9748"/>
      <c r="M9748"/>
    </row>
    <row r="9749" spans="2:13" ht="15" x14ac:dyDescent="0.25">
      <c r="B9749"/>
      <c r="M9749"/>
    </row>
    <row r="9750" spans="2:13" ht="15" x14ac:dyDescent="0.25">
      <c r="B9750"/>
      <c r="M9750"/>
    </row>
    <row r="9751" spans="2:13" ht="15" x14ac:dyDescent="0.25">
      <c r="B9751"/>
      <c r="M9751"/>
    </row>
    <row r="9752" spans="2:13" ht="15" x14ac:dyDescent="0.25">
      <c r="B9752"/>
      <c r="M9752"/>
    </row>
    <row r="9753" spans="2:13" ht="15" x14ac:dyDescent="0.25">
      <c r="B9753"/>
      <c r="M9753"/>
    </row>
    <row r="9754" spans="2:13" ht="15" x14ac:dyDescent="0.25">
      <c r="B9754"/>
      <c r="M9754"/>
    </row>
    <row r="9755" spans="2:13" ht="15" x14ac:dyDescent="0.25">
      <c r="B9755"/>
      <c r="M9755"/>
    </row>
    <row r="9756" spans="2:13" ht="15" x14ac:dyDescent="0.25">
      <c r="B9756"/>
      <c r="M9756"/>
    </row>
    <row r="9757" spans="2:13" ht="15" x14ac:dyDescent="0.25">
      <c r="B9757"/>
      <c r="M9757"/>
    </row>
    <row r="9758" spans="2:13" ht="15" x14ac:dyDescent="0.25">
      <c r="B9758"/>
      <c r="M9758"/>
    </row>
    <row r="9759" spans="2:13" ht="15" x14ac:dyDescent="0.25">
      <c r="B9759"/>
      <c r="M9759"/>
    </row>
    <row r="9760" spans="2:13" ht="15" x14ac:dyDescent="0.25">
      <c r="B9760"/>
      <c r="M9760"/>
    </row>
    <row r="9761" spans="2:13" ht="15" x14ac:dyDescent="0.25">
      <c r="B9761"/>
      <c r="M9761"/>
    </row>
    <row r="9762" spans="2:13" ht="15" x14ac:dyDescent="0.25">
      <c r="B9762"/>
      <c r="M9762"/>
    </row>
    <row r="9763" spans="2:13" ht="15" x14ac:dyDescent="0.25">
      <c r="B9763"/>
      <c r="M9763"/>
    </row>
    <row r="9764" spans="2:13" ht="15" x14ac:dyDescent="0.25">
      <c r="B9764"/>
      <c r="M9764"/>
    </row>
    <row r="9765" spans="2:13" ht="15" x14ac:dyDescent="0.25">
      <c r="B9765"/>
      <c r="M9765"/>
    </row>
    <row r="9766" spans="2:13" ht="15" x14ac:dyDescent="0.25">
      <c r="B9766"/>
      <c r="M9766"/>
    </row>
    <row r="9767" spans="2:13" ht="15" x14ac:dyDescent="0.25">
      <c r="B9767"/>
      <c r="M9767"/>
    </row>
    <row r="9768" spans="2:13" ht="15" x14ac:dyDescent="0.25">
      <c r="B9768"/>
      <c r="M9768"/>
    </row>
    <row r="9769" spans="2:13" ht="15" x14ac:dyDescent="0.25">
      <c r="B9769"/>
      <c r="M9769"/>
    </row>
    <row r="9770" spans="2:13" ht="15" x14ac:dyDescent="0.25">
      <c r="B9770"/>
      <c r="M9770"/>
    </row>
    <row r="9771" spans="2:13" ht="15" x14ac:dyDescent="0.25">
      <c r="B9771"/>
      <c r="M9771"/>
    </row>
    <row r="9772" spans="2:13" ht="15" x14ac:dyDescent="0.25">
      <c r="B9772"/>
      <c r="M9772"/>
    </row>
    <row r="9773" spans="2:13" ht="15" x14ac:dyDescent="0.25">
      <c r="B9773"/>
      <c r="M9773"/>
    </row>
    <row r="9774" spans="2:13" ht="15" x14ac:dyDescent="0.25">
      <c r="B9774"/>
      <c r="M9774"/>
    </row>
    <row r="9775" spans="2:13" ht="15" x14ac:dyDescent="0.25">
      <c r="B9775"/>
      <c r="M9775"/>
    </row>
    <row r="9776" spans="2:13" ht="15" x14ac:dyDescent="0.25">
      <c r="B9776"/>
      <c r="M9776"/>
    </row>
    <row r="9777" spans="2:13" ht="15" x14ac:dyDescent="0.25">
      <c r="B9777"/>
      <c r="M9777"/>
    </row>
    <row r="9778" spans="2:13" ht="15" x14ac:dyDescent="0.25">
      <c r="B9778"/>
      <c r="M9778"/>
    </row>
    <row r="9779" spans="2:13" ht="15" x14ac:dyDescent="0.25">
      <c r="B9779"/>
      <c r="M9779"/>
    </row>
    <row r="9780" spans="2:13" ht="15" x14ac:dyDescent="0.25">
      <c r="B9780"/>
      <c r="M9780"/>
    </row>
    <row r="9781" spans="2:13" ht="15" x14ac:dyDescent="0.25">
      <c r="B9781"/>
      <c r="M9781"/>
    </row>
    <row r="9782" spans="2:13" ht="15" x14ac:dyDescent="0.25">
      <c r="B9782"/>
      <c r="M9782"/>
    </row>
    <row r="9783" spans="2:13" ht="15" x14ac:dyDescent="0.25">
      <c r="B9783"/>
      <c r="M9783"/>
    </row>
    <row r="9784" spans="2:13" ht="15" x14ac:dyDescent="0.25">
      <c r="B9784"/>
      <c r="M9784"/>
    </row>
    <row r="9785" spans="2:13" ht="15" x14ac:dyDescent="0.25">
      <c r="B9785"/>
      <c r="M9785"/>
    </row>
    <row r="9786" spans="2:13" ht="15" x14ac:dyDescent="0.25">
      <c r="B9786"/>
      <c r="M9786"/>
    </row>
    <row r="9787" spans="2:13" ht="15" x14ac:dyDescent="0.25">
      <c r="B9787"/>
      <c r="M9787"/>
    </row>
    <row r="9788" spans="2:13" ht="15" x14ac:dyDescent="0.25">
      <c r="B9788"/>
      <c r="M9788"/>
    </row>
    <row r="9789" spans="2:13" ht="15" x14ac:dyDescent="0.25">
      <c r="B9789"/>
      <c r="M9789"/>
    </row>
    <row r="9790" spans="2:13" ht="15" x14ac:dyDescent="0.25">
      <c r="B9790"/>
      <c r="M9790"/>
    </row>
    <row r="9791" spans="2:13" ht="15" x14ac:dyDescent="0.25">
      <c r="B9791"/>
      <c r="M9791"/>
    </row>
    <row r="9792" spans="2:13" ht="15" x14ac:dyDescent="0.25">
      <c r="B9792"/>
      <c r="M9792"/>
    </row>
    <row r="9793" spans="2:13" ht="15" x14ac:dyDescent="0.25">
      <c r="B9793"/>
      <c r="M9793"/>
    </row>
    <row r="9794" spans="2:13" ht="15" x14ac:dyDescent="0.25">
      <c r="B9794"/>
      <c r="M9794"/>
    </row>
    <row r="9795" spans="2:13" ht="15" x14ac:dyDescent="0.25">
      <c r="B9795"/>
      <c r="M9795"/>
    </row>
    <row r="9796" spans="2:13" ht="15" x14ac:dyDescent="0.25">
      <c r="B9796"/>
      <c r="M9796"/>
    </row>
    <row r="9797" spans="2:13" ht="15" x14ac:dyDescent="0.25">
      <c r="B9797"/>
      <c r="M9797"/>
    </row>
    <row r="9798" spans="2:13" ht="15" x14ac:dyDescent="0.25">
      <c r="B9798"/>
      <c r="M9798"/>
    </row>
    <row r="9799" spans="2:13" ht="15" x14ac:dyDescent="0.25">
      <c r="B9799"/>
      <c r="M9799"/>
    </row>
    <row r="9800" spans="2:13" ht="15" x14ac:dyDescent="0.25">
      <c r="B9800"/>
      <c r="M9800"/>
    </row>
    <row r="9801" spans="2:13" ht="15" x14ac:dyDescent="0.25">
      <c r="B9801"/>
      <c r="M9801"/>
    </row>
    <row r="9802" spans="2:13" ht="15" x14ac:dyDescent="0.25">
      <c r="B9802"/>
      <c r="M9802"/>
    </row>
    <row r="9803" spans="2:13" ht="15" x14ac:dyDescent="0.25">
      <c r="B9803"/>
      <c r="M9803"/>
    </row>
    <row r="9804" spans="2:13" ht="15" x14ac:dyDescent="0.25">
      <c r="B9804"/>
      <c r="M9804"/>
    </row>
    <row r="9805" spans="2:13" ht="15" x14ac:dyDescent="0.25">
      <c r="B9805"/>
      <c r="M9805"/>
    </row>
    <row r="9806" spans="2:13" ht="15" x14ac:dyDescent="0.25">
      <c r="B9806"/>
      <c r="M9806"/>
    </row>
    <row r="9807" spans="2:13" ht="15" x14ac:dyDescent="0.25">
      <c r="B9807"/>
      <c r="M9807"/>
    </row>
    <row r="9808" spans="2:13" ht="15" x14ac:dyDescent="0.25">
      <c r="B9808"/>
      <c r="M9808"/>
    </row>
    <row r="9809" spans="2:13" ht="15" x14ac:dyDescent="0.25">
      <c r="B9809"/>
      <c r="M9809"/>
    </row>
    <row r="9810" spans="2:13" ht="15" x14ac:dyDescent="0.25">
      <c r="B9810"/>
      <c r="M9810"/>
    </row>
    <row r="9811" spans="2:13" ht="15" x14ac:dyDescent="0.25">
      <c r="B9811"/>
      <c r="M9811"/>
    </row>
    <row r="9812" spans="2:13" ht="15" x14ac:dyDescent="0.25">
      <c r="B9812"/>
      <c r="M9812"/>
    </row>
    <row r="9813" spans="2:13" ht="15" x14ac:dyDescent="0.25">
      <c r="B9813"/>
      <c r="M9813"/>
    </row>
    <row r="9814" spans="2:13" ht="15" x14ac:dyDescent="0.25">
      <c r="B9814"/>
      <c r="M9814"/>
    </row>
    <row r="9815" spans="2:13" ht="15" x14ac:dyDescent="0.25">
      <c r="B9815"/>
      <c r="M9815"/>
    </row>
    <row r="9816" spans="2:13" ht="15" x14ac:dyDescent="0.25">
      <c r="B9816"/>
      <c r="M9816"/>
    </row>
    <row r="9817" spans="2:13" ht="15" x14ac:dyDescent="0.25">
      <c r="B9817"/>
      <c r="M9817"/>
    </row>
    <row r="9818" spans="2:13" ht="15" x14ac:dyDescent="0.25">
      <c r="B9818"/>
      <c r="M9818"/>
    </row>
    <row r="9819" spans="2:13" ht="15" x14ac:dyDescent="0.25">
      <c r="B9819"/>
      <c r="M9819"/>
    </row>
    <row r="9820" spans="2:13" ht="15" x14ac:dyDescent="0.25">
      <c r="B9820"/>
      <c r="M9820"/>
    </row>
    <row r="9821" spans="2:13" ht="15" x14ac:dyDescent="0.25">
      <c r="B9821"/>
      <c r="M9821"/>
    </row>
    <row r="9822" spans="2:13" ht="15" x14ac:dyDescent="0.25">
      <c r="B9822"/>
      <c r="M9822"/>
    </row>
    <row r="9823" spans="2:13" ht="15" x14ac:dyDescent="0.25">
      <c r="B9823"/>
      <c r="M9823"/>
    </row>
    <row r="9824" spans="2:13" ht="15" x14ac:dyDescent="0.25">
      <c r="B9824"/>
      <c r="M9824"/>
    </row>
    <row r="9825" spans="2:13" ht="15" x14ac:dyDescent="0.25">
      <c r="B9825"/>
      <c r="M9825"/>
    </row>
    <row r="9826" spans="2:13" ht="15" x14ac:dyDescent="0.25">
      <c r="B9826"/>
      <c r="M9826"/>
    </row>
    <row r="9827" spans="2:13" ht="15" x14ac:dyDescent="0.25">
      <c r="B9827"/>
      <c r="M9827"/>
    </row>
    <row r="9828" spans="2:13" ht="15" x14ac:dyDescent="0.25">
      <c r="B9828"/>
      <c r="M9828"/>
    </row>
    <row r="9829" spans="2:13" ht="15" x14ac:dyDescent="0.25">
      <c r="B9829"/>
      <c r="M9829"/>
    </row>
    <row r="9830" spans="2:13" ht="15" x14ac:dyDescent="0.25">
      <c r="B9830"/>
      <c r="M9830"/>
    </row>
    <row r="9831" spans="2:13" ht="15" x14ac:dyDescent="0.25">
      <c r="B9831"/>
      <c r="M9831"/>
    </row>
    <row r="9832" spans="2:13" ht="15" x14ac:dyDescent="0.25">
      <c r="B9832"/>
      <c r="M9832"/>
    </row>
    <row r="9833" spans="2:13" ht="15" x14ac:dyDescent="0.25">
      <c r="B9833"/>
      <c r="M9833"/>
    </row>
    <row r="9834" spans="2:13" ht="15" x14ac:dyDescent="0.25">
      <c r="B9834"/>
      <c r="M9834"/>
    </row>
    <row r="9835" spans="2:13" ht="15" x14ac:dyDescent="0.25">
      <c r="B9835"/>
      <c r="M9835"/>
    </row>
    <row r="9836" spans="2:13" ht="15" x14ac:dyDescent="0.25">
      <c r="B9836"/>
      <c r="M9836"/>
    </row>
    <row r="9837" spans="2:13" ht="15" x14ac:dyDescent="0.25">
      <c r="B9837"/>
      <c r="M9837"/>
    </row>
    <row r="9838" spans="2:13" ht="15" x14ac:dyDescent="0.25">
      <c r="B9838"/>
      <c r="M9838"/>
    </row>
    <row r="9839" spans="2:13" ht="15" x14ac:dyDescent="0.25">
      <c r="B9839"/>
      <c r="M9839"/>
    </row>
    <row r="9840" spans="2:13" ht="15" x14ac:dyDescent="0.25">
      <c r="B9840"/>
      <c r="M9840"/>
    </row>
    <row r="9841" spans="2:13" ht="15" x14ac:dyDescent="0.25">
      <c r="B9841"/>
      <c r="M9841"/>
    </row>
    <row r="9842" spans="2:13" ht="15" x14ac:dyDescent="0.25">
      <c r="B9842"/>
      <c r="M9842"/>
    </row>
    <row r="9843" spans="2:13" ht="15" x14ac:dyDescent="0.25">
      <c r="B9843"/>
      <c r="M9843"/>
    </row>
    <row r="9844" spans="2:13" ht="15" x14ac:dyDescent="0.25">
      <c r="B9844"/>
      <c r="M9844"/>
    </row>
    <row r="9845" spans="2:13" ht="15" x14ac:dyDescent="0.25">
      <c r="B9845"/>
      <c r="M9845"/>
    </row>
    <row r="9846" spans="2:13" ht="15" x14ac:dyDescent="0.25">
      <c r="B9846"/>
      <c r="M9846"/>
    </row>
    <row r="9847" spans="2:13" ht="15" x14ac:dyDescent="0.25">
      <c r="B9847"/>
      <c r="M9847"/>
    </row>
    <row r="9848" spans="2:13" ht="15" x14ac:dyDescent="0.25">
      <c r="B9848"/>
      <c r="M9848"/>
    </row>
    <row r="9849" spans="2:13" ht="15" x14ac:dyDescent="0.25">
      <c r="B9849"/>
      <c r="M9849"/>
    </row>
    <row r="9850" spans="2:13" ht="15" x14ac:dyDescent="0.25">
      <c r="B9850"/>
      <c r="M9850"/>
    </row>
    <row r="9851" spans="2:13" ht="15" x14ac:dyDescent="0.25">
      <c r="B9851"/>
      <c r="M9851"/>
    </row>
    <row r="9852" spans="2:13" ht="15" x14ac:dyDescent="0.25">
      <c r="B9852"/>
      <c r="M9852"/>
    </row>
    <row r="9853" spans="2:13" ht="15" x14ac:dyDescent="0.25">
      <c r="B9853"/>
      <c r="M9853"/>
    </row>
    <row r="9854" spans="2:13" ht="15" x14ac:dyDescent="0.25">
      <c r="B9854"/>
      <c r="M9854"/>
    </row>
    <row r="9855" spans="2:13" ht="15" x14ac:dyDescent="0.25">
      <c r="B9855"/>
      <c r="M9855"/>
    </row>
    <row r="9856" spans="2:13" ht="15" x14ac:dyDescent="0.25">
      <c r="B9856"/>
      <c r="M9856"/>
    </row>
    <row r="9857" spans="2:13" ht="15" x14ac:dyDescent="0.25">
      <c r="B9857"/>
      <c r="M9857"/>
    </row>
    <row r="9858" spans="2:13" ht="15" x14ac:dyDescent="0.25">
      <c r="B9858"/>
      <c r="M9858"/>
    </row>
    <row r="9859" spans="2:13" ht="15" x14ac:dyDescent="0.25">
      <c r="B9859"/>
      <c r="M9859"/>
    </row>
    <row r="9860" spans="2:13" ht="15" x14ac:dyDescent="0.25">
      <c r="B9860"/>
      <c r="M9860"/>
    </row>
    <row r="9861" spans="2:13" ht="15" x14ac:dyDescent="0.25">
      <c r="B9861"/>
      <c r="M9861"/>
    </row>
    <row r="9862" spans="2:13" ht="15" x14ac:dyDescent="0.25">
      <c r="B9862"/>
      <c r="M9862"/>
    </row>
    <row r="9863" spans="2:13" ht="15" x14ac:dyDescent="0.25">
      <c r="B9863"/>
      <c r="M9863"/>
    </row>
    <row r="9864" spans="2:13" ht="15" x14ac:dyDescent="0.25">
      <c r="B9864"/>
      <c r="M9864"/>
    </row>
    <row r="9865" spans="2:13" ht="15" x14ac:dyDescent="0.25">
      <c r="B9865"/>
      <c r="M9865"/>
    </row>
    <row r="9866" spans="2:13" ht="15" x14ac:dyDescent="0.25">
      <c r="B9866"/>
      <c r="M9866"/>
    </row>
    <row r="9867" spans="2:13" ht="15" x14ac:dyDescent="0.25">
      <c r="B9867"/>
      <c r="M9867"/>
    </row>
    <row r="9868" spans="2:13" ht="15" x14ac:dyDescent="0.25">
      <c r="B9868"/>
      <c r="M9868"/>
    </row>
    <row r="9869" spans="2:13" ht="15" x14ac:dyDescent="0.25">
      <c r="B9869"/>
      <c r="M9869"/>
    </row>
    <row r="9870" spans="2:13" ht="15" x14ac:dyDescent="0.25">
      <c r="B9870"/>
      <c r="M9870"/>
    </row>
    <row r="9871" spans="2:13" ht="15" x14ac:dyDescent="0.25">
      <c r="B9871"/>
      <c r="M9871"/>
    </row>
    <row r="9872" spans="2:13" ht="15" x14ac:dyDescent="0.25">
      <c r="B9872"/>
      <c r="M9872"/>
    </row>
    <row r="9873" spans="2:13" ht="15" x14ac:dyDescent="0.25">
      <c r="B9873"/>
      <c r="M9873"/>
    </row>
    <row r="9874" spans="2:13" ht="15" x14ac:dyDescent="0.25">
      <c r="B9874"/>
      <c r="M9874"/>
    </row>
    <row r="9875" spans="2:13" ht="15" x14ac:dyDescent="0.25">
      <c r="B9875"/>
      <c r="M9875"/>
    </row>
    <row r="9876" spans="2:13" ht="15" x14ac:dyDescent="0.25">
      <c r="B9876"/>
      <c r="M9876"/>
    </row>
    <row r="9877" spans="2:13" ht="15" x14ac:dyDescent="0.25">
      <c r="B9877"/>
      <c r="M9877"/>
    </row>
    <row r="9878" spans="2:13" ht="15" x14ac:dyDescent="0.25">
      <c r="B9878"/>
      <c r="M9878"/>
    </row>
    <row r="9879" spans="2:13" ht="15" x14ac:dyDescent="0.25">
      <c r="B9879"/>
      <c r="M9879"/>
    </row>
    <row r="9880" spans="2:13" ht="15" x14ac:dyDescent="0.25">
      <c r="B9880"/>
      <c r="M9880"/>
    </row>
    <row r="9881" spans="2:13" ht="15" x14ac:dyDescent="0.25">
      <c r="B9881"/>
      <c r="M9881"/>
    </row>
    <row r="9882" spans="2:13" ht="15" x14ac:dyDescent="0.25">
      <c r="B9882"/>
      <c r="M9882"/>
    </row>
    <row r="9883" spans="2:13" ht="15" x14ac:dyDescent="0.25">
      <c r="B9883"/>
      <c r="M9883"/>
    </row>
    <row r="9884" spans="2:13" ht="15" x14ac:dyDescent="0.25">
      <c r="B9884"/>
      <c r="M9884"/>
    </row>
    <row r="9885" spans="2:13" ht="15" x14ac:dyDescent="0.25">
      <c r="B9885"/>
      <c r="M9885"/>
    </row>
    <row r="9886" spans="2:13" ht="15" x14ac:dyDescent="0.25">
      <c r="B9886"/>
      <c r="M9886"/>
    </row>
    <row r="9887" spans="2:13" ht="15" x14ac:dyDescent="0.25">
      <c r="B9887"/>
      <c r="M9887"/>
    </row>
    <row r="9888" spans="2:13" ht="15" x14ac:dyDescent="0.25">
      <c r="B9888"/>
      <c r="M9888"/>
    </row>
    <row r="9889" spans="2:13" ht="15" x14ac:dyDescent="0.25">
      <c r="B9889"/>
      <c r="M9889"/>
    </row>
    <row r="9890" spans="2:13" ht="15" x14ac:dyDescent="0.25">
      <c r="B9890"/>
      <c r="M9890"/>
    </row>
    <row r="9891" spans="2:13" ht="15" x14ac:dyDescent="0.25">
      <c r="B9891"/>
      <c r="M9891"/>
    </row>
    <row r="9892" spans="2:13" ht="15" x14ac:dyDescent="0.25">
      <c r="B9892"/>
      <c r="M9892"/>
    </row>
    <row r="9893" spans="2:13" ht="15" x14ac:dyDescent="0.25">
      <c r="B9893"/>
      <c r="M9893"/>
    </row>
    <row r="9894" spans="2:13" ht="15" x14ac:dyDescent="0.25">
      <c r="B9894"/>
      <c r="M9894"/>
    </row>
    <row r="9895" spans="2:13" ht="15" x14ac:dyDescent="0.25">
      <c r="B9895"/>
      <c r="M9895"/>
    </row>
    <row r="9896" spans="2:13" ht="15" x14ac:dyDescent="0.25">
      <c r="B9896"/>
      <c r="M9896"/>
    </row>
    <row r="9897" spans="2:13" ht="15" x14ac:dyDescent="0.25">
      <c r="B9897"/>
      <c r="M9897"/>
    </row>
    <row r="9898" spans="2:13" ht="15" x14ac:dyDescent="0.25">
      <c r="B9898"/>
      <c r="M9898"/>
    </row>
    <row r="9899" spans="2:13" ht="15" x14ac:dyDescent="0.25">
      <c r="B9899"/>
      <c r="M9899"/>
    </row>
    <row r="9900" spans="2:13" ht="15" x14ac:dyDescent="0.25">
      <c r="B9900"/>
      <c r="M9900"/>
    </row>
    <row r="9901" spans="2:13" ht="15" x14ac:dyDescent="0.25">
      <c r="B9901"/>
      <c r="M9901"/>
    </row>
    <row r="9902" spans="2:13" ht="15" x14ac:dyDescent="0.25">
      <c r="B9902"/>
      <c r="M9902"/>
    </row>
    <row r="9903" spans="2:13" ht="15" x14ac:dyDescent="0.25">
      <c r="B9903"/>
      <c r="M9903"/>
    </row>
    <row r="9904" spans="2:13" ht="15" x14ac:dyDescent="0.25">
      <c r="B9904"/>
      <c r="M9904"/>
    </row>
    <row r="9905" spans="2:13" ht="15" x14ac:dyDescent="0.25">
      <c r="B9905"/>
      <c r="M9905"/>
    </row>
    <row r="9906" spans="2:13" ht="15" x14ac:dyDescent="0.25">
      <c r="B9906"/>
      <c r="M9906"/>
    </row>
    <row r="9907" spans="2:13" ht="15" x14ac:dyDescent="0.25">
      <c r="B9907"/>
      <c r="M9907"/>
    </row>
    <row r="9908" spans="2:13" ht="15" x14ac:dyDescent="0.25">
      <c r="B9908"/>
      <c r="M9908"/>
    </row>
    <row r="9909" spans="2:13" ht="15" x14ac:dyDescent="0.25">
      <c r="B9909"/>
      <c r="M9909"/>
    </row>
    <row r="9910" spans="2:13" ht="15" x14ac:dyDescent="0.25">
      <c r="B9910"/>
      <c r="M9910"/>
    </row>
    <row r="9911" spans="2:13" ht="15" x14ac:dyDescent="0.25">
      <c r="B9911"/>
      <c r="M9911"/>
    </row>
    <row r="9912" spans="2:13" ht="15" x14ac:dyDescent="0.25">
      <c r="B9912"/>
      <c r="M9912"/>
    </row>
    <row r="9913" spans="2:13" ht="15" x14ac:dyDescent="0.25">
      <c r="B9913"/>
      <c r="M9913"/>
    </row>
    <row r="9914" spans="2:13" ht="15" x14ac:dyDescent="0.25">
      <c r="B9914"/>
      <c r="M9914"/>
    </row>
    <row r="9915" spans="2:13" ht="15" x14ac:dyDescent="0.25">
      <c r="B9915"/>
      <c r="M9915"/>
    </row>
    <row r="9916" spans="2:13" ht="15" x14ac:dyDescent="0.25">
      <c r="B9916"/>
      <c r="M9916"/>
    </row>
    <row r="9917" spans="2:13" ht="15" x14ac:dyDescent="0.25">
      <c r="B9917"/>
      <c r="M9917"/>
    </row>
    <row r="9918" spans="2:13" ht="15" x14ac:dyDescent="0.25">
      <c r="B9918"/>
      <c r="M9918"/>
    </row>
    <row r="9919" spans="2:13" ht="15" x14ac:dyDescent="0.25">
      <c r="B9919"/>
      <c r="M9919"/>
    </row>
    <row r="9920" spans="2:13" ht="15" x14ac:dyDescent="0.25">
      <c r="B9920"/>
      <c r="M9920"/>
    </row>
    <row r="9921" spans="2:13" ht="15" x14ac:dyDescent="0.25">
      <c r="B9921"/>
      <c r="M9921"/>
    </row>
    <row r="9922" spans="2:13" ht="15" x14ac:dyDescent="0.25">
      <c r="B9922"/>
      <c r="M9922"/>
    </row>
    <row r="9923" spans="2:13" ht="15" x14ac:dyDescent="0.25">
      <c r="B9923"/>
      <c r="M9923"/>
    </row>
    <row r="9924" spans="2:13" ht="15" x14ac:dyDescent="0.25">
      <c r="B9924"/>
      <c r="M9924"/>
    </row>
    <row r="9925" spans="2:13" ht="15" x14ac:dyDescent="0.25">
      <c r="B9925"/>
      <c r="M9925"/>
    </row>
    <row r="9926" spans="2:13" ht="15" x14ac:dyDescent="0.25">
      <c r="B9926"/>
      <c r="M9926"/>
    </row>
    <row r="9927" spans="2:13" ht="15" x14ac:dyDescent="0.25">
      <c r="B9927"/>
      <c r="M9927"/>
    </row>
    <row r="9928" spans="2:13" ht="15" x14ac:dyDescent="0.25">
      <c r="B9928"/>
      <c r="M9928"/>
    </row>
    <row r="9929" spans="2:13" ht="15" x14ac:dyDescent="0.25">
      <c r="B9929"/>
      <c r="M9929"/>
    </row>
    <row r="9930" spans="2:13" ht="15" x14ac:dyDescent="0.25">
      <c r="B9930"/>
      <c r="M9930"/>
    </row>
    <row r="9931" spans="2:13" ht="15" x14ac:dyDescent="0.25">
      <c r="B9931"/>
      <c r="M9931"/>
    </row>
    <row r="9932" spans="2:13" ht="15" x14ac:dyDescent="0.25">
      <c r="B9932"/>
      <c r="M9932"/>
    </row>
    <row r="9933" spans="2:13" ht="15" x14ac:dyDescent="0.25">
      <c r="B9933"/>
      <c r="M9933"/>
    </row>
    <row r="9934" spans="2:13" ht="15" x14ac:dyDescent="0.25">
      <c r="B9934"/>
      <c r="M9934"/>
    </row>
    <row r="9935" spans="2:13" ht="15" x14ac:dyDescent="0.25">
      <c r="B9935"/>
      <c r="M9935"/>
    </row>
    <row r="9936" spans="2:13" ht="15" x14ac:dyDescent="0.25">
      <c r="B9936"/>
      <c r="M9936"/>
    </row>
    <row r="9937" spans="2:13" ht="15" x14ac:dyDescent="0.25">
      <c r="B9937"/>
      <c r="M9937"/>
    </row>
    <row r="9938" spans="2:13" ht="15" x14ac:dyDescent="0.25">
      <c r="B9938"/>
      <c r="M9938"/>
    </row>
    <row r="9939" spans="2:13" ht="15" x14ac:dyDescent="0.25">
      <c r="B9939"/>
      <c r="M9939"/>
    </row>
    <row r="9940" spans="2:13" ht="15" x14ac:dyDescent="0.25">
      <c r="B9940"/>
      <c r="M9940"/>
    </row>
    <row r="9941" spans="2:13" ht="15" x14ac:dyDescent="0.25">
      <c r="B9941"/>
      <c r="M9941"/>
    </row>
    <row r="9942" spans="2:13" ht="15" x14ac:dyDescent="0.25">
      <c r="B9942"/>
      <c r="M9942"/>
    </row>
    <row r="9943" spans="2:13" ht="15" x14ac:dyDescent="0.25">
      <c r="B9943"/>
      <c r="M9943"/>
    </row>
    <row r="9944" spans="2:13" ht="15" x14ac:dyDescent="0.25">
      <c r="B9944"/>
      <c r="M9944"/>
    </row>
    <row r="9945" spans="2:13" ht="15" x14ac:dyDescent="0.25">
      <c r="B9945"/>
      <c r="M9945"/>
    </row>
    <row r="9946" spans="2:13" ht="15" x14ac:dyDescent="0.25">
      <c r="B9946"/>
      <c r="M9946"/>
    </row>
    <row r="9947" spans="2:13" ht="15" x14ac:dyDescent="0.25">
      <c r="B9947"/>
      <c r="M9947"/>
    </row>
    <row r="9948" spans="2:13" ht="15" x14ac:dyDescent="0.25">
      <c r="B9948"/>
      <c r="M9948"/>
    </row>
    <row r="9949" spans="2:13" ht="15" x14ac:dyDescent="0.25">
      <c r="B9949"/>
      <c r="M9949"/>
    </row>
    <row r="9950" spans="2:13" ht="15" x14ac:dyDescent="0.25">
      <c r="B9950"/>
      <c r="M9950"/>
    </row>
    <row r="9951" spans="2:13" ht="15" x14ac:dyDescent="0.25">
      <c r="B9951"/>
      <c r="M9951"/>
    </row>
    <row r="9952" spans="2:13" ht="15" x14ac:dyDescent="0.25">
      <c r="B9952"/>
      <c r="M9952"/>
    </row>
    <row r="9953" spans="2:13" ht="15" x14ac:dyDescent="0.25">
      <c r="B9953"/>
      <c r="M9953"/>
    </row>
    <row r="9954" spans="2:13" ht="15" x14ac:dyDescent="0.25">
      <c r="B9954"/>
      <c r="M9954"/>
    </row>
    <row r="9955" spans="2:13" ht="15" x14ac:dyDescent="0.25">
      <c r="B9955"/>
      <c r="M9955"/>
    </row>
    <row r="9956" spans="2:13" ht="15" x14ac:dyDescent="0.25">
      <c r="B9956"/>
      <c r="M9956"/>
    </row>
    <row r="9957" spans="2:13" ht="15" x14ac:dyDescent="0.25">
      <c r="B9957"/>
      <c r="M9957"/>
    </row>
    <row r="9958" spans="2:13" ht="15" x14ac:dyDescent="0.25">
      <c r="B9958"/>
      <c r="M9958"/>
    </row>
    <row r="9959" spans="2:13" ht="15" x14ac:dyDescent="0.25">
      <c r="B9959"/>
      <c r="M9959"/>
    </row>
    <row r="9960" spans="2:13" ht="15" x14ac:dyDescent="0.25">
      <c r="B9960"/>
      <c r="M9960"/>
    </row>
    <row r="9961" spans="2:13" ht="15" x14ac:dyDescent="0.25">
      <c r="B9961"/>
      <c r="M9961"/>
    </row>
    <row r="9962" spans="2:13" ht="15" x14ac:dyDescent="0.25">
      <c r="B9962"/>
      <c r="M9962"/>
    </row>
    <row r="9963" spans="2:13" ht="15" x14ac:dyDescent="0.25">
      <c r="B9963"/>
      <c r="M9963"/>
    </row>
    <row r="9964" spans="2:13" ht="15" x14ac:dyDescent="0.25">
      <c r="B9964"/>
      <c r="M9964"/>
    </row>
    <row r="9965" spans="2:13" ht="15" x14ac:dyDescent="0.25">
      <c r="B9965"/>
      <c r="M9965"/>
    </row>
    <row r="9966" spans="2:13" ht="15" x14ac:dyDescent="0.25">
      <c r="B9966"/>
      <c r="M9966"/>
    </row>
    <row r="9967" spans="2:13" ht="15" x14ac:dyDescent="0.25">
      <c r="B9967"/>
      <c r="M9967"/>
    </row>
    <row r="9968" spans="2:13" ht="15" x14ac:dyDescent="0.25">
      <c r="B9968"/>
      <c r="M9968"/>
    </row>
    <row r="9969" spans="2:13" ht="15" x14ac:dyDescent="0.25">
      <c r="B9969"/>
      <c r="M9969"/>
    </row>
    <row r="9970" spans="2:13" ht="15" x14ac:dyDescent="0.25">
      <c r="B9970"/>
      <c r="M9970"/>
    </row>
    <row r="9971" spans="2:13" ht="15" x14ac:dyDescent="0.25">
      <c r="B9971"/>
      <c r="M9971"/>
    </row>
    <row r="9972" spans="2:13" ht="15" x14ac:dyDescent="0.25">
      <c r="B9972"/>
      <c r="M9972"/>
    </row>
    <row r="9973" spans="2:13" ht="15" x14ac:dyDescent="0.25">
      <c r="B9973"/>
      <c r="M9973"/>
    </row>
    <row r="9974" spans="2:13" ht="15" x14ac:dyDescent="0.25">
      <c r="B9974"/>
      <c r="M9974"/>
    </row>
    <row r="9975" spans="2:13" ht="15" x14ac:dyDescent="0.25">
      <c r="B9975"/>
      <c r="M9975"/>
    </row>
    <row r="9976" spans="2:13" ht="15" x14ac:dyDescent="0.25">
      <c r="B9976"/>
      <c r="M9976"/>
    </row>
    <row r="9977" spans="2:13" ht="15" x14ac:dyDescent="0.25">
      <c r="B9977"/>
      <c r="M9977"/>
    </row>
    <row r="9978" spans="2:13" ht="15" x14ac:dyDescent="0.25">
      <c r="B9978"/>
      <c r="M9978"/>
    </row>
    <row r="9979" spans="2:13" ht="15" x14ac:dyDescent="0.25">
      <c r="B9979"/>
      <c r="M9979"/>
    </row>
    <row r="9980" spans="2:13" ht="15" x14ac:dyDescent="0.25">
      <c r="B9980"/>
      <c r="M9980"/>
    </row>
    <row r="9981" spans="2:13" ht="15" x14ac:dyDescent="0.25">
      <c r="B9981"/>
      <c r="M9981"/>
    </row>
    <row r="9982" spans="2:13" ht="15" x14ac:dyDescent="0.25">
      <c r="B9982"/>
      <c r="M9982"/>
    </row>
    <row r="9983" spans="2:13" ht="15" x14ac:dyDescent="0.25">
      <c r="B9983"/>
      <c r="M9983"/>
    </row>
    <row r="9984" spans="2:13" ht="15" x14ac:dyDescent="0.25">
      <c r="B9984"/>
      <c r="M9984"/>
    </row>
    <row r="9985" spans="2:13" ht="15" x14ac:dyDescent="0.25">
      <c r="B9985"/>
      <c r="M9985"/>
    </row>
    <row r="9986" spans="2:13" ht="15" x14ac:dyDescent="0.25">
      <c r="B9986"/>
      <c r="M9986"/>
    </row>
    <row r="9987" spans="2:13" ht="15" x14ac:dyDescent="0.25">
      <c r="B9987"/>
      <c r="M9987"/>
    </row>
    <row r="9988" spans="2:13" ht="15" x14ac:dyDescent="0.25">
      <c r="B9988"/>
      <c r="M9988"/>
    </row>
    <row r="9989" spans="2:13" ht="15" x14ac:dyDescent="0.25">
      <c r="B9989"/>
      <c r="M9989"/>
    </row>
    <row r="9990" spans="2:13" ht="15" x14ac:dyDescent="0.25">
      <c r="B9990"/>
      <c r="M9990"/>
    </row>
    <row r="9991" spans="2:13" ht="15" x14ac:dyDescent="0.25">
      <c r="B9991"/>
      <c r="M9991"/>
    </row>
    <row r="9992" spans="2:13" ht="15" x14ac:dyDescent="0.25">
      <c r="B9992"/>
      <c r="M9992"/>
    </row>
    <row r="9993" spans="2:13" ht="15" x14ac:dyDescent="0.25">
      <c r="B9993"/>
      <c r="M9993"/>
    </row>
    <row r="9994" spans="2:13" ht="15" x14ac:dyDescent="0.25">
      <c r="B9994"/>
      <c r="M9994"/>
    </row>
    <row r="9995" spans="2:13" ht="15" x14ac:dyDescent="0.25">
      <c r="B9995"/>
      <c r="M9995"/>
    </row>
    <row r="9996" spans="2:13" ht="15" x14ac:dyDescent="0.25">
      <c r="B9996"/>
      <c r="M9996"/>
    </row>
    <row r="9997" spans="2:13" ht="15" x14ac:dyDescent="0.25">
      <c r="B9997"/>
      <c r="M9997"/>
    </row>
    <row r="9998" spans="2:13" ht="15" x14ac:dyDescent="0.25">
      <c r="B9998"/>
      <c r="M9998"/>
    </row>
    <row r="9999" spans="2:13" ht="15" x14ac:dyDescent="0.25">
      <c r="B9999"/>
      <c r="M9999"/>
    </row>
    <row r="10000" spans="2:13" ht="15" x14ac:dyDescent="0.25">
      <c r="B10000"/>
      <c r="M10000"/>
    </row>
    <row r="10001" spans="2:13" ht="15" x14ac:dyDescent="0.25">
      <c r="B10001"/>
      <c r="M10001"/>
    </row>
    <row r="10002" spans="2:13" ht="15" x14ac:dyDescent="0.25">
      <c r="B10002"/>
      <c r="M10002"/>
    </row>
    <row r="10003" spans="2:13" ht="15" x14ac:dyDescent="0.25">
      <c r="B10003"/>
      <c r="M10003"/>
    </row>
    <row r="10004" spans="2:13" ht="15" x14ac:dyDescent="0.25">
      <c r="B10004"/>
      <c r="M10004"/>
    </row>
    <row r="10005" spans="2:13" ht="15" x14ac:dyDescent="0.25">
      <c r="B10005"/>
      <c r="M10005"/>
    </row>
    <row r="10006" spans="2:13" ht="15" x14ac:dyDescent="0.25">
      <c r="B10006"/>
      <c r="M10006"/>
    </row>
    <row r="10007" spans="2:13" ht="15" x14ac:dyDescent="0.25">
      <c r="B10007"/>
      <c r="M10007"/>
    </row>
    <row r="10008" spans="2:13" ht="15" x14ac:dyDescent="0.25">
      <c r="B10008"/>
      <c r="M10008"/>
    </row>
    <row r="10009" spans="2:13" ht="15" x14ac:dyDescent="0.25">
      <c r="B10009"/>
      <c r="M10009"/>
    </row>
    <row r="10010" spans="2:13" ht="15" x14ac:dyDescent="0.25">
      <c r="B10010"/>
      <c r="M10010"/>
    </row>
    <row r="10011" spans="2:13" ht="15" x14ac:dyDescent="0.25">
      <c r="B10011"/>
      <c r="M10011"/>
    </row>
    <row r="10012" spans="2:13" ht="15" x14ac:dyDescent="0.25">
      <c r="B10012"/>
      <c r="M10012"/>
    </row>
    <row r="10013" spans="2:13" ht="15" x14ac:dyDescent="0.25">
      <c r="B10013"/>
      <c r="M10013"/>
    </row>
    <row r="10014" spans="2:13" ht="15" x14ac:dyDescent="0.25">
      <c r="B10014"/>
      <c r="M10014"/>
    </row>
    <row r="10015" spans="2:13" ht="15" x14ac:dyDescent="0.25">
      <c r="B10015"/>
      <c r="M10015"/>
    </row>
    <row r="10016" spans="2:13" ht="15" x14ac:dyDescent="0.25">
      <c r="B10016"/>
      <c r="M10016"/>
    </row>
    <row r="10017" spans="2:13" ht="15" x14ac:dyDescent="0.25">
      <c r="B10017"/>
      <c r="M10017"/>
    </row>
    <row r="10018" spans="2:13" ht="15" x14ac:dyDescent="0.25">
      <c r="B10018"/>
      <c r="M10018"/>
    </row>
    <row r="10019" spans="2:13" ht="15" x14ac:dyDescent="0.25">
      <c r="B10019"/>
      <c r="M10019"/>
    </row>
    <row r="10020" spans="2:13" ht="15" x14ac:dyDescent="0.25">
      <c r="B10020"/>
      <c r="M10020"/>
    </row>
    <row r="10021" spans="2:13" ht="15" x14ac:dyDescent="0.25">
      <c r="B10021"/>
      <c r="M10021"/>
    </row>
    <row r="10022" spans="2:13" ht="15" x14ac:dyDescent="0.25">
      <c r="B10022"/>
      <c r="M10022"/>
    </row>
    <row r="10023" spans="2:13" ht="15" x14ac:dyDescent="0.25">
      <c r="B10023"/>
      <c r="M10023"/>
    </row>
    <row r="10024" spans="2:13" ht="15" x14ac:dyDescent="0.25">
      <c r="B10024"/>
      <c r="M10024"/>
    </row>
    <row r="10025" spans="2:13" ht="15" x14ac:dyDescent="0.25">
      <c r="B10025"/>
      <c r="M10025"/>
    </row>
    <row r="10026" spans="2:13" ht="15" x14ac:dyDescent="0.25">
      <c r="B10026"/>
      <c r="M10026"/>
    </row>
    <row r="10027" spans="2:13" ht="15" x14ac:dyDescent="0.25">
      <c r="B10027"/>
      <c r="M10027"/>
    </row>
    <row r="10028" spans="2:13" ht="15" x14ac:dyDescent="0.25">
      <c r="B10028"/>
      <c r="M10028"/>
    </row>
    <row r="10029" spans="2:13" ht="15" x14ac:dyDescent="0.25">
      <c r="B10029"/>
      <c r="M10029"/>
    </row>
    <row r="10030" spans="2:13" ht="15" x14ac:dyDescent="0.25">
      <c r="B10030"/>
      <c r="M10030"/>
    </row>
    <row r="10031" spans="2:13" ht="15" x14ac:dyDescent="0.25">
      <c r="B10031"/>
      <c r="M10031"/>
    </row>
    <row r="10032" spans="2:13" ht="15" x14ac:dyDescent="0.25">
      <c r="B10032"/>
      <c r="M10032"/>
    </row>
    <row r="10033" spans="2:13" ht="15" x14ac:dyDescent="0.25">
      <c r="B10033"/>
      <c r="M10033"/>
    </row>
    <row r="10034" spans="2:13" ht="15" x14ac:dyDescent="0.25">
      <c r="B10034"/>
      <c r="M10034"/>
    </row>
    <row r="10035" spans="2:13" ht="15" x14ac:dyDescent="0.25">
      <c r="B10035"/>
      <c r="M10035"/>
    </row>
    <row r="10036" spans="2:13" ht="15" x14ac:dyDescent="0.25">
      <c r="B10036"/>
      <c r="M10036"/>
    </row>
    <row r="10037" spans="2:13" ht="15" x14ac:dyDescent="0.25">
      <c r="B10037"/>
      <c r="M10037"/>
    </row>
    <row r="10038" spans="2:13" ht="15" x14ac:dyDescent="0.25">
      <c r="B10038"/>
      <c r="M10038"/>
    </row>
    <row r="10039" spans="2:13" ht="15" x14ac:dyDescent="0.25">
      <c r="B10039"/>
      <c r="M10039"/>
    </row>
    <row r="10040" spans="2:13" ht="15" x14ac:dyDescent="0.25">
      <c r="B10040"/>
      <c r="M10040"/>
    </row>
    <row r="10041" spans="2:13" ht="15" x14ac:dyDescent="0.25">
      <c r="B10041"/>
      <c r="M10041"/>
    </row>
    <row r="10042" spans="2:13" ht="15" x14ac:dyDescent="0.25">
      <c r="B10042"/>
      <c r="M10042"/>
    </row>
    <row r="10043" spans="2:13" ht="15" x14ac:dyDescent="0.25">
      <c r="B10043"/>
      <c r="M10043"/>
    </row>
    <row r="10044" spans="2:13" ht="15" x14ac:dyDescent="0.25">
      <c r="B10044"/>
      <c r="M10044"/>
    </row>
    <row r="10045" spans="2:13" ht="15" x14ac:dyDescent="0.25">
      <c r="B10045"/>
      <c r="M10045"/>
    </row>
    <row r="10046" spans="2:13" ht="15" x14ac:dyDescent="0.25">
      <c r="B10046"/>
      <c r="M10046"/>
    </row>
    <row r="10047" spans="2:13" ht="15" x14ac:dyDescent="0.25">
      <c r="B10047"/>
      <c r="M10047"/>
    </row>
    <row r="10048" spans="2:13" ht="15" x14ac:dyDescent="0.25">
      <c r="B10048"/>
      <c r="M10048"/>
    </row>
    <row r="10049" spans="2:13" ht="15" x14ac:dyDescent="0.25">
      <c r="B10049"/>
      <c r="M10049"/>
    </row>
    <row r="10050" spans="2:13" ht="15" x14ac:dyDescent="0.25">
      <c r="B10050"/>
      <c r="M10050"/>
    </row>
    <row r="10051" spans="2:13" ht="15" x14ac:dyDescent="0.25">
      <c r="B10051"/>
      <c r="M10051"/>
    </row>
    <row r="10052" spans="2:13" ht="15" x14ac:dyDescent="0.25">
      <c r="B10052"/>
      <c r="M10052"/>
    </row>
    <row r="10053" spans="2:13" ht="15" x14ac:dyDescent="0.25">
      <c r="B10053"/>
      <c r="M10053"/>
    </row>
    <row r="10054" spans="2:13" ht="15" x14ac:dyDescent="0.25">
      <c r="B10054"/>
      <c r="M10054"/>
    </row>
    <row r="10055" spans="2:13" ht="15" x14ac:dyDescent="0.25">
      <c r="B10055"/>
      <c r="M10055"/>
    </row>
    <row r="10056" spans="2:13" ht="15" x14ac:dyDescent="0.25">
      <c r="B10056"/>
      <c r="M10056"/>
    </row>
    <row r="10057" spans="2:13" ht="15" x14ac:dyDescent="0.25">
      <c r="B10057"/>
      <c r="M10057"/>
    </row>
    <row r="10058" spans="2:13" ht="15" x14ac:dyDescent="0.25">
      <c r="B10058"/>
      <c r="M10058"/>
    </row>
    <row r="10059" spans="2:13" ht="15" x14ac:dyDescent="0.25">
      <c r="B10059"/>
      <c r="M10059"/>
    </row>
    <row r="10060" spans="2:13" ht="15" x14ac:dyDescent="0.25">
      <c r="B10060"/>
      <c r="M10060"/>
    </row>
    <row r="10061" spans="2:13" ht="15" x14ac:dyDescent="0.25">
      <c r="B10061"/>
      <c r="M10061"/>
    </row>
    <row r="10062" spans="2:13" ht="15" x14ac:dyDescent="0.25">
      <c r="B10062"/>
      <c r="M10062"/>
    </row>
    <row r="10063" spans="2:13" ht="15" x14ac:dyDescent="0.25">
      <c r="B10063"/>
      <c r="M10063"/>
    </row>
    <row r="10064" spans="2:13" ht="15" x14ac:dyDescent="0.25">
      <c r="B10064"/>
      <c r="M10064"/>
    </row>
    <row r="10065" spans="2:13" ht="15" x14ac:dyDescent="0.25">
      <c r="B10065"/>
      <c r="M10065"/>
    </row>
    <row r="10066" spans="2:13" ht="15" x14ac:dyDescent="0.25">
      <c r="B10066"/>
      <c r="M10066"/>
    </row>
    <row r="10067" spans="2:13" ht="15" x14ac:dyDescent="0.25">
      <c r="B10067"/>
      <c r="M10067"/>
    </row>
    <row r="10068" spans="2:13" ht="15" x14ac:dyDescent="0.25">
      <c r="B10068"/>
      <c r="M10068"/>
    </row>
    <row r="10069" spans="2:13" ht="15" x14ac:dyDescent="0.25">
      <c r="B10069"/>
      <c r="M10069"/>
    </row>
    <row r="10070" spans="2:13" ht="15" x14ac:dyDescent="0.25">
      <c r="B10070"/>
      <c r="M10070"/>
    </row>
    <row r="10071" spans="2:13" ht="15" x14ac:dyDescent="0.25">
      <c r="B10071"/>
      <c r="M10071"/>
    </row>
    <row r="10072" spans="2:13" ht="15" x14ac:dyDescent="0.25">
      <c r="B10072"/>
      <c r="M10072"/>
    </row>
    <row r="10073" spans="2:13" ht="15" x14ac:dyDescent="0.25">
      <c r="B10073"/>
      <c r="M10073"/>
    </row>
    <row r="10074" spans="2:13" ht="15" x14ac:dyDescent="0.25">
      <c r="B10074"/>
      <c r="M10074"/>
    </row>
    <row r="10075" spans="2:13" ht="15" x14ac:dyDescent="0.25">
      <c r="B10075"/>
      <c r="M10075"/>
    </row>
    <row r="10076" spans="2:13" ht="15" x14ac:dyDescent="0.25">
      <c r="B10076"/>
      <c r="M10076"/>
    </row>
    <row r="10077" spans="2:13" ht="15" x14ac:dyDescent="0.25">
      <c r="B10077"/>
      <c r="M10077"/>
    </row>
    <row r="10078" spans="2:13" ht="15" x14ac:dyDescent="0.25">
      <c r="B10078"/>
      <c r="M10078"/>
    </row>
    <row r="10079" spans="2:13" ht="15" x14ac:dyDescent="0.25">
      <c r="B10079"/>
      <c r="M10079"/>
    </row>
    <row r="10080" spans="2:13" ht="15" x14ac:dyDescent="0.25">
      <c r="B10080"/>
      <c r="M10080"/>
    </row>
    <row r="10081" spans="2:13" ht="15" x14ac:dyDescent="0.25">
      <c r="B10081"/>
      <c r="M10081"/>
    </row>
    <row r="10082" spans="2:13" ht="15" x14ac:dyDescent="0.25">
      <c r="B10082"/>
      <c r="M10082"/>
    </row>
    <row r="10083" spans="2:13" ht="15" x14ac:dyDescent="0.25">
      <c r="B10083"/>
      <c r="M10083"/>
    </row>
    <row r="10084" spans="2:13" ht="15" x14ac:dyDescent="0.25">
      <c r="B10084"/>
      <c r="M10084"/>
    </row>
    <row r="10085" spans="2:13" ht="15" x14ac:dyDescent="0.25">
      <c r="B10085"/>
      <c r="M10085"/>
    </row>
    <row r="10086" spans="2:13" ht="15" x14ac:dyDescent="0.25">
      <c r="B10086"/>
      <c r="M10086"/>
    </row>
    <row r="10087" spans="2:13" ht="15" x14ac:dyDescent="0.25">
      <c r="B10087"/>
      <c r="M10087"/>
    </row>
    <row r="10088" spans="2:13" ht="15" x14ac:dyDescent="0.25">
      <c r="B10088"/>
      <c r="M10088"/>
    </row>
    <row r="10089" spans="2:13" ht="15" x14ac:dyDescent="0.25">
      <c r="B10089"/>
      <c r="M10089"/>
    </row>
    <row r="10090" spans="2:13" ht="15" x14ac:dyDescent="0.25">
      <c r="B10090"/>
      <c r="M10090"/>
    </row>
    <row r="10091" spans="2:13" ht="15" x14ac:dyDescent="0.25">
      <c r="B10091"/>
      <c r="M10091"/>
    </row>
    <row r="10092" spans="2:13" ht="15" x14ac:dyDescent="0.25">
      <c r="B10092"/>
      <c r="M10092"/>
    </row>
    <row r="10093" spans="2:13" ht="15" x14ac:dyDescent="0.25">
      <c r="B10093"/>
      <c r="M10093"/>
    </row>
    <row r="10094" spans="2:13" ht="15" x14ac:dyDescent="0.25">
      <c r="B10094"/>
      <c r="M10094"/>
    </row>
    <row r="10095" spans="2:13" ht="15" x14ac:dyDescent="0.25">
      <c r="B10095"/>
      <c r="M10095"/>
    </row>
    <row r="10096" spans="2:13" ht="15" x14ac:dyDescent="0.25">
      <c r="B10096"/>
      <c r="M10096"/>
    </row>
    <row r="10097" spans="2:13" ht="15" x14ac:dyDescent="0.25">
      <c r="B10097"/>
      <c r="M10097"/>
    </row>
    <row r="10098" spans="2:13" ht="15" x14ac:dyDescent="0.25">
      <c r="B10098"/>
      <c r="M10098"/>
    </row>
    <row r="10099" spans="2:13" ht="15" x14ac:dyDescent="0.25">
      <c r="B10099"/>
      <c r="M10099"/>
    </row>
    <row r="10100" spans="2:13" ht="15" x14ac:dyDescent="0.25">
      <c r="B10100"/>
      <c r="M10100"/>
    </row>
    <row r="10101" spans="2:13" ht="15" x14ac:dyDescent="0.25">
      <c r="B10101"/>
      <c r="M10101"/>
    </row>
    <row r="10102" spans="2:13" ht="15" x14ac:dyDescent="0.25">
      <c r="B10102"/>
      <c r="M10102"/>
    </row>
    <row r="10103" spans="2:13" ht="15" x14ac:dyDescent="0.25">
      <c r="B10103"/>
      <c r="M10103"/>
    </row>
    <row r="10104" spans="2:13" ht="15" x14ac:dyDescent="0.25">
      <c r="B10104"/>
      <c r="M10104"/>
    </row>
    <row r="10105" spans="2:13" ht="15" x14ac:dyDescent="0.25">
      <c r="B10105"/>
      <c r="M10105"/>
    </row>
    <row r="10106" spans="2:13" ht="15" x14ac:dyDescent="0.25">
      <c r="B10106"/>
      <c r="M10106"/>
    </row>
    <row r="10107" spans="2:13" ht="15" x14ac:dyDescent="0.25">
      <c r="B10107"/>
      <c r="M10107"/>
    </row>
    <row r="10108" spans="2:13" ht="15" x14ac:dyDescent="0.25">
      <c r="B10108"/>
      <c r="M10108"/>
    </row>
    <row r="10109" spans="2:13" ht="15" x14ac:dyDescent="0.25">
      <c r="B10109"/>
      <c r="M10109"/>
    </row>
    <row r="10110" spans="2:13" ht="15" x14ac:dyDescent="0.25">
      <c r="B10110"/>
      <c r="M10110"/>
    </row>
    <row r="10111" spans="2:13" ht="15" x14ac:dyDescent="0.25">
      <c r="B10111"/>
      <c r="M10111"/>
    </row>
    <row r="10112" spans="2:13" ht="15" x14ac:dyDescent="0.25">
      <c r="B10112"/>
      <c r="M10112"/>
    </row>
    <row r="10113" spans="2:13" ht="15" x14ac:dyDescent="0.25">
      <c r="B10113"/>
      <c r="M10113"/>
    </row>
    <row r="10114" spans="2:13" ht="15" x14ac:dyDescent="0.25">
      <c r="B10114"/>
      <c r="M10114"/>
    </row>
    <row r="10115" spans="2:13" ht="15" x14ac:dyDescent="0.25">
      <c r="B10115"/>
      <c r="M10115"/>
    </row>
    <row r="10116" spans="2:13" ht="15" x14ac:dyDescent="0.25">
      <c r="B10116"/>
      <c r="M10116"/>
    </row>
    <row r="10117" spans="2:13" ht="15" x14ac:dyDescent="0.25">
      <c r="B10117"/>
      <c r="M10117"/>
    </row>
    <row r="10118" spans="2:13" ht="15" x14ac:dyDescent="0.25">
      <c r="B10118"/>
      <c r="M10118"/>
    </row>
    <row r="10119" spans="2:13" ht="15" x14ac:dyDescent="0.25">
      <c r="B10119"/>
      <c r="M10119"/>
    </row>
    <row r="10120" spans="2:13" ht="15" x14ac:dyDescent="0.25">
      <c r="B10120"/>
      <c r="M10120"/>
    </row>
    <row r="10121" spans="2:13" ht="15" x14ac:dyDescent="0.25">
      <c r="B10121"/>
      <c r="M10121"/>
    </row>
    <row r="10122" spans="2:13" ht="15" x14ac:dyDescent="0.25">
      <c r="B10122"/>
      <c r="M10122"/>
    </row>
    <row r="10123" spans="2:13" ht="15" x14ac:dyDescent="0.25">
      <c r="B10123"/>
      <c r="M10123"/>
    </row>
    <row r="10124" spans="2:13" ht="15" x14ac:dyDescent="0.25">
      <c r="B10124"/>
      <c r="M10124"/>
    </row>
    <row r="10125" spans="2:13" ht="15" x14ac:dyDescent="0.25">
      <c r="B10125"/>
      <c r="M10125"/>
    </row>
    <row r="10126" spans="2:13" ht="15" x14ac:dyDescent="0.25">
      <c r="B10126"/>
      <c r="M10126"/>
    </row>
    <row r="10127" spans="2:13" ht="15" x14ac:dyDescent="0.25">
      <c r="B10127"/>
      <c r="M10127"/>
    </row>
    <row r="10128" spans="2:13" ht="15" x14ac:dyDescent="0.25">
      <c r="B10128"/>
      <c r="M10128"/>
    </row>
    <row r="10129" spans="2:13" ht="15" x14ac:dyDescent="0.25">
      <c r="B10129"/>
      <c r="M10129"/>
    </row>
    <row r="10130" spans="2:13" ht="15" x14ac:dyDescent="0.25">
      <c r="B10130"/>
      <c r="M10130"/>
    </row>
    <row r="10131" spans="2:13" ht="15" x14ac:dyDescent="0.25">
      <c r="B10131"/>
      <c r="M10131"/>
    </row>
    <row r="10132" spans="2:13" ht="15" x14ac:dyDescent="0.25">
      <c r="B10132"/>
      <c r="M10132"/>
    </row>
    <row r="10133" spans="2:13" ht="15" x14ac:dyDescent="0.25">
      <c r="B10133"/>
      <c r="M10133"/>
    </row>
    <row r="10134" spans="2:13" ht="15" x14ac:dyDescent="0.25">
      <c r="B10134"/>
      <c r="M10134"/>
    </row>
    <row r="10135" spans="2:13" ht="15" x14ac:dyDescent="0.25">
      <c r="B10135"/>
      <c r="M10135"/>
    </row>
    <row r="10136" spans="2:13" ht="15" x14ac:dyDescent="0.25">
      <c r="B10136"/>
      <c r="M10136"/>
    </row>
    <row r="10137" spans="2:13" ht="15" x14ac:dyDescent="0.25">
      <c r="B10137"/>
      <c r="M10137"/>
    </row>
    <row r="10138" spans="2:13" ht="15" x14ac:dyDescent="0.25">
      <c r="B10138"/>
      <c r="M10138"/>
    </row>
    <row r="10139" spans="2:13" ht="15" x14ac:dyDescent="0.25">
      <c r="B10139"/>
      <c r="M10139"/>
    </row>
    <row r="10140" spans="2:13" ht="15" x14ac:dyDescent="0.25">
      <c r="B10140"/>
      <c r="M10140"/>
    </row>
    <row r="10141" spans="2:13" ht="15" x14ac:dyDescent="0.25">
      <c r="B10141"/>
      <c r="M10141"/>
    </row>
    <row r="10142" spans="2:13" ht="15" x14ac:dyDescent="0.25">
      <c r="B10142"/>
      <c r="M10142"/>
    </row>
    <row r="10143" spans="2:13" ht="15" x14ac:dyDescent="0.25">
      <c r="B10143"/>
      <c r="M10143"/>
    </row>
    <row r="10144" spans="2:13" ht="15" x14ac:dyDescent="0.25">
      <c r="B10144"/>
      <c r="M10144"/>
    </row>
    <row r="10145" spans="2:13" ht="15" x14ac:dyDescent="0.25">
      <c r="B10145"/>
      <c r="M10145"/>
    </row>
    <row r="10146" spans="2:13" ht="15" x14ac:dyDescent="0.25">
      <c r="B10146"/>
      <c r="M10146"/>
    </row>
    <row r="10147" spans="2:13" ht="15" x14ac:dyDescent="0.25">
      <c r="B10147"/>
      <c r="M10147"/>
    </row>
    <row r="10148" spans="2:13" ht="15" x14ac:dyDescent="0.25">
      <c r="B10148"/>
      <c r="M10148"/>
    </row>
    <row r="10149" spans="2:13" ht="15" x14ac:dyDescent="0.25">
      <c r="B10149"/>
      <c r="M10149"/>
    </row>
    <row r="10150" spans="2:13" ht="15" x14ac:dyDescent="0.25">
      <c r="B10150"/>
      <c r="M10150"/>
    </row>
    <row r="10151" spans="2:13" ht="15" x14ac:dyDescent="0.25">
      <c r="B10151"/>
      <c r="M10151"/>
    </row>
    <row r="10152" spans="2:13" ht="15" x14ac:dyDescent="0.25">
      <c r="B10152"/>
      <c r="M10152"/>
    </row>
    <row r="10153" spans="2:13" ht="15" x14ac:dyDescent="0.25">
      <c r="B10153"/>
      <c r="M10153"/>
    </row>
    <row r="10154" spans="2:13" ht="15" x14ac:dyDescent="0.25">
      <c r="B10154"/>
      <c r="M10154"/>
    </row>
    <row r="10155" spans="2:13" ht="15" x14ac:dyDescent="0.25">
      <c r="B10155"/>
      <c r="M10155"/>
    </row>
    <row r="10156" spans="2:13" ht="15" x14ac:dyDescent="0.25">
      <c r="B10156"/>
      <c r="M10156"/>
    </row>
    <row r="10157" spans="2:13" ht="15" x14ac:dyDescent="0.25">
      <c r="B10157"/>
      <c r="M10157"/>
    </row>
    <row r="10158" spans="2:13" ht="15" x14ac:dyDescent="0.25">
      <c r="B10158"/>
      <c r="M10158"/>
    </row>
    <row r="10159" spans="2:13" ht="15" x14ac:dyDescent="0.25">
      <c r="B10159"/>
      <c r="M10159"/>
    </row>
    <row r="10160" spans="2:13" ht="15" x14ac:dyDescent="0.25">
      <c r="B10160"/>
      <c r="M10160"/>
    </row>
    <row r="10161" spans="2:13" ht="15" x14ac:dyDescent="0.25">
      <c r="B10161"/>
      <c r="M10161"/>
    </row>
    <row r="10162" spans="2:13" ht="15" x14ac:dyDescent="0.25">
      <c r="B10162"/>
      <c r="M10162"/>
    </row>
    <row r="10163" spans="2:13" ht="15" x14ac:dyDescent="0.25">
      <c r="B10163"/>
      <c r="M10163"/>
    </row>
    <row r="10164" spans="2:13" ht="15" x14ac:dyDescent="0.25">
      <c r="B10164"/>
      <c r="M10164"/>
    </row>
    <row r="10165" spans="2:13" ht="15" x14ac:dyDescent="0.25">
      <c r="B10165"/>
      <c r="M10165"/>
    </row>
    <row r="10166" spans="2:13" ht="15" x14ac:dyDescent="0.25">
      <c r="B10166"/>
      <c r="M10166"/>
    </row>
    <row r="10167" spans="2:13" ht="15" x14ac:dyDescent="0.25">
      <c r="B10167"/>
      <c r="M10167"/>
    </row>
    <row r="10168" spans="2:13" ht="15" x14ac:dyDescent="0.25">
      <c r="B10168"/>
      <c r="M10168"/>
    </row>
    <row r="10169" spans="2:13" ht="15" x14ac:dyDescent="0.25">
      <c r="B10169"/>
      <c r="M10169"/>
    </row>
    <row r="10170" spans="2:13" ht="15" x14ac:dyDescent="0.25">
      <c r="B10170"/>
      <c r="M10170"/>
    </row>
    <row r="10171" spans="2:13" ht="15" x14ac:dyDescent="0.25">
      <c r="B10171"/>
      <c r="M10171"/>
    </row>
    <row r="10172" spans="2:13" ht="15" x14ac:dyDescent="0.25">
      <c r="B10172"/>
      <c r="M10172"/>
    </row>
    <row r="10173" spans="2:13" ht="15" x14ac:dyDescent="0.25">
      <c r="B10173"/>
      <c r="M10173"/>
    </row>
    <row r="10174" spans="2:13" ht="15" x14ac:dyDescent="0.25">
      <c r="B10174"/>
      <c r="M10174"/>
    </row>
    <row r="10175" spans="2:13" ht="15" x14ac:dyDescent="0.25">
      <c r="B10175"/>
      <c r="M10175"/>
    </row>
    <row r="10176" spans="2:13" ht="15" x14ac:dyDescent="0.25">
      <c r="B10176"/>
      <c r="M10176"/>
    </row>
    <row r="10177" spans="2:13" ht="15" x14ac:dyDescent="0.25">
      <c r="B10177"/>
      <c r="M10177"/>
    </row>
    <row r="10178" spans="2:13" ht="15" x14ac:dyDescent="0.25">
      <c r="B10178"/>
      <c r="M10178"/>
    </row>
    <row r="10179" spans="2:13" ht="15" x14ac:dyDescent="0.25">
      <c r="B10179"/>
      <c r="M10179"/>
    </row>
    <row r="10180" spans="2:13" ht="15" x14ac:dyDescent="0.25">
      <c r="B10180"/>
      <c r="M10180"/>
    </row>
    <row r="10181" spans="2:13" ht="15" x14ac:dyDescent="0.25">
      <c r="B10181"/>
      <c r="M10181"/>
    </row>
    <row r="10182" spans="2:13" ht="15" x14ac:dyDescent="0.25">
      <c r="B10182"/>
      <c r="M10182"/>
    </row>
    <row r="10183" spans="2:13" ht="15" x14ac:dyDescent="0.25">
      <c r="B10183"/>
      <c r="M10183"/>
    </row>
    <row r="10184" spans="2:13" ht="15" x14ac:dyDescent="0.25">
      <c r="B10184"/>
      <c r="M10184"/>
    </row>
    <row r="10185" spans="2:13" ht="15" x14ac:dyDescent="0.25">
      <c r="B10185"/>
      <c r="M10185"/>
    </row>
    <row r="10186" spans="2:13" ht="15" x14ac:dyDescent="0.25">
      <c r="B10186"/>
      <c r="M10186"/>
    </row>
    <row r="10187" spans="2:13" ht="15" x14ac:dyDescent="0.25">
      <c r="B10187"/>
      <c r="M10187"/>
    </row>
    <row r="10188" spans="2:13" ht="15" x14ac:dyDescent="0.25">
      <c r="B10188"/>
      <c r="M10188"/>
    </row>
    <row r="10189" spans="2:13" ht="15" x14ac:dyDescent="0.25">
      <c r="B10189"/>
      <c r="M10189"/>
    </row>
    <row r="10190" spans="2:13" ht="15" x14ac:dyDescent="0.25">
      <c r="B10190"/>
      <c r="M10190"/>
    </row>
    <row r="10191" spans="2:13" ht="15" x14ac:dyDescent="0.25">
      <c r="B10191"/>
      <c r="M10191"/>
    </row>
    <row r="10192" spans="2:13" ht="15" x14ac:dyDescent="0.25">
      <c r="B10192"/>
      <c r="M10192"/>
    </row>
    <row r="10193" spans="2:13" ht="15" x14ac:dyDescent="0.25">
      <c r="B10193"/>
      <c r="M10193"/>
    </row>
    <row r="10194" spans="2:13" ht="15" x14ac:dyDescent="0.25">
      <c r="B10194"/>
      <c r="M10194"/>
    </row>
    <row r="10195" spans="2:13" ht="15" x14ac:dyDescent="0.25">
      <c r="B10195"/>
      <c r="M10195"/>
    </row>
    <row r="10196" spans="2:13" ht="15" x14ac:dyDescent="0.25">
      <c r="B10196"/>
      <c r="M10196"/>
    </row>
    <row r="10197" spans="2:13" ht="15" x14ac:dyDescent="0.25">
      <c r="B10197"/>
      <c r="M10197"/>
    </row>
    <row r="10198" spans="2:13" ht="15" x14ac:dyDescent="0.25">
      <c r="B10198"/>
      <c r="M10198"/>
    </row>
    <row r="10199" spans="2:13" ht="15" x14ac:dyDescent="0.25">
      <c r="B10199"/>
      <c r="M10199"/>
    </row>
    <row r="10200" spans="2:13" ht="15" x14ac:dyDescent="0.25">
      <c r="B10200"/>
      <c r="M10200"/>
    </row>
    <row r="10201" spans="2:13" ht="15" x14ac:dyDescent="0.25">
      <c r="B10201"/>
      <c r="M10201"/>
    </row>
    <row r="10202" spans="2:13" ht="15" x14ac:dyDescent="0.25">
      <c r="B10202"/>
      <c r="M10202"/>
    </row>
    <row r="10203" spans="2:13" ht="15" x14ac:dyDescent="0.25">
      <c r="B10203"/>
      <c r="M10203"/>
    </row>
    <row r="10204" spans="2:13" ht="15" x14ac:dyDescent="0.25">
      <c r="B10204"/>
      <c r="M10204"/>
    </row>
    <row r="10205" spans="2:13" ht="15" x14ac:dyDescent="0.25">
      <c r="B10205"/>
      <c r="M10205"/>
    </row>
    <row r="10206" spans="2:13" ht="15" x14ac:dyDescent="0.25">
      <c r="B10206"/>
      <c r="M10206"/>
    </row>
    <row r="10207" spans="2:13" ht="15" x14ac:dyDescent="0.25">
      <c r="B10207"/>
      <c r="M10207"/>
    </row>
    <row r="10208" spans="2:13" ht="15" x14ac:dyDescent="0.25">
      <c r="B10208"/>
      <c r="M10208"/>
    </row>
    <row r="10209" spans="2:13" ht="15" x14ac:dyDescent="0.25">
      <c r="B10209"/>
      <c r="M10209"/>
    </row>
    <row r="10210" spans="2:13" ht="15" x14ac:dyDescent="0.25">
      <c r="B10210"/>
      <c r="M10210"/>
    </row>
    <row r="10211" spans="2:13" ht="15" x14ac:dyDescent="0.25">
      <c r="B10211"/>
      <c r="M10211"/>
    </row>
    <row r="10212" spans="2:13" ht="15" x14ac:dyDescent="0.25">
      <c r="B10212"/>
      <c r="M10212"/>
    </row>
    <row r="10213" spans="2:13" ht="15" x14ac:dyDescent="0.25">
      <c r="B10213"/>
      <c r="M10213"/>
    </row>
    <row r="10214" spans="2:13" ht="15" x14ac:dyDescent="0.25">
      <c r="B10214"/>
      <c r="M10214"/>
    </row>
    <row r="10215" spans="2:13" ht="15" x14ac:dyDescent="0.25">
      <c r="B10215"/>
      <c r="M10215"/>
    </row>
    <row r="10216" spans="2:13" ht="15" x14ac:dyDescent="0.25">
      <c r="B10216"/>
      <c r="M10216"/>
    </row>
    <row r="10217" spans="2:13" ht="15" x14ac:dyDescent="0.25">
      <c r="B10217"/>
      <c r="M10217"/>
    </row>
    <row r="10218" spans="2:13" ht="15" x14ac:dyDescent="0.25">
      <c r="B10218"/>
      <c r="M10218"/>
    </row>
    <row r="10219" spans="2:13" ht="15" x14ac:dyDescent="0.25">
      <c r="B10219"/>
      <c r="M10219"/>
    </row>
    <row r="10220" spans="2:13" ht="15" x14ac:dyDescent="0.25">
      <c r="B10220"/>
      <c r="M10220"/>
    </row>
    <row r="10221" spans="2:13" ht="15" x14ac:dyDescent="0.25">
      <c r="B10221"/>
      <c r="M10221"/>
    </row>
    <row r="10222" spans="2:13" ht="15" x14ac:dyDescent="0.25">
      <c r="B10222"/>
      <c r="M10222"/>
    </row>
    <row r="10223" spans="2:13" ht="15" x14ac:dyDescent="0.25">
      <c r="B10223"/>
      <c r="M10223"/>
    </row>
    <row r="10224" spans="2:13" ht="15" x14ac:dyDescent="0.25">
      <c r="B10224"/>
      <c r="M10224"/>
    </row>
    <row r="10225" spans="2:13" ht="15" x14ac:dyDescent="0.25">
      <c r="B10225"/>
      <c r="M10225"/>
    </row>
    <row r="10226" spans="2:13" ht="15" x14ac:dyDescent="0.25">
      <c r="B10226"/>
      <c r="M10226"/>
    </row>
    <row r="10227" spans="2:13" ht="15" x14ac:dyDescent="0.25">
      <c r="B10227"/>
      <c r="M10227"/>
    </row>
    <row r="10228" spans="2:13" ht="15" x14ac:dyDescent="0.25">
      <c r="B10228"/>
      <c r="M10228"/>
    </row>
    <row r="10229" spans="2:13" ht="15" x14ac:dyDescent="0.25">
      <c r="B10229"/>
      <c r="M10229"/>
    </row>
    <row r="10230" spans="2:13" ht="15" x14ac:dyDescent="0.25">
      <c r="B10230"/>
      <c r="M10230"/>
    </row>
    <row r="10231" spans="2:13" ht="15" x14ac:dyDescent="0.25">
      <c r="B10231"/>
      <c r="M10231"/>
    </row>
    <row r="10232" spans="2:13" ht="15" x14ac:dyDescent="0.25">
      <c r="B10232"/>
      <c r="M10232"/>
    </row>
    <row r="10233" spans="2:13" ht="15" x14ac:dyDescent="0.25">
      <c r="B10233"/>
      <c r="M10233"/>
    </row>
    <row r="10234" spans="2:13" ht="15" x14ac:dyDescent="0.25">
      <c r="B10234"/>
      <c r="M10234"/>
    </row>
    <row r="10235" spans="2:13" ht="15" x14ac:dyDescent="0.25">
      <c r="B10235"/>
      <c r="M10235"/>
    </row>
    <row r="10236" spans="2:13" ht="15" x14ac:dyDescent="0.25">
      <c r="B10236"/>
      <c r="M10236"/>
    </row>
    <row r="10237" spans="2:13" ht="15" x14ac:dyDescent="0.25">
      <c r="B10237"/>
      <c r="M10237"/>
    </row>
    <row r="10238" spans="2:13" ht="15" x14ac:dyDescent="0.25">
      <c r="B10238"/>
      <c r="M10238"/>
    </row>
    <row r="10239" spans="2:13" ht="15" x14ac:dyDescent="0.25">
      <c r="B10239"/>
      <c r="M10239"/>
    </row>
    <row r="10240" spans="2:13" ht="15" x14ac:dyDescent="0.25">
      <c r="B10240"/>
      <c r="M10240"/>
    </row>
    <row r="10241" spans="2:13" ht="15" x14ac:dyDescent="0.25">
      <c r="B10241"/>
      <c r="M10241"/>
    </row>
    <row r="10242" spans="2:13" ht="15" x14ac:dyDescent="0.25">
      <c r="B10242"/>
      <c r="M10242"/>
    </row>
    <row r="10243" spans="2:13" ht="15" x14ac:dyDescent="0.25">
      <c r="B10243"/>
      <c r="M10243"/>
    </row>
    <row r="10244" spans="2:13" ht="15" x14ac:dyDescent="0.25">
      <c r="B10244"/>
      <c r="M10244"/>
    </row>
    <row r="10245" spans="2:13" ht="15" x14ac:dyDescent="0.25">
      <c r="B10245"/>
      <c r="M10245"/>
    </row>
    <row r="10246" spans="2:13" ht="15" x14ac:dyDescent="0.25">
      <c r="B10246"/>
      <c r="M10246"/>
    </row>
    <row r="10247" spans="2:13" ht="15" x14ac:dyDescent="0.25">
      <c r="B10247"/>
      <c r="M10247"/>
    </row>
    <row r="10248" spans="2:13" ht="15" x14ac:dyDescent="0.25">
      <c r="B10248"/>
      <c r="M10248"/>
    </row>
    <row r="10249" spans="2:13" ht="15" x14ac:dyDescent="0.25">
      <c r="B10249"/>
      <c r="M10249"/>
    </row>
    <row r="10250" spans="2:13" ht="15" x14ac:dyDescent="0.25">
      <c r="B10250"/>
      <c r="M10250"/>
    </row>
    <row r="10251" spans="2:13" ht="15" x14ac:dyDescent="0.25">
      <c r="B10251"/>
      <c r="M10251"/>
    </row>
    <row r="10252" spans="2:13" ht="15" x14ac:dyDescent="0.25">
      <c r="B10252"/>
      <c r="M10252"/>
    </row>
    <row r="10253" spans="2:13" ht="15" x14ac:dyDescent="0.25">
      <c r="B10253"/>
      <c r="M10253"/>
    </row>
    <row r="10254" spans="2:13" ht="15" x14ac:dyDescent="0.25">
      <c r="B10254"/>
      <c r="M10254"/>
    </row>
    <row r="10255" spans="2:13" ht="15" x14ac:dyDescent="0.25">
      <c r="B10255"/>
      <c r="M10255"/>
    </row>
    <row r="10256" spans="2:13" ht="15" x14ac:dyDescent="0.25">
      <c r="B10256"/>
      <c r="M10256"/>
    </row>
    <row r="10257" spans="2:13" ht="15" x14ac:dyDescent="0.25">
      <c r="B10257"/>
      <c r="M10257"/>
    </row>
    <row r="10258" spans="2:13" ht="15" x14ac:dyDescent="0.25">
      <c r="B10258"/>
      <c r="M10258"/>
    </row>
    <row r="10259" spans="2:13" ht="15" x14ac:dyDescent="0.25">
      <c r="B10259"/>
      <c r="M10259"/>
    </row>
    <row r="10260" spans="2:13" ht="15" x14ac:dyDescent="0.25">
      <c r="B10260"/>
      <c r="M10260"/>
    </row>
    <row r="10261" spans="2:13" ht="15" x14ac:dyDescent="0.25">
      <c r="B10261"/>
      <c r="M10261"/>
    </row>
    <row r="10262" spans="2:13" ht="15" x14ac:dyDescent="0.25">
      <c r="B10262"/>
      <c r="M10262"/>
    </row>
    <row r="10263" spans="2:13" ht="15" x14ac:dyDescent="0.25">
      <c r="B10263"/>
      <c r="M10263"/>
    </row>
    <row r="10264" spans="2:13" ht="15" x14ac:dyDescent="0.25">
      <c r="B10264"/>
      <c r="M10264"/>
    </row>
    <row r="10265" spans="2:13" ht="15" x14ac:dyDescent="0.25">
      <c r="B10265"/>
      <c r="M10265"/>
    </row>
    <row r="10266" spans="2:13" ht="15" x14ac:dyDescent="0.25">
      <c r="B10266"/>
      <c r="M10266"/>
    </row>
    <row r="10267" spans="2:13" ht="15" x14ac:dyDescent="0.25">
      <c r="B10267"/>
      <c r="M10267"/>
    </row>
    <row r="10268" spans="2:13" ht="15" x14ac:dyDescent="0.25">
      <c r="B10268"/>
      <c r="M10268"/>
    </row>
    <row r="10269" spans="2:13" ht="15" x14ac:dyDescent="0.25">
      <c r="B10269"/>
      <c r="M10269"/>
    </row>
    <row r="10270" spans="2:13" ht="15" x14ac:dyDescent="0.25">
      <c r="B10270"/>
      <c r="M10270"/>
    </row>
    <row r="10271" spans="2:13" ht="15" x14ac:dyDescent="0.25">
      <c r="B10271"/>
      <c r="M10271"/>
    </row>
    <row r="10272" spans="2:13" ht="15" x14ac:dyDescent="0.25">
      <c r="B10272"/>
      <c r="M10272"/>
    </row>
    <row r="10273" spans="2:13" ht="15" x14ac:dyDescent="0.25">
      <c r="B10273"/>
      <c r="M10273"/>
    </row>
    <row r="10274" spans="2:13" ht="15" x14ac:dyDescent="0.25">
      <c r="B10274"/>
      <c r="M10274"/>
    </row>
    <row r="10275" spans="2:13" ht="15" x14ac:dyDescent="0.25">
      <c r="B10275"/>
      <c r="M10275"/>
    </row>
    <row r="10276" spans="2:13" ht="15" x14ac:dyDescent="0.25">
      <c r="B10276"/>
      <c r="M10276"/>
    </row>
    <row r="10277" spans="2:13" ht="15" x14ac:dyDescent="0.25">
      <c r="B10277"/>
      <c r="M10277"/>
    </row>
    <row r="10278" spans="2:13" ht="15" x14ac:dyDescent="0.25">
      <c r="B10278"/>
      <c r="M10278"/>
    </row>
    <row r="10279" spans="2:13" ht="15" x14ac:dyDescent="0.25">
      <c r="B10279"/>
      <c r="M10279"/>
    </row>
    <row r="10280" spans="2:13" ht="15" x14ac:dyDescent="0.25">
      <c r="B10280"/>
      <c r="M10280"/>
    </row>
    <row r="10281" spans="2:13" ht="15" x14ac:dyDescent="0.25">
      <c r="B10281"/>
      <c r="M10281"/>
    </row>
    <row r="10282" spans="2:13" ht="15" x14ac:dyDescent="0.25">
      <c r="B10282"/>
      <c r="M10282"/>
    </row>
    <row r="10283" spans="2:13" ht="15" x14ac:dyDescent="0.25">
      <c r="B10283"/>
      <c r="M10283"/>
    </row>
    <row r="10284" spans="2:13" ht="15" x14ac:dyDescent="0.25">
      <c r="B10284"/>
      <c r="M10284"/>
    </row>
    <row r="10285" spans="2:13" ht="15" x14ac:dyDescent="0.25">
      <c r="B10285"/>
      <c r="M10285"/>
    </row>
    <row r="10286" spans="2:13" ht="15.75" thickBot="1" x14ac:dyDescent="0.3">
      <c r="B10286" s="51"/>
      <c r="M10286" s="52"/>
    </row>
    <row r="10287" spans="2:13" ht="15" x14ac:dyDescent="0.25"/>
  </sheetData>
  <autoFilter ref="A1:L504" xr:uid="{82D40914-56A0-4D2E-9367-C315E58B4FCE}">
    <filterColumn colId="10">
      <filters>
        <filter val="Venta Grande"/>
      </filters>
    </filterColumn>
    <sortState xmlns:xlrd2="http://schemas.microsoft.com/office/spreadsheetml/2017/richdata2" ref="A2:L503">
      <sortCondition descending="1" ref="H2:H503"/>
    </sortState>
  </autoFilter>
  <conditionalFormatting sqref="A1:N5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50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{6E6F546B-B377-47EE-B85C-89A5BC1D7F95}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6F546B-B377-47EE-B85C-89A5BC1D7F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J1:J503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1DAD-6058-495E-B519-4D3821AB9B8A}">
  <dimension ref="A3:B20"/>
  <sheetViews>
    <sheetView showGridLines="0" workbookViewId="0">
      <selection activeCell="A10" sqref="A10"/>
    </sheetView>
  </sheetViews>
  <sheetFormatPr baseColWidth="10" defaultRowHeight="15" x14ac:dyDescent="0.25"/>
  <cols>
    <col min="1" max="1" width="17.5703125" bestFit="1" customWidth="1"/>
    <col min="2" max="2" width="21.85546875" bestFit="1" customWidth="1"/>
    <col min="3" max="3" width="12.5703125" bestFit="1" customWidth="1"/>
  </cols>
  <sheetData>
    <row r="3" spans="1:2" x14ac:dyDescent="0.25">
      <c r="A3" s="61" t="s">
        <v>581</v>
      </c>
      <c r="B3" t="s">
        <v>583</v>
      </c>
    </row>
    <row r="4" spans="1:2" x14ac:dyDescent="0.25">
      <c r="A4" s="62" t="s">
        <v>36</v>
      </c>
      <c r="B4" s="9">
        <v>2673191</v>
      </c>
    </row>
    <row r="5" spans="1:2" x14ac:dyDescent="0.25">
      <c r="A5" s="62" t="s">
        <v>37</v>
      </c>
      <c r="B5" s="9">
        <v>2723370</v>
      </c>
    </row>
    <row r="6" spans="1:2" x14ac:dyDescent="0.25">
      <c r="A6" s="62" t="s">
        <v>34</v>
      </c>
      <c r="B6" s="9">
        <v>2681744</v>
      </c>
    </row>
    <row r="7" spans="1:2" x14ac:dyDescent="0.25">
      <c r="A7" s="62" t="s">
        <v>38</v>
      </c>
      <c r="B7" s="9">
        <v>2783006</v>
      </c>
    </row>
    <row r="8" spans="1:2" x14ac:dyDescent="0.25">
      <c r="A8" s="62" t="s">
        <v>35</v>
      </c>
      <c r="B8" s="9">
        <v>2703682</v>
      </c>
    </row>
    <row r="9" spans="1:2" x14ac:dyDescent="0.25">
      <c r="A9" s="62" t="s">
        <v>582</v>
      </c>
      <c r="B9" s="9">
        <v>13564993</v>
      </c>
    </row>
    <row r="11" spans="1:2" x14ac:dyDescent="0.25">
      <c r="A11" s="61" t="s">
        <v>581</v>
      </c>
      <c r="B11" t="s">
        <v>583</v>
      </c>
    </row>
    <row r="12" spans="1:2" x14ac:dyDescent="0.25">
      <c r="A12" s="62" t="s">
        <v>16</v>
      </c>
      <c r="B12" s="9">
        <v>6065320</v>
      </c>
    </row>
    <row r="13" spans="1:2" x14ac:dyDescent="0.25">
      <c r="A13" s="62" t="s">
        <v>18</v>
      </c>
      <c r="B13" s="9">
        <v>3514129</v>
      </c>
    </row>
    <row r="14" spans="1:2" x14ac:dyDescent="0.25">
      <c r="A14" s="62" t="s">
        <v>17</v>
      </c>
      <c r="B14" s="9">
        <v>3985544</v>
      </c>
    </row>
    <row r="15" spans="1:2" x14ac:dyDescent="0.25">
      <c r="A15" s="62" t="s">
        <v>582</v>
      </c>
      <c r="B15" s="9">
        <v>13564993</v>
      </c>
    </row>
    <row r="17" spans="1:2" x14ac:dyDescent="0.25">
      <c r="A17" s="61" t="s">
        <v>581</v>
      </c>
      <c r="B17" t="s">
        <v>583</v>
      </c>
    </row>
    <row r="18" spans="1:2" x14ac:dyDescent="0.25">
      <c r="A18" s="62" t="s">
        <v>584</v>
      </c>
      <c r="B18" s="9">
        <v>5016839</v>
      </c>
    </row>
    <row r="19" spans="1:2" x14ac:dyDescent="0.25">
      <c r="A19" s="62" t="s">
        <v>585</v>
      </c>
      <c r="B19" s="9">
        <v>8316339</v>
      </c>
    </row>
    <row r="20" spans="1:2" x14ac:dyDescent="0.25">
      <c r="A20" s="62" t="s">
        <v>582</v>
      </c>
      <c r="B20" s="9">
        <v>13333178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8108-55D2-4837-8752-3D70D832A149}">
  <dimension ref="A1:AK46"/>
  <sheetViews>
    <sheetView showGridLines="0" tabSelected="1" zoomScaleNormal="100" workbookViewId="0">
      <selection sqref="A1:D1"/>
    </sheetView>
  </sheetViews>
  <sheetFormatPr baseColWidth="10" defaultRowHeight="15" x14ac:dyDescent="0.25"/>
  <sheetData>
    <row r="1" spans="1:37" ht="21" x14ac:dyDescent="0.35">
      <c r="A1" s="100" t="s">
        <v>588</v>
      </c>
      <c r="B1" s="100"/>
      <c r="C1" s="100"/>
      <c r="D1" s="100"/>
      <c r="E1" s="91"/>
      <c r="F1" s="102" t="s">
        <v>589</v>
      </c>
      <c r="G1" s="102"/>
      <c r="H1" s="102"/>
      <c r="I1" s="102"/>
      <c r="J1" s="91"/>
      <c r="K1" s="91"/>
      <c r="L1" s="102" t="s">
        <v>590</v>
      </c>
      <c r="M1" s="102"/>
      <c r="N1" s="91"/>
      <c r="O1" s="91"/>
      <c r="P1" s="91"/>
      <c r="Q1" s="91"/>
      <c r="R1" s="91"/>
      <c r="S1" s="91"/>
      <c r="T1" s="91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ht="21" x14ac:dyDescent="0.35">
      <c r="A2" s="91"/>
      <c r="B2" s="100">
        <f>SUM('TABLA PRINCIPAL'!J:J)</f>
        <v>27129986</v>
      </c>
      <c r="C2" s="100"/>
      <c r="D2" s="92"/>
      <c r="E2" s="91"/>
      <c r="F2" s="91"/>
      <c r="G2" s="101">
        <f>SUM('TABLA PRINCIPAL'!G:G)</f>
        <v>5315</v>
      </c>
      <c r="H2" s="101"/>
      <c r="I2" s="91"/>
      <c r="J2" s="91"/>
      <c r="K2" s="91"/>
      <c r="L2" s="103">
        <f>COUNTA('TABLA PRINCIPAL'!A:A)-1</f>
        <v>502</v>
      </c>
      <c r="M2" s="103"/>
      <c r="N2" s="91"/>
      <c r="O2" s="91"/>
      <c r="P2" s="91"/>
      <c r="Q2" s="91"/>
      <c r="R2" s="91"/>
      <c r="S2" s="91"/>
      <c r="T2" s="91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</row>
    <row r="3" spans="1:37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</row>
    <row r="4" spans="1:37" x14ac:dyDescent="0.2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</row>
    <row r="5" spans="1:37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</row>
    <row r="6" spans="1:37" x14ac:dyDescent="0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</row>
    <row r="7" spans="1:37" x14ac:dyDescent="0.2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</row>
    <row r="8" spans="1:37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</row>
    <row r="9" spans="1:37" x14ac:dyDescent="0.2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</row>
    <row r="10" spans="1:37" x14ac:dyDescent="0.2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</row>
    <row r="11" spans="1:37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</row>
    <row r="12" spans="1:37" x14ac:dyDescent="0.2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</row>
    <row r="13" spans="1:37" x14ac:dyDescent="0.2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</row>
    <row r="14" spans="1:37" x14ac:dyDescent="0.2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</row>
    <row r="15" spans="1:37" x14ac:dyDescent="0.2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</row>
    <row r="16" spans="1:37" x14ac:dyDescent="0.25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</row>
    <row r="17" spans="1:36" x14ac:dyDescent="0.25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</row>
    <row r="18" spans="1:36" x14ac:dyDescent="0.2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</row>
    <row r="19" spans="1:36" x14ac:dyDescent="0.25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</row>
    <row r="20" spans="1:36" x14ac:dyDescent="0.2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</row>
    <row r="21" spans="1:36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</row>
    <row r="22" spans="1:36" x14ac:dyDescent="0.2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</row>
    <row r="23" spans="1:36" x14ac:dyDescent="0.25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</row>
    <row r="24" spans="1:36" x14ac:dyDescent="0.2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</row>
    <row r="25" spans="1:36" x14ac:dyDescent="0.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 spans="1:36" x14ac:dyDescent="0.2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 spans="1:36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6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6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6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</row>
    <row r="32" spans="1:36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</row>
    <row r="33" spans="1:36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</row>
    <row r="34" spans="1:36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</row>
    <row r="35" spans="1:36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</row>
    <row r="36" spans="1:36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</row>
    <row r="37" spans="1:36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</row>
    <row r="38" spans="1:36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</row>
    <row r="39" spans="1:36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</row>
    <row r="40" spans="1:36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</row>
    <row r="41" spans="1:36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</row>
    <row r="42" spans="1:36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</row>
    <row r="43" spans="1:36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 spans="1:36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 spans="1:36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</row>
    <row r="46" spans="1:36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</row>
  </sheetData>
  <mergeCells count="6">
    <mergeCell ref="B2:C2"/>
    <mergeCell ref="G2:H2"/>
    <mergeCell ref="F1:I1"/>
    <mergeCell ref="L1:M1"/>
    <mergeCell ref="L2:M2"/>
    <mergeCell ref="A1:D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C398-B31D-4E4E-AEAA-0DE41242C640}">
  <dimension ref="A1:F17"/>
  <sheetViews>
    <sheetView showGridLines="0" workbookViewId="0">
      <selection activeCell="D16" sqref="D16"/>
    </sheetView>
  </sheetViews>
  <sheetFormatPr baseColWidth="10" defaultRowHeight="15" x14ac:dyDescent="0.25"/>
  <cols>
    <col min="1" max="1" width="23" customWidth="1"/>
    <col min="2" max="2" width="23.42578125" customWidth="1"/>
    <col min="5" max="5" width="22.28515625" bestFit="1" customWidth="1"/>
    <col min="6" max="6" width="18.28515625" customWidth="1"/>
  </cols>
  <sheetData>
    <row r="1" spans="1:6" ht="30.75" thickBot="1" x14ac:dyDescent="0.3">
      <c r="A1" s="46" t="s">
        <v>43</v>
      </c>
      <c r="B1" s="47" t="s">
        <v>42</v>
      </c>
      <c r="E1" s="53" t="s">
        <v>578</v>
      </c>
      <c r="F1" s="53" t="s">
        <v>579</v>
      </c>
    </row>
    <row r="2" spans="1:6" ht="15.75" thickBot="1" x14ac:dyDescent="0.3">
      <c r="A2" s="42" t="s">
        <v>33</v>
      </c>
      <c r="B2" s="43" t="s">
        <v>40</v>
      </c>
      <c r="E2" s="57" t="s">
        <v>16</v>
      </c>
      <c r="F2" s="57" t="s">
        <v>575</v>
      </c>
    </row>
    <row r="3" spans="1:6" ht="15.75" thickBot="1" x14ac:dyDescent="0.3">
      <c r="A3" s="42" t="s">
        <v>24</v>
      </c>
      <c r="B3" s="43" t="s">
        <v>39</v>
      </c>
      <c r="E3" s="57" t="s">
        <v>17</v>
      </c>
      <c r="F3" s="57" t="s">
        <v>576</v>
      </c>
    </row>
    <row r="4" spans="1:6" ht="15.75" thickBot="1" x14ac:dyDescent="0.3">
      <c r="A4" s="42" t="s">
        <v>25</v>
      </c>
      <c r="B4" s="43" t="s">
        <v>40</v>
      </c>
      <c r="E4" s="57" t="s">
        <v>18</v>
      </c>
      <c r="F4" s="57" t="s">
        <v>577</v>
      </c>
    </row>
    <row r="5" spans="1:6" x14ac:dyDescent="0.25">
      <c r="A5" s="42" t="s">
        <v>26</v>
      </c>
      <c r="B5" s="43" t="s">
        <v>41</v>
      </c>
    </row>
    <row r="6" spans="1:6" x14ac:dyDescent="0.25">
      <c r="A6" s="42" t="s">
        <v>27</v>
      </c>
      <c r="B6" s="43" t="s">
        <v>40</v>
      </c>
    </row>
    <row r="7" spans="1:6" x14ac:dyDescent="0.25">
      <c r="A7" s="42" t="s">
        <v>28</v>
      </c>
      <c r="B7" s="43" t="s">
        <v>39</v>
      </c>
    </row>
    <row r="8" spans="1:6" x14ac:dyDescent="0.25">
      <c r="A8" s="42" t="s">
        <v>29</v>
      </c>
      <c r="B8" s="43" t="s">
        <v>40</v>
      </c>
    </row>
    <row r="9" spans="1:6" x14ac:dyDescent="0.25">
      <c r="A9" s="42" t="s">
        <v>30</v>
      </c>
      <c r="B9" s="43" t="s">
        <v>41</v>
      </c>
    </row>
    <row r="10" spans="1:6" x14ac:dyDescent="0.25">
      <c r="A10" s="42" t="s">
        <v>31</v>
      </c>
      <c r="B10" s="43" t="s">
        <v>40</v>
      </c>
    </row>
    <row r="11" spans="1:6" x14ac:dyDescent="0.25">
      <c r="A11" s="42" t="s">
        <v>32</v>
      </c>
      <c r="B11" s="43" t="s">
        <v>39</v>
      </c>
    </row>
    <row r="12" spans="1:6" x14ac:dyDescent="0.25">
      <c r="A12" s="44" t="s">
        <v>33</v>
      </c>
      <c r="B12" s="45" t="s">
        <v>40</v>
      </c>
    </row>
    <row r="13" spans="1:6" ht="15.75" thickBot="1" x14ac:dyDescent="0.3">
      <c r="A13" s="3"/>
    </row>
    <row r="14" spans="1:6" ht="16.5" thickBot="1" x14ac:dyDescent="0.3">
      <c r="A14" s="49" t="s">
        <v>22</v>
      </c>
    </row>
    <row r="15" spans="1:6" ht="16.5" thickBot="1" x14ac:dyDescent="0.3">
      <c r="A15" s="49" t="s">
        <v>19</v>
      </c>
    </row>
    <row r="16" spans="1:6" ht="16.5" thickBot="1" x14ac:dyDescent="0.3">
      <c r="A16" s="49" t="s">
        <v>20</v>
      </c>
    </row>
    <row r="17" spans="1:1" ht="16.5" thickBot="1" x14ac:dyDescent="0.3">
      <c r="A17" s="4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README</vt:lpstr>
      <vt:lpstr>PREGUNTAS Y RESPUESTAS</vt:lpstr>
      <vt:lpstr>DATASET ORIGINAL</vt:lpstr>
      <vt:lpstr>TABLA PRINCIPAL</vt:lpstr>
      <vt:lpstr>TABLA DINAMICA</vt:lpstr>
      <vt:lpstr>DASHBOARD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Mateo</dc:creator>
  <cp:lastModifiedBy>Gian Mateo</cp:lastModifiedBy>
  <dcterms:created xsi:type="dcterms:W3CDTF">2026-01-07T17:42:46Z</dcterms:created>
  <dcterms:modified xsi:type="dcterms:W3CDTF">2026-03-06T01:14:31Z</dcterms:modified>
</cp:coreProperties>
</file>